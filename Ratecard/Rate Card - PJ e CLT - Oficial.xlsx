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erte Martins\Desktop\Code\AIOS\Ratecard\"/>
    </mc:Choice>
  </mc:AlternateContent>
  <xr:revisionPtr revIDLastSave="0" documentId="13_ncr:1_{BDC9D293-4FE5-4D40-9F2D-D2757185A505}" xr6:coauthVersionLast="47" xr6:coauthVersionMax="47" xr10:uidLastSave="{00000000-0000-0000-0000-000000000000}"/>
  <bookViews>
    <workbookView xWindow="-120" yWindow="-120" windowWidth="29040" windowHeight="15990" tabRatio="419" firstSheet="6" activeTab="7" xr2:uid="{00000000-000D-0000-FFFF-FFFF00000000}"/>
  </bookViews>
  <sheets>
    <sheet name="Configuração" sheetId="1" state="hidden" r:id="rId1"/>
    <sheet name="Célula Base" sheetId="2" state="hidden" r:id="rId2"/>
    <sheet name="Lista Profissionais" sheetId="6" state="hidden" r:id="rId3"/>
    <sheet name="Rate Card CLT" sheetId="14" state="hidden" r:id="rId4"/>
    <sheet name="Rate Card Exercícios não oficia" sheetId="19" state="hidden" r:id="rId5"/>
    <sheet name="Rate Card PJ" sheetId="20" state="hidden" r:id="rId6"/>
    <sheet name="Rate Formatado CLT" sheetId="18" r:id="rId7"/>
    <sheet name="Rate Formatado PJ" sheetId="21" r:id="rId8"/>
    <sheet name="CLT - ORDER" sheetId="23" state="hidden" r:id="rId9"/>
    <sheet name="PJ - ORDER" sheetId="24" state="hidden" r:id="rId10"/>
    <sheet name="Rate Base C&amp;A" sheetId="22" state="hidden" r:id="rId11"/>
    <sheet name="Licitação - Implantação" sheetId="17" state="hidden" r:id="rId12"/>
    <sheet name="CheckListCliente" sheetId="10" state="hidden" r:id="rId13"/>
    <sheet name="Listas" sheetId="11" state="hidden" r:id="rId14"/>
  </sheets>
  <definedNames>
    <definedName name="_xlnm._FilterDatabase" localSheetId="1" hidden="1">'Célula Base'!$A$8:$AE$33</definedName>
    <definedName name="_xlnm._FilterDatabase" localSheetId="8" hidden="1">'CLT - ORDER'!$B$4:$F$151</definedName>
    <definedName name="_xlnm._FilterDatabase" localSheetId="11" hidden="1">'Licitação - Implantação'!$A$8:$AG$115</definedName>
    <definedName name="_xlnm._FilterDatabase" localSheetId="2" hidden="1">'Lista Profissionais'!$B$10:$T$217</definedName>
    <definedName name="_xlnm._FilterDatabase" localSheetId="9" hidden="1">'PJ - ORDER'!$B$4:$F$151</definedName>
    <definedName name="_xlnm._FilterDatabase" localSheetId="10" hidden="1">'Rate Base C&amp;A'!$B$2:$F$522</definedName>
    <definedName name="_xlnm._FilterDatabase" localSheetId="3" hidden="1">'Rate Card CLT'!$B$8:$AL$127</definedName>
    <definedName name="_xlnm._FilterDatabase" localSheetId="4" hidden="1">'Rate Card Exercícios não oficia'!$B$8:$AM$128</definedName>
    <definedName name="_xlnm._FilterDatabase" localSheetId="5" hidden="1">'Rate Card PJ'!$B$8:$AL$127</definedName>
    <definedName name="_xlnm._FilterDatabase" localSheetId="6" hidden="1">'Rate Formatado CLT'!$A$4:$J$155</definedName>
    <definedName name="_xlnm._FilterDatabase" localSheetId="7" hidden="1">'Rate Formatado PJ'!$A$4:$K$155</definedName>
  </definedNames>
  <calcPr calcId="181029"/>
  <extLst>
    <ext uri="GoogleSheetsCustomDataVersion1">
      <go:sheetsCustomData xmlns:go="http://customooxmlschemas.google.com/" r:id="rId16" roundtripDataSignature="AMtx7mibFUQLMJ0mx1afSlFi++UMkbNsSg=="/>
    </ext>
  </extLst>
</workbook>
</file>

<file path=xl/calcChain.xml><?xml version="1.0" encoding="utf-8"?>
<calcChain xmlns="http://schemas.openxmlformats.org/spreadsheetml/2006/main">
  <c r="B155" i="21" l="1"/>
  <c r="D155" i="21" s="1"/>
  <c r="E155" i="21" s="1"/>
  <c r="B154" i="21"/>
  <c r="D154" i="21" s="1"/>
  <c r="E154" i="21" s="1"/>
  <c r="B153" i="21"/>
  <c r="D153" i="21" s="1"/>
  <c r="E153" i="21" s="1"/>
  <c r="B152" i="21"/>
  <c r="D152" i="21" s="1"/>
  <c r="E152" i="21" s="1"/>
  <c r="A155" i="21"/>
  <c r="A154" i="21"/>
  <c r="A153" i="21"/>
  <c r="A152" i="21"/>
  <c r="B155" i="18"/>
  <c r="D155" i="18" s="1"/>
  <c r="E155" i="18" s="1"/>
  <c r="B154" i="18"/>
  <c r="D154" i="18" s="1"/>
  <c r="E154" i="18" s="1"/>
  <c r="B153" i="18"/>
  <c r="D153" i="18" s="1"/>
  <c r="E153" i="18" s="1"/>
  <c r="B152" i="18"/>
  <c r="D152" i="18" s="1"/>
  <c r="E152" i="18" s="1"/>
  <c r="A155" i="18"/>
  <c r="A154" i="18"/>
  <c r="A153" i="18"/>
  <c r="A152" i="18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H159" i="20"/>
  <c r="AH159" i="20" s="1"/>
  <c r="G159" i="20"/>
  <c r="I159" i="20" s="1"/>
  <c r="J159" i="20" s="1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H158" i="20"/>
  <c r="AH158" i="20" s="1"/>
  <c r="G158" i="20"/>
  <c r="I158" i="20" s="1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H157" i="20"/>
  <c r="AH157" i="20" s="1"/>
  <c r="G157" i="20"/>
  <c r="I157" i="20" s="1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H156" i="20"/>
  <c r="AH156" i="20" s="1"/>
  <c r="G156" i="20"/>
  <c r="I156" i="20" s="1"/>
  <c r="J156" i="20" s="1"/>
  <c r="AG159" i="14"/>
  <c r="G159" i="14"/>
  <c r="I159" i="14" s="1"/>
  <c r="AG158" i="14"/>
  <c r="G158" i="14"/>
  <c r="I158" i="14" s="1"/>
  <c r="AG157" i="14"/>
  <c r="G157" i="14"/>
  <c r="H157" i="14" s="1"/>
  <c r="AG156" i="14"/>
  <c r="G156" i="14"/>
  <c r="I156" i="14" s="1"/>
  <c r="H221" i="6"/>
  <c r="H220" i="6"/>
  <c r="H219" i="6"/>
  <c r="H218" i="6"/>
  <c r="G221" i="6"/>
  <c r="G220" i="6"/>
  <c r="G219" i="6"/>
  <c r="G218" i="6"/>
  <c r="E218" i="6" s="1"/>
  <c r="E221" i="6"/>
  <c r="E220" i="6"/>
  <c r="E219" i="6"/>
  <c r="C221" i="6"/>
  <c r="C220" i="6"/>
  <c r="C219" i="6"/>
  <c r="C218" i="6"/>
  <c r="Q4" i="20"/>
  <c r="A151" i="18"/>
  <c r="A150" i="18"/>
  <c r="A149" i="18"/>
  <c r="A148" i="18"/>
  <c r="A151" i="21"/>
  <c r="A150" i="21"/>
  <c r="A149" i="21"/>
  <c r="A148" i="21"/>
  <c r="AG155" i="14"/>
  <c r="AG154" i="14"/>
  <c r="AG153" i="14"/>
  <c r="AG152" i="14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H155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H154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H153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H152" i="20"/>
  <c r="H217" i="6"/>
  <c r="H216" i="6"/>
  <c r="H215" i="6"/>
  <c r="H214" i="6"/>
  <c r="G217" i="6"/>
  <c r="G216" i="6"/>
  <c r="G215" i="6"/>
  <c r="E215" i="6" s="1"/>
  <c r="G214" i="6"/>
  <c r="E214" i="6" s="1"/>
  <c r="E217" i="6"/>
  <c r="E216" i="6"/>
  <c r="C217" i="6"/>
  <c r="C216" i="6"/>
  <c r="C215" i="6"/>
  <c r="C214" i="6"/>
  <c r="H213" i="6"/>
  <c r="H212" i="6"/>
  <c r="H211" i="6"/>
  <c r="G213" i="6"/>
  <c r="E213" i="6" s="1"/>
  <c r="G212" i="6"/>
  <c r="E212" i="6" s="1"/>
  <c r="G211" i="6"/>
  <c r="E211" i="6" s="1"/>
  <c r="C213" i="6"/>
  <c r="C212" i="6"/>
  <c r="C211" i="6"/>
  <c r="A2" i="21"/>
  <c r="A2" i="18"/>
  <c r="A147" i="21"/>
  <c r="A146" i="21"/>
  <c r="A145" i="21"/>
  <c r="A144" i="21"/>
  <c r="AG151" i="20"/>
  <c r="AG150" i="20"/>
  <c r="AG149" i="20"/>
  <c r="AA149" i="20"/>
  <c r="H149" i="20"/>
  <c r="AG148" i="20"/>
  <c r="AA148" i="20"/>
  <c r="H148" i="20"/>
  <c r="A147" i="18"/>
  <c r="A146" i="18"/>
  <c r="A145" i="18"/>
  <c r="A144" i="18"/>
  <c r="AG151" i="14"/>
  <c r="AG150" i="14"/>
  <c r="AG149" i="14"/>
  <c r="AG148" i="14"/>
  <c r="H210" i="6"/>
  <c r="H209" i="6"/>
  <c r="H208" i="6"/>
  <c r="H207" i="6"/>
  <c r="G210" i="6"/>
  <c r="E210" i="6" s="1"/>
  <c r="G209" i="6"/>
  <c r="E209" i="6" s="1"/>
  <c r="G208" i="6"/>
  <c r="E208" i="6" s="1"/>
  <c r="G207" i="6"/>
  <c r="E207" i="6" s="1"/>
  <c r="C210" i="6"/>
  <c r="C209" i="6"/>
  <c r="C208" i="6"/>
  <c r="C207" i="6"/>
  <c r="A143" i="21"/>
  <c r="A142" i="21"/>
  <c r="A141" i="21"/>
  <c r="A140" i="21"/>
  <c r="A143" i="18"/>
  <c r="A142" i="18"/>
  <c r="A141" i="18"/>
  <c r="A140" i="18"/>
  <c r="AG147" i="20"/>
  <c r="AG146" i="20"/>
  <c r="AG145" i="20"/>
  <c r="AG144" i="20"/>
  <c r="AG147" i="14"/>
  <c r="AG146" i="14"/>
  <c r="AG145" i="14"/>
  <c r="AG144" i="14"/>
  <c r="H206" i="6"/>
  <c r="H205" i="6"/>
  <c r="H204" i="6"/>
  <c r="H203" i="6"/>
  <c r="G206" i="6"/>
  <c r="E206" i="6" s="1"/>
  <c r="G205" i="6"/>
  <c r="E205" i="6" s="1"/>
  <c r="G204" i="6"/>
  <c r="E204" i="6" s="1"/>
  <c r="G203" i="6"/>
  <c r="E203" i="6" s="1"/>
  <c r="C206" i="6"/>
  <c r="C205" i="6"/>
  <c r="C204" i="6"/>
  <c r="C203" i="6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G143" i="14"/>
  <c r="AG142" i="14"/>
  <c r="AG141" i="14"/>
  <c r="AG140" i="14"/>
  <c r="AG139" i="14"/>
  <c r="AG138" i="14"/>
  <c r="AG137" i="14"/>
  <c r="AG136" i="14"/>
  <c r="AG135" i="14"/>
  <c r="AG134" i="14"/>
  <c r="AG133" i="14"/>
  <c r="AG132" i="14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H143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H142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H141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H140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H139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H138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H137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H136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H135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H134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H133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H132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H131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H130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H129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H128" i="20"/>
  <c r="H202" i="6"/>
  <c r="H201" i="6"/>
  <c r="H200" i="6"/>
  <c r="H199" i="6"/>
  <c r="G202" i="6"/>
  <c r="E202" i="6" s="1"/>
  <c r="G201" i="6"/>
  <c r="E201" i="6" s="1"/>
  <c r="G200" i="6"/>
  <c r="E200" i="6" s="1"/>
  <c r="G199" i="6"/>
  <c r="E199" i="6" s="1"/>
  <c r="C202" i="6"/>
  <c r="C201" i="6"/>
  <c r="C200" i="6"/>
  <c r="C199" i="6"/>
  <c r="H198" i="6"/>
  <c r="H197" i="6"/>
  <c r="H196" i="6"/>
  <c r="H195" i="6"/>
  <c r="G198" i="6"/>
  <c r="E198" i="6" s="1"/>
  <c r="G197" i="6"/>
  <c r="E197" i="6" s="1"/>
  <c r="G196" i="6"/>
  <c r="E196" i="6" s="1"/>
  <c r="G195" i="6"/>
  <c r="E195" i="6" s="1"/>
  <c r="C198" i="6"/>
  <c r="C197" i="6"/>
  <c r="C196" i="6"/>
  <c r="C195" i="6"/>
  <c r="H194" i="6"/>
  <c r="H193" i="6"/>
  <c r="H192" i="6"/>
  <c r="H191" i="6"/>
  <c r="G194" i="6"/>
  <c r="G193" i="6"/>
  <c r="E193" i="6" s="1"/>
  <c r="G192" i="6"/>
  <c r="E192" i="6" s="1"/>
  <c r="G191" i="6"/>
  <c r="E191" i="6" s="1"/>
  <c r="E194" i="6"/>
  <c r="C194" i="6"/>
  <c r="C193" i="6"/>
  <c r="C192" i="6"/>
  <c r="C191" i="6"/>
  <c r="C152" i="18" l="1"/>
  <c r="C153" i="18"/>
  <c r="C154" i="18"/>
  <c r="C155" i="18"/>
  <c r="C152" i="21"/>
  <c r="C153" i="21"/>
  <c r="C154" i="21"/>
  <c r="C155" i="21"/>
  <c r="P159" i="20"/>
  <c r="O159" i="20"/>
  <c r="L159" i="20"/>
  <c r="J158" i="20"/>
  <c r="J157" i="20"/>
  <c r="P156" i="20"/>
  <c r="O156" i="20"/>
  <c r="L156" i="20"/>
  <c r="AD159" i="14"/>
  <c r="AE159" i="14" s="1"/>
  <c r="Z159" i="14"/>
  <c r="V159" i="14"/>
  <c r="W159" i="14" s="1"/>
  <c r="AF159" i="14"/>
  <c r="X159" i="14"/>
  <c r="AA159" i="14"/>
  <c r="H159" i="14"/>
  <c r="AD158" i="14"/>
  <c r="AE158" i="14" s="1"/>
  <c r="Z158" i="14"/>
  <c r="V158" i="14"/>
  <c r="W158" i="14" s="1"/>
  <c r="AF158" i="14"/>
  <c r="X158" i="14"/>
  <c r="AA158" i="14"/>
  <c r="H158" i="14"/>
  <c r="I157" i="14"/>
  <c r="AD156" i="14"/>
  <c r="AE156" i="14" s="1"/>
  <c r="Z156" i="14"/>
  <c r="V156" i="14"/>
  <c r="W156" i="14" s="1"/>
  <c r="AA156" i="14"/>
  <c r="AF156" i="14"/>
  <c r="X156" i="14"/>
  <c r="H156" i="14"/>
  <c r="AH152" i="20"/>
  <c r="AH154" i="20"/>
  <c r="AH153" i="20"/>
  <c r="AH155" i="20"/>
  <c r="AD151" i="20"/>
  <c r="AE151" i="20" s="1"/>
  <c r="Z151" i="20"/>
  <c r="V151" i="20"/>
  <c r="W151" i="20" s="1"/>
  <c r="AF151" i="20"/>
  <c r="X151" i="20"/>
  <c r="AA151" i="20"/>
  <c r="H151" i="20"/>
  <c r="X149" i="20"/>
  <c r="AF149" i="20"/>
  <c r="V149" i="20"/>
  <c r="W149" i="20" s="1"/>
  <c r="Z149" i="20"/>
  <c r="X148" i="20"/>
  <c r="AF148" i="20"/>
  <c r="V148" i="20"/>
  <c r="W148" i="20" s="1"/>
  <c r="Z148" i="20"/>
  <c r="H145" i="20"/>
  <c r="H146" i="20"/>
  <c r="H147" i="20"/>
  <c r="AD147" i="20"/>
  <c r="AE147" i="20" s="1"/>
  <c r="Z147" i="20"/>
  <c r="V147" i="20"/>
  <c r="W147" i="20" s="1"/>
  <c r="AF147" i="20"/>
  <c r="X147" i="20"/>
  <c r="AA147" i="20"/>
  <c r="AF144" i="20"/>
  <c r="X144" i="20"/>
  <c r="Z144" i="20"/>
  <c r="AA144" i="20"/>
  <c r="AD144" i="20"/>
  <c r="AE144" i="20" s="1"/>
  <c r="V144" i="20"/>
  <c r="W144" i="20" s="1"/>
  <c r="X146" i="20"/>
  <c r="H144" i="20"/>
  <c r="V145" i="20"/>
  <c r="W145" i="20" s="1"/>
  <c r="Z145" i="20"/>
  <c r="AD145" i="20"/>
  <c r="AE145" i="20" s="1"/>
  <c r="AF146" i="20"/>
  <c r="AA145" i="20"/>
  <c r="V146" i="20"/>
  <c r="W146" i="20" s="1"/>
  <c r="Z146" i="20"/>
  <c r="AD146" i="20"/>
  <c r="AE146" i="20" s="1"/>
  <c r="X145" i="20"/>
  <c r="AH142" i="20"/>
  <c r="AH129" i="20"/>
  <c r="AH131" i="20"/>
  <c r="AH133" i="20"/>
  <c r="AH135" i="20"/>
  <c r="AH139" i="20"/>
  <c r="AH141" i="20"/>
  <c r="AH137" i="20"/>
  <c r="AH143" i="20"/>
  <c r="AH128" i="20"/>
  <c r="AH130" i="20"/>
  <c r="AH132" i="20"/>
  <c r="AH134" i="20"/>
  <c r="AH136" i="20"/>
  <c r="AH138" i="20"/>
  <c r="AH140" i="20"/>
  <c r="E522" i="22"/>
  <c r="F522" i="22" s="1"/>
  <c r="E521" i="22"/>
  <c r="F521" i="22" s="1"/>
  <c r="E520" i="22"/>
  <c r="F520" i="22" s="1"/>
  <c r="E519" i="22"/>
  <c r="F519" i="22" s="1"/>
  <c r="E518" i="22"/>
  <c r="F518" i="22" s="1"/>
  <c r="E517" i="22"/>
  <c r="F517" i="22" s="1"/>
  <c r="E516" i="22"/>
  <c r="F516" i="22" s="1"/>
  <c r="E515" i="22"/>
  <c r="F515" i="22" s="1"/>
  <c r="E514" i="22"/>
  <c r="F514" i="22" s="1"/>
  <c r="E513" i="22"/>
  <c r="F513" i="22" s="1"/>
  <c r="E512" i="22"/>
  <c r="F512" i="22" s="1"/>
  <c r="E511" i="22"/>
  <c r="F511" i="22" s="1"/>
  <c r="E510" i="22"/>
  <c r="F510" i="22" s="1"/>
  <c r="E509" i="22"/>
  <c r="F509" i="22" s="1"/>
  <c r="E508" i="22"/>
  <c r="F508" i="22" s="1"/>
  <c r="E507" i="22"/>
  <c r="F507" i="22" s="1"/>
  <c r="E506" i="22"/>
  <c r="F506" i="22" s="1"/>
  <c r="E505" i="22"/>
  <c r="F505" i="22" s="1"/>
  <c r="E504" i="22"/>
  <c r="F504" i="22" s="1"/>
  <c r="E503" i="22"/>
  <c r="F503" i="22" s="1"/>
  <c r="E502" i="22"/>
  <c r="F502" i="22" s="1"/>
  <c r="E501" i="22"/>
  <c r="F501" i="22" s="1"/>
  <c r="E500" i="22"/>
  <c r="F500" i="22" s="1"/>
  <c r="E499" i="22"/>
  <c r="F499" i="22" s="1"/>
  <c r="E498" i="22"/>
  <c r="F498" i="22" s="1"/>
  <c r="E497" i="22"/>
  <c r="F497" i="22" s="1"/>
  <c r="E496" i="22"/>
  <c r="F496" i="22" s="1"/>
  <c r="E495" i="22"/>
  <c r="F495" i="22" s="1"/>
  <c r="E494" i="22"/>
  <c r="F494" i="22" s="1"/>
  <c r="E493" i="22"/>
  <c r="F493" i="22" s="1"/>
  <c r="E492" i="22"/>
  <c r="F492" i="22" s="1"/>
  <c r="E491" i="22"/>
  <c r="F491" i="22" s="1"/>
  <c r="E490" i="22"/>
  <c r="F490" i="22" s="1"/>
  <c r="E489" i="22"/>
  <c r="F489" i="22" s="1"/>
  <c r="E488" i="22"/>
  <c r="F488" i="22" s="1"/>
  <c r="E487" i="22"/>
  <c r="F487" i="22" s="1"/>
  <c r="E486" i="22"/>
  <c r="F486" i="22" s="1"/>
  <c r="E485" i="22"/>
  <c r="F485" i="22" s="1"/>
  <c r="E484" i="22"/>
  <c r="F484" i="22" s="1"/>
  <c r="E483" i="22"/>
  <c r="F483" i="22" s="1"/>
  <c r="E482" i="22"/>
  <c r="F482" i="22" s="1"/>
  <c r="E481" i="22"/>
  <c r="F481" i="22" s="1"/>
  <c r="E480" i="22"/>
  <c r="F480" i="22" s="1"/>
  <c r="E479" i="22"/>
  <c r="F479" i="22" s="1"/>
  <c r="E478" i="22"/>
  <c r="F478" i="22" s="1"/>
  <c r="E477" i="22"/>
  <c r="F477" i="22" s="1"/>
  <c r="E476" i="22"/>
  <c r="F476" i="22" s="1"/>
  <c r="E475" i="22"/>
  <c r="F475" i="22" s="1"/>
  <c r="E474" i="22"/>
  <c r="F474" i="22" s="1"/>
  <c r="E473" i="22"/>
  <c r="F473" i="22" s="1"/>
  <c r="E472" i="22"/>
  <c r="F472" i="22" s="1"/>
  <c r="E471" i="22"/>
  <c r="F471" i="22" s="1"/>
  <c r="E470" i="22"/>
  <c r="F470" i="22" s="1"/>
  <c r="E469" i="22"/>
  <c r="F469" i="22" s="1"/>
  <c r="E468" i="22"/>
  <c r="F468" i="22" s="1"/>
  <c r="E467" i="22"/>
  <c r="F467" i="22" s="1"/>
  <c r="E466" i="22"/>
  <c r="F466" i="22" s="1"/>
  <c r="E465" i="22"/>
  <c r="F465" i="22" s="1"/>
  <c r="E464" i="22"/>
  <c r="F464" i="22" s="1"/>
  <c r="E463" i="22"/>
  <c r="F463" i="22" s="1"/>
  <c r="E462" i="22"/>
  <c r="F462" i="22" s="1"/>
  <c r="E461" i="22"/>
  <c r="F461" i="22" s="1"/>
  <c r="E460" i="22"/>
  <c r="F460" i="22" s="1"/>
  <c r="E459" i="22"/>
  <c r="F459" i="22" s="1"/>
  <c r="E458" i="22"/>
  <c r="F458" i="22" s="1"/>
  <c r="E457" i="22"/>
  <c r="F457" i="22" s="1"/>
  <c r="E456" i="22"/>
  <c r="F456" i="22" s="1"/>
  <c r="E455" i="22"/>
  <c r="F455" i="22" s="1"/>
  <c r="E454" i="22"/>
  <c r="F454" i="22" s="1"/>
  <c r="E453" i="22"/>
  <c r="F453" i="22" s="1"/>
  <c r="E452" i="22"/>
  <c r="F452" i="22" s="1"/>
  <c r="E451" i="22"/>
  <c r="F451" i="22" s="1"/>
  <c r="E450" i="22"/>
  <c r="F450" i="22" s="1"/>
  <c r="E449" i="22"/>
  <c r="F449" i="22" s="1"/>
  <c r="E448" i="22"/>
  <c r="F448" i="22" s="1"/>
  <c r="E447" i="22"/>
  <c r="F447" i="22" s="1"/>
  <c r="E446" i="22"/>
  <c r="F446" i="22" s="1"/>
  <c r="E445" i="22"/>
  <c r="F445" i="22" s="1"/>
  <c r="E444" i="22"/>
  <c r="F444" i="22" s="1"/>
  <c r="E443" i="22"/>
  <c r="F443" i="22" s="1"/>
  <c r="E442" i="22"/>
  <c r="F442" i="22" s="1"/>
  <c r="E441" i="22"/>
  <c r="F441" i="22" s="1"/>
  <c r="E440" i="22"/>
  <c r="F440" i="22" s="1"/>
  <c r="E439" i="22"/>
  <c r="F439" i="22" s="1"/>
  <c r="E438" i="22"/>
  <c r="F438" i="22" s="1"/>
  <c r="E437" i="22"/>
  <c r="F437" i="22" s="1"/>
  <c r="E436" i="22"/>
  <c r="F436" i="22" s="1"/>
  <c r="E435" i="22"/>
  <c r="F435" i="22" s="1"/>
  <c r="E434" i="22"/>
  <c r="F434" i="22" s="1"/>
  <c r="E433" i="22"/>
  <c r="F433" i="22" s="1"/>
  <c r="E432" i="22"/>
  <c r="F432" i="22" s="1"/>
  <c r="E431" i="22"/>
  <c r="F431" i="22" s="1"/>
  <c r="E430" i="22"/>
  <c r="F430" i="22" s="1"/>
  <c r="E429" i="22"/>
  <c r="F429" i="22" s="1"/>
  <c r="E428" i="22"/>
  <c r="F428" i="22" s="1"/>
  <c r="E427" i="22"/>
  <c r="F427" i="22" s="1"/>
  <c r="E426" i="22"/>
  <c r="F426" i="22" s="1"/>
  <c r="E425" i="22"/>
  <c r="F425" i="22" s="1"/>
  <c r="E424" i="22"/>
  <c r="F424" i="22" s="1"/>
  <c r="E423" i="22"/>
  <c r="F423" i="22" s="1"/>
  <c r="E422" i="22"/>
  <c r="F422" i="22" s="1"/>
  <c r="E421" i="22"/>
  <c r="F421" i="22" s="1"/>
  <c r="E420" i="22"/>
  <c r="F420" i="22" s="1"/>
  <c r="E419" i="22"/>
  <c r="F419" i="22" s="1"/>
  <c r="E418" i="22"/>
  <c r="F418" i="22" s="1"/>
  <c r="E417" i="22"/>
  <c r="F417" i="22" s="1"/>
  <c r="E416" i="22"/>
  <c r="F416" i="22" s="1"/>
  <c r="E415" i="22"/>
  <c r="F415" i="22" s="1"/>
  <c r="E414" i="22"/>
  <c r="F414" i="22" s="1"/>
  <c r="E413" i="22"/>
  <c r="F413" i="22" s="1"/>
  <c r="E412" i="22"/>
  <c r="F412" i="22" s="1"/>
  <c r="E411" i="22"/>
  <c r="F411" i="22" s="1"/>
  <c r="E410" i="22"/>
  <c r="F410" i="22" s="1"/>
  <c r="E409" i="22"/>
  <c r="F409" i="22" s="1"/>
  <c r="E408" i="22"/>
  <c r="F408" i="22" s="1"/>
  <c r="E407" i="22"/>
  <c r="F407" i="22" s="1"/>
  <c r="E406" i="22"/>
  <c r="F406" i="22" s="1"/>
  <c r="E405" i="22"/>
  <c r="F405" i="22" s="1"/>
  <c r="E404" i="22"/>
  <c r="F404" i="22" s="1"/>
  <c r="E403" i="22"/>
  <c r="F403" i="22" s="1"/>
  <c r="E402" i="22"/>
  <c r="F402" i="22" s="1"/>
  <c r="E401" i="22"/>
  <c r="F401" i="22" s="1"/>
  <c r="E400" i="22"/>
  <c r="F400" i="22" s="1"/>
  <c r="E399" i="22"/>
  <c r="F399" i="22" s="1"/>
  <c r="E398" i="22"/>
  <c r="F398" i="22" s="1"/>
  <c r="E397" i="22"/>
  <c r="F397" i="22" s="1"/>
  <c r="E396" i="22"/>
  <c r="F396" i="22" s="1"/>
  <c r="E395" i="22"/>
  <c r="F395" i="22" s="1"/>
  <c r="E394" i="22"/>
  <c r="F394" i="22" s="1"/>
  <c r="E393" i="22"/>
  <c r="F393" i="22" s="1"/>
  <c r="E392" i="22"/>
  <c r="F392" i="22" s="1"/>
  <c r="E391" i="22"/>
  <c r="F391" i="22" s="1"/>
  <c r="E390" i="22"/>
  <c r="F390" i="22" s="1"/>
  <c r="E389" i="22"/>
  <c r="F389" i="22" s="1"/>
  <c r="E388" i="22"/>
  <c r="F388" i="22" s="1"/>
  <c r="E387" i="22"/>
  <c r="F387" i="22" s="1"/>
  <c r="E386" i="22"/>
  <c r="F386" i="22" s="1"/>
  <c r="E385" i="22"/>
  <c r="F385" i="22" s="1"/>
  <c r="E384" i="22"/>
  <c r="F384" i="22" s="1"/>
  <c r="E383" i="22"/>
  <c r="F383" i="22" s="1"/>
  <c r="E382" i="22"/>
  <c r="F382" i="22" s="1"/>
  <c r="E381" i="22"/>
  <c r="F381" i="22" s="1"/>
  <c r="E380" i="22"/>
  <c r="F380" i="22" s="1"/>
  <c r="E379" i="22"/>
  <c r="F379" i="22" s="1"/>
  <c r="E378" i="22"/>
  <c r="F378" i="22" s="1"/>
  <c r="E377" i="22"/>
  <c r="F377" i="22" s="1"/>
  <c r="E376" i="22"/>
  <c r="F376" i="22" s="1"/>
  <c r="E375" i="22"/>
  <c r="F375" i="22" s="1"/>
  <c r="E374" i="22"/>
  <c r="F374" i="22" s="1"/>
  <c r="E373" i="22"/>
  <c r="F373" i="22" s="1"/>
  <c r="E372" i="22"/>
  <c r="F372" i="22" s="1"/>
  <c r="E371" i="22"/>
  <c r="F371" i="22" s="1"/>
  <c r="E370" i="22"/>
  <c r="F370" i="22" s="1"/>
  <c r="E369" i="22"/>
  <c r="F369" i="22" s="1"/>
  <c r="E368" i="22"/>
  <c r="F368" i="22" s="1"/>
  <c r="E367" i="22"/>
  <c r="F367" i="22" s="1"/>
  <c r="E366" i="22"/>
  <c r="F366" i="22" s="1"/>
  <c r="E365" i="22"/>
  <c r="F365" i="22" s="1"/>
  <c r="E364" i="22"/>
  <c r="F364" i="22" s="1"/>
  <c r="E363" i="22"/>
  <c r="F363" i="22" s="1"/>
  <c r="E362" i="22"/>
  <c r="F362" i="22" s="1"/>
  <c r="E361" i="22"/>
  <c r="F361" i="22" s="1"/>
  <c r="E360" i="22"/>
  <c r="F360" i="22" s="1"/>
  <c r="E359" i="22"/>
  <c r="F359" i="22" s="1"/>
  <c r="E358" i="22"/>
  <c r="F358" i="22" s="1"/>
  <c r="E357" i="22"/>
  <c r="F357" i="22" s="1"/>
  <c r="E356" i="22"/>
  <c r="F356" i="22" s="1"/>
  <c r="E355" i="22"/>
  <c r="F355" i="22" s="1"/>
  <c r="E354" i="22"/>
  <c r="F354" i="22" s="1"/>
  <c r="E353" i="22"/>
  <c r="F353" i="22" s="1"/>
  <c r="E352" i="22"/>
  <c r="F352" i="22" s="1"/>
  <c r="E351" i="22"/>
  <c r="F351" i="22" s="1"/>
  <c r="E350" i="22"/>
  <c r="F350" i="22" s="1"/>
  <c r="E349" i="22"/>
  <c r="F349" i="22" s="1"/>
  <c r="E348" i="22"/>
  <c r="F348" i="22" s="1"/>
  <c r="E347" i="22"/>
  <c r="F347" i="22" s="1"/>
  <c r="E346" i="22"/>
  <c r="F346" i="22" s="1"/>
  <c r="E345" i="22"/>
  <c r="F345" i="22" s="1"/>
  <c r="E344" i="22"/>
  <c r="F344" i="22" s="1"/>
  <c r="E343" i="22"/>
  <c r="F343" i="22" s="1"/>
  <c r="E342" i="22"/>
  <c r="F342" i="22" s="1"/>
  <c r="E341" i="22"/>
  <c r="F341" i="22" s="1"/>
  <c r="E340" i="22"/>
  <c r="F340" i="22" s="1"/>
  <c r="E339" i="22"/>
  <c r="F339" i="22" s="1"/>
  <c r="E338" i="22"/>
  <c r="F338" i="22" s="1"/>
  <c r="E337" i="22"/>
  <c r="F337" i="22" s="1"/>
  <c r="E336" i="22"/>
  <c r="F336" i="22" s="1"/>
  <c r="E335" i="22"/>
  <c r="F335" i="22" s="1"/>
  <c r="E334" i="22"/>
  <c r="F334" i="22" s="1"/>
  <c r="E333" i="22"/>
  <c r="F333" i="22" s="1"/>
  <c r="E332" i="22"/>
  <c r="F332" i="22" s="1"/>
  <c r="E331" i="22"/>
  <c r="F331" i="22" s="1"/>
  <c r="E330" i="22"/>
  <c r="F330" i="22" s="1"/>
  <c r="E329" i="22"/>
  <c r="F329" i="22" s="1"/>
  <c r="E328" i="22"/>
  <c r="F328" i="22" s="1"/>
  <c r="E327" i="22"/>
  <c r="F327" i="22" s="1"/>
  <c r="E326" i="22"/>
  <c r="F326" i="22" s="1"/>
  <c r="E325" i="22"/>
  <c r="F325" i="22" s="1"/>
  <c r="E324" i="22"/>
  <c r="F324" i="22" s="1"/>
  <c r="E323" i="22"/>
  <c r="F323" i="22" s="1"/>
  <c r="E322" i="22"/>
  <c r="F322" i="22" s="1"/>
  <c r="E321" i="22"/>
  <c r="F321" i="22" s="1"/>
  <c r="E320" i="22"/>
  <c r="F320" i="22" s="1"/>
  <c r="E319" i="22"/>
  <c r="F319" i="22" s="1"/>
  <c r="E318" i="22"/>
  <c r="F318" i="22" s="1"/>
  <c r="E317" i="22"/>
  <c r="F317" i="22" s="1"/>
  <c r="E316" i="22"/>
  <c r="F316" i="22" s="1"/>
  <c r="E315" i="22"/>
  <c r="F315" i="22" s="1"/>
  <c r="E314" i="22"/>
  <c r="F314" i="22" s="1"/>
  <c r="E313" i="22"/>
  <c r="F313" i="22" s="1"/>
  <c r="E312" i="22"/>
  <c r="F312" i="22" s="1"/>
  <c r="E311" i="22"/>
  <c r="F311" i="22" s="1"/>
  <c r="E310" i="22"/>
  <c r="F310" i="22" s="1"/>
  <c r="E309" i="22"/>
  <c r="F309" i="22" s="1"/>
  <c r="E308" i="22"/>
  <c r="F308" i="22" s="1"/>
  <c r="E307" i="22"/>
  <c r="F307" i="22" s="1"/>
  <c r="E306" i="22"/>
  <c r="F306" i="22" s="1"/>
  <c r="E305" i="22"/>
  <c r="F305" i="22" s="1"/>
  <c r="E304" i="22"/>
  <c r="F304" i="22" s="1"/>
  <c r="E303" i="22"/>
  <c r="F303" i="22" s="1"/>
  <c r="E302" i="22"/>
  <c r="F302" i="22" s="1"/>
  <c r="E301" i="22"/>
  <c r="F301" i="22" s="1"/>
  <c r="E300" i="22"/>
  <c r="F300" i="22" s="1"/>
  <c r="E299" i="22"/>
  <c r="F299" i="22" s="1"/>
  <c r="E298" i="22"/>
  <c r="F298" i="22" s="1"/>
  <c r="E297" i="22"/>
  <c r="F297" i="22" s="1"/>
  <c r="E296" i="22"/>
  <c r="F296" i="22" s="1"/>
  <c r="E295" i="22"/>
  <c r="F295" i="22" s="1"/>
  <c r="E294" i="22"/>
  <c r="F294" i="22" s="1"/>
  <c r="E293" i="22"/>
  <c r="F293" i="22" s="1"/>
  <c r="E292" i="22"/>
  <c r="F292" i="22" s="1"/>
  <c r="E291" i="22"/>
  <c r="F291" i="22" s="1"/>
  <c r="E290" i="22"/>
  <c r="F290" i="22" s="1"/>
  <c r="E289" i="22"/>
  <c r="F289" i="22" s="1"/>
  <c r="E288" i="22"/>
  <c r="F288" i="22" s="1"/>
  <c r="E287" i="22"/>
  <c r="F287" i="22" s="1"/>
  <c r="E286" i="22"/>
  <c r="F286" i="22" s="1"/>
  <c r="E285" i="22"/>
  <c r="F285" i="22" s="1"/>
  <c r="E284" i="22"/>
  <c r="F284" i="22" s="1"/>
  <c r="E283" i="22"/>
  <c r="F283" i="22" s="1"/>
  <c r="E282" i="22"/>
  <c r="F282" i="22" s="1"/>
  <c r="E281" i="22"/>
  <c r="F281" i="22" s="1"/>
  <c r="E280" i="22"/>
  <c r="F280" i="22" s="1"/>
  <c r="E279" i="22"/>
  <c r="F279" i="22" s="1"/>
  <c r="E278" i="22"/>
  <c r="F278" i="22" s="1"/>
  <c r="E277" i="22"/>
  <c r="F277" i="22" s="1"/>
  <c r="E276" i="22"/>
  <c r="F276" i="22" s="1"/>
  <c r="E275" i="22"/>
  <c r="F275" i="22" s="1"/>
  <c r="E274" i="22"/>
  <c r="F274" i="22" s="1"/>
  <c r="E273" i="22"/>
  <c r="F273" i="22" s="1"/>
  <c r="E272" i="22"/>
  <c r="F272" i="22" s="1"/>
  <c r="E271" i="22"/>
  <c r="F271" i="22" s="1"/>
  <c r="E270" i="22"/>
  <c r="F270" i="22" s="1"/>
  <c r="E269" i="22"/>
  <c r="F269" i="22" s="1"/>
  <c r="E268" i="22"/>
  <c r="F268" i="22" s="1"/>
  <c r="E267" i="22"/>
  <c r="F267" i="22" s="1"/>
  <c r="E266" i="22"/>
  <c r="F266" i="22" s="1"/>
  <c r="E265" i="22"/>
  <c r="F265" i="22" s="1"/>
  <c r="E264" i="22"/>
  <c r="F264" i="22" s="1"/>
  <c r="E263" i="22"/>
  <c r="F263" i="22" s="1"/>
  <c r="E262" i="22"/>
  <c r="F262" i="22" s="1"/>
  <c r="E261" i="22"/>
  <c r="F261" i="22" s="1"/>
  <c r="E260" i="22"/>
  <c r="F260" i="22" s="1"/>
  <c r="E259" i="22"/>
  <c r="F259" i="22" s="1"/>
  <c r="E258" i="22"/>
  <c r="F258" i="22" s="1"/>
  <c r="E257" i="22"/>
  <c r="F257" i="22" s="1"/>
  <c r="E256" i="22"/>
  <c r="F256" i="22" s="1"/>
  <c r="E255" i="22"/>
  <c r="F255" i="22" s="1"/>
  <c r="E254" i="22"/>
  <c r="F254" i="22" s="1"/>
  <c r="E253" i="22"/>
  <c r="F253" i="22" s="1"/>
  <c r="E252" i="22"/>
  <c r="F252" i="22" s="1"/>
  <c r="E251" i="22"/>
  <c r="F251" i="22" s="1"/>
  <c r="E250" i="22"/>
  <c r="F250" i="22" s="1"/>
  <c r="E249" i="22"/>
  <c r="F249" i="22" s="1"/>
  <c r="E248" i="22"/>
  <c r="F248" i="22" s="1"/>
  <c r="E247" i="22"/>
  <c r="F247" i="22" s="1"/>
  <c r="E246" i="22"/>
  <c r="F246" i="22" s="1"/>
  <c r="E245" i="22"/>
  <c r="F245" i="22" s="1"/>
  <c r="E244" i="22"/>
  <c r="F244" i="22" s="1"/>
  <c r="E243" i="22"/>
  <c r="F243" i="22" s="1"/>
  <c r="E242" i="22"/>
  <c r="F242" i="22" s="1"/>
  <c r="E241" i="22"/>
  <c r="F241" i="22" s="1"/>
  <c r="E240" i="22"/>
  <c r="F240" i="22" s="1"/>
  <c r="E239" i="22"/>
  <c r="F239" i="22" s="1"/>
  <c r="E238" i="22"/>
  <c r="F238" i="22" s="1"/>
  <c r="E237" i="22"/>
  <c r="F237" i="22" s="1"/>
  <c r="E236" i="22"/>
  <c r="F236" i="22" s="1"/>
  <c r="E235" i="22"/>
  <c r="F235" i="22" s="1"/>
  <c r="E234" i="22"/>
  <c r="F234" i="22" s="1"/>
  <c r="E233" i="22"/>
  <c r="F233" i="22" s="1"/>
  <c r="E232" i="22"/>
  <c r="F232" i="22" s="1"/>
  <c r="E231" i="22"/>
  <c r="F231" i="22" s="1"/>
  <c r="E230" i="22"/>
  <c r="F230" i="22" s="1"/>
  <c r="E229" i="22"/>
  <c r="F229" i="22" s="1"/>
  <c r="E228" i="22"/>
  <c r="F228" i="22" s="1"/>
  <c r="E227" i="22"/>
  <c r="F227" i="22" s="1"/>
  <c r="E226" i="22"/>
  <c r="F226" i="22" s="1"/>
  <c r="E225" i="22"/>
  <c r="F225" i="22" s="1"/>
  <c r="E224" i="22"/>
  <c r="F224" i="22" s="1"/>
  <c r="E223" i="22"/>
  <c r="F223" i="22" s="1"/>
  <c r="E222" i="22"/>
  <c r="F222" i="22" s="1"/>
  <c r="E221" i="22"/>
  <c r="F221" i="22" s="1"/>
  <c r="E220" i="22"/>
  <c r="F220" i="22" s="1"/>
  <c r="E219" i="22"/>
  <c r="F219" i="22" s="1"/>
  <c r="E218" i="22"/>
  <c r="F218" i="22" s="1"/>
  <c r="E217" i="22"/>
  <c r="F217" i="22" s="1"/>
  <c r="E216" i="22"/>
  <c r="F216" i="22" s="1"/>
  <c r="E215" i="22"/>
  <c r="F215" i="22" s="1"/>
  <c r="E214" i="22"/>
  <c r="F214" i="22" s="1"/>
  <c r="E213" i="22"/>
  <c r="F213" i="22" s="1"/>
  <c r="E212" i="22"/>
  <c r="F212" i="22" s="1"/>
  <c r="E211" i="22"/>
  <c r="F211" i="22" s="1"/>
  <c r="E210" i="22"/>
  <c r="F210" i="22" s="1"/>
  <c r="E209" i="22"/>
  <c r="F209" i="22" s="1"/>
  <c r="E208" i="22"/>
  <c r="F208" i="22" s="1"/>
  <c r="E207" i="22"/>
  <c r="F207" i="22" s="1"/>
  <c r="E206" i="22"/>
  <c r="F206" i="22" s="1"/>
  <c r="E205" i="22"/>
  <c r="F205" i="22" s="1"/>
  <c r="E204" i="22"/>
  <c r="F204" i="22" s="1"/>
  <c r="E203" i="22"/>
  <c r="F203" i="22" s="1"/>
  <c r="E202" i="22"/>
  <c r="F202" i="22" s="1"/>
  <c r="E201" i="22"/>
  <c r="F201" i="22" s="1"/>
  <c r="E200" i="22"/>
  <c r="F200" i="22" s="1"/>
  <c r="E199" i="22"/>
  <c r="F199" i="22" s="1"/>
  <c r="E198" i="22"/>
  <c r="F198" i="22" s="1"/>
  <c r="E197" i="22"/>
  <c r="F197" i="22" s="1"/>
  <c r="E196" i="22"/>
  <c r="F196" i="22" s="1"/>
  <c r="E195" i="22"/>
  <c r="F195" i="22" s="1"/>
  <c r="E194" i="22"/>
  <c r="F194" i="22" s="1"/>
  <c r="E193" i="22"/>
  <c r="F193" i="22" s="1"/>
  <c r="E192" i="22"/>
  <c r="F192" i="22" s="1"/>
  <c r="E191" i="22"/>
  <c r="F191" i="22" s="1"/>
  <c r="E190" i="22"/>
  <c r="F190" i="22" s="1"/>
  <c r="E189" i="22"/>
  <c r="F189" i="22" s="1"/>
  <c r="E188" i="22"/>
  <c r="F188" i="22" s="1"/>
  <c r="E187" i="22"/>
  <c r="F187" i="22" s="1"/>
  <c r="E186" i="22"/>
  <c r="F186" i="22" s="1"/>
  <c r="E185" i="22"/>
  <c r="F185" i="22" s="1"/>
  <c r="E184" i="22"/>
  <c r="F184" i="22" s="1"/>
  <c r="E183" i="22"/>
  <c r="F183" i="22" s="1"/>
  <c r="E182" i="22"/>
  <c r="F182" i="22" s="1"/>
  <c r="E181" i="22"/>
  <c r="F181" i="22" s="1"/>
  <c r="E180" i="22"/>
  <c r="F180" i="22" s="1"/>
  <c r="E179" i="22"/>
  <c r="F179" i="22" s="1"/>
  <c r="E178" i="22"/>
  <c r="F178" i="22" s="1"/>
  <c r="E177" i="22"/>
  <c r="F177" i="22" s="1"/>
  <c r="E176" i="22"/>
  <c r="F176" i="22" s="1"/>
  <c r="E175" i="22"/>
  <c r="F175" i="22" s="1"/>
  <c r="E174" i="22"/>
  <c r="F174" i="22" s="1"/>
  <c r="E173" i="22"/>
  <c r="F173" i="22" s="1"/>
  <c r="E172" i="22"/>
  <c r="F172" i="22" s="1"/>
  <c r="E171" i="22"/>
  <c r="F171" i="22" s="1"/>
  <c r="E170" i="22"/>
  <c r="F170" i="22" s="1"/>
  <c r="E169" i="22"/>
  <c r="F169" i="22" s="1"/>
  <c r="E168" i="22"/>
  <c r="F168" i="22" s="1"/>
  <c r="E167" i="22"/>
  <c r="F167" i="22" s="1"/>
  <c r="E166" i="22"/>
  <c r="F166" i="22" s="1"/>
  <c r="E165" i="22"/>
  <c r="F165" i="22" s="1"/>
  <c r="E164" i="22"/>
  <c r="F164" i="22" s="1"/>
  <c r="E163" i="22"/>
  <c r="F163" i="22" s="1"/>
  <c r="E162" i="22"/>
  <c r="F162" i="22" s="1"/>
  <c r="E161" i="22"/>
  <c r="F161" i="22" s="1"/>
  <c r="E160" i="22"/>
  <c r="F160" i="22" s="1"/>
  <c r="E159" i="22"/>
  <c r="F159" i="22" s="1"/>
  <c r="E158" i="22"/>
  <c r="F158" i="22" s="1"/>
  <c r="E157" i="22"/>
  <c r="F157" i="22" s="1"/>
  <c r="E156" i="22"/>
  <c r="F156" i="22" s="1"/>
  <c r="E155" i="22"/>
  <c r="F155" i="22" s="1"/>
  <c r="E154" i="22"/>
  <c r="F154" i="22" s="1"/>
  <c r="E153" i="22"/>
  <c r="F153" i="22" s="1"/>
  <c r="E152" i="22"/>
  <c r="F152" i="22" s="1"/>
  <c r="E151" i="22"/>
  <c r="F151" i="22" s="1"/>
  <c r="E150" i="22"/>
  <c r="F150" i="22" s="1"/>
  <c r="E149" i="22"/>
  <c r="F149" i="22" s="1"/>
  <c r="E148" i="22"/>
  <c r="F148" i="22" s="1"/>
  <c r="E147" i="22"/>
  <c r="F147" i="22" s="1"/>
  <c r="E146" i="22"/>
  <c r="F146" i="22" s="1"/>
  <c r="E145" i="22"/>
  <c r="F145" i="22" s="1"/>
  <c r="E144" i="22"/>
  <c r="F144" i="22" s="1"/>
  <c r="E143" i="22"/>
  <c r="F143" i="22" s="1"/>
  <c r="E142" i="22"/>
  <c r="F142" i="22" s="1"/>
  <c r="E141" i="22"/>
  <c r="F141" i="22" s="1"/>
  <c r="E140" i="22"/>
  <c r="F140" i="22" s="1"/>
  <c r="E139" i="22"/>
  <c r="F139" i="22" s="1"/>
  <c r="E138" i="22"/>
  <c r="F138" i="22" s="1"/>
  <c r="E137" i="22"/>
  <c r="F137" i="22" s="1"/>
  <c r="E136" i="22"/>
  <c r="F136" i="22" s="1"/>
  <c r="E135" i="22"/>
  <c r="F135" i="22" s="1"/>
  <c r="E134" i="22"/>
  <c r="F134" i="22" s="1"/>
  <c r="E133" i="22"/>
  <c r="F133" i="22" s="1"/>
  <c r="E132" i="22"/>
  <c r="F132" i="22" s="1"/>
  <c r="E131" i="22"/>
  <c r="F131" i="22" s="1"/>
  <c r="E130" i="22"/>
  <c r="F130" i="22" s="1"/>
  <c r="E129" i="22"/>
  <c r="F129" i="22" s="1"/>
  <c r="E128" i="22"/>
  <c r="F128" i="22" s="1"/>
  <c r="E127" i="22"/>
  <c r="F127" i="22" s="1"/>
  <c r="E126" i="22"/>
  <c r="F126" i="22" s="1"/>
  <c r="E125" i="22"/>
  <c r="F125" i="22" s="1"/>
  <c r="E124" i="22"/>
  <c r="F124" i="22" s="1"/>
  <c r="E123" i="22"/>
  <c r="F123" i="22" s="1"/>
  <c r="E122" i="22"/>
  <c r="F122" i="22" s="1"/>
  <c r="E121" i="22"/>
  <c r="F121" i="22" s="1"/>
  <c r="E120" i="22"/>
  <c r="F120" i="22" s="1"/>
  <c r="E119" i="22"/>
  <c r="F119" i="22" s="1"/>
  <c r="E118" i="22"/>
  <c r="F118" i="22" s="1"/>
  <c r="E117" i="22"/>
  <c r="F117" i="22" s="1"/>
  <c r="E116" i="22"/>
  <c r="F116" i="22" s="1"/>
  <c r="E115" i="22"/>
  <c r="F115" i="22" s="1"/>
  <c r="E114" i="22"/>
  <c r="F114" i="22" s="1"/>
  <c r="E113" i="22"/>
  <c r="F113" i="22" s="1"/>
  <c r="E112" i="22"/>
  <c r="F112" i="22" s="1"/>
  <c r="E111" i="22"/>
  <c r="F111" i="22" s="1"/>
  <c r="E110" i="22"/>
  <c r="F110" i="22" s="1"/>
  <c r="E109" i="22"/>
  <c r="F109" i="22" s="1"/>
  <c r="E108" i="22"/>
  <c r="F108" i="22" s="1"/>
  <c r="E107" i="22"/>
  <c r="F107" i="22" s="1"/>
  <c r="E106" i="22"/>
  <c r="F106" i="22" s="1"/>
  <c r="E105" i="22"/>
  <c r="F105" i="22" s="1"/>
  <c r="E104" i="22"/>
  <c r="F104" i="22" s="1"/>
  <c r="E103" i="22"/>
  <c r="F103" i="22" s="1"/>
  <c r="E102" i="22"/>
  <c r="F102" i="22" s="1"/>
  <c r="E101" i="22"/>
  <c r="F101" i="22" s="1"/>
  <c r="E100" i="22"/>
  <c r="F100" i="22" s="1"/>
  <c r="E99" i="22"/>
  <c r="F99" i="22" s="1"/>
  <c r="E98" i="22"/>
  <c r="F98" i="22" s="1"/>
  <c r="E97" i="22"/>
  <c r="F97" i="22" s="1"/>
  <c r="E96" i="22"/>
  <c r="F96" i="22" s="1"/>
  <c r="E95" i="22"/>
  <c r="F95" i="22" s="1"/>
  <c r="E94" i="22"/>
  <c r="F94" i="22" s="1"/>
  <c r="E93" i="22"/>
  <c r="F93" i="22" s="1"/>
  <c r="E92" i="22"/>
  <c r="F92" i="22" s="1"/>
  <c r="E91" i="22"/>
  <c r="F91" i="22" s="1"/>
  <c r="E90" i="22"/>
  <c r="F90" i="22" s="1"/>
  <c r="E89" i="22"/>
  <c r="F89" i="22" s="1"/>
  <c r="E88" i="22"/>
  <c r="F88" i="22" s="1"/>
  <c r="E87" i="22"/>
  <c r="F87" i="22" s="1"/>
  <c r="E86" i="22"/>
  <c r="F86" i="22" s="1"/>
  <c r="E85" i="22"/>
  <c r="F85" i="22" s="1"/>
  <c r="E84" i="22"/>
  <c r="F84" i="22" s="1"/>
  <c r="E83" i="22"/>
  <c r="F83" i="22" s="1"/>
  <c r="E82" i="22"/>
  <c r="F82" i="22" s="1"/>
  <c r="E81" i="22"/>
  <c r="F81" i="22" s="1"/>
  <c r="E80" i="22"/>
  <c r="F80" i="22" s="1"/>
  <c r="E79" i="22"/>
  <c r="F79" i="22" s="1"/>
  <c r="E78" i="22"/>
  <c r="F78" i="22" s="1"/>
  <c r="E77" i="22"/>
  <c r="F77" i="22" s="1"/>
  <c r="E76" i="22"/>
  <c r="F76" i="22" s="1"/>
  <c r="E75" i="22"/>
  <c r="F75" i="22" s="1"/>
  <c r="E74" i="22"/>
  <c r="F74" i="22" s="1"/>
  <c r="E73" i="22"/>
  <c r="F73" i="22" s="1"/>
  <c r="E72" i="22"/>
  <c r="F72" i="22" s="1"/>
  <c r="E71" i="22"/>
  <c r="F71" i="22" s="1"/>
  <c r="E70" i="22"/>
  <c r="F70" i="22" s="1"/>
  <c r="E69" i="22"/>
  <c r="F69" i="22" s="1"/>
  <c r="E68" i="22"/>
  <c r="F68" i="22" s="1"/>
  <c r="E67" i="22"/>
  <c r="F67" i="22" s="1"/>
  <c r="E66" i="22"/>
  <c r="F66" i="22" s="1"/>
  <c r="E65" i="22"/>
  <c r="F65" i="22" s="1"/>
  <c r="E64" i="22"/>
  <c r="F64" i="22" s="1"/>
  <c r="E63" i="22"/>
  <c r="F63" i="22" s="1"/>
  <c r="E62" i="22"/>
  <c r="F62" i="22" s="1"/>
  <c r="E61" i="22"/>
  <c r="F61" i="22" s="1"/>
  <c r="E60" i="22"/>
  <c r="F60" i="22" s="1"/>
  <c r="E59" i="22"/>
  <c r="F59" i="22" s="1"/>
  <c r="E58" i="22"/>
  <c r="F58" i="22" s="1"/>
  <c r="E57" i="22"/>
  <c r="F57" i="22" s="1"/>
  <c r="E56" i="22"/>
  <c r="F56" i="22" s="1"/>
  <c r="E55" i="22"/>
  <c r="F55" i="22" s="1"/>
  <c r="E54" i="22"/>
  <c r="F54" i="22" s="1"/>
  <c r="E53" i="22"/>
  <c r="F53" i="22" s="1"/>
  <c r="E52" i="22"/>
  <c r="F52" i="22" s="1"/>
  <c r="E51" i="22"/>
  <c r="F51" i="22" s="1"/>
  <c r="E50" i="22"/>
  <c r="F50" i="22" s="1"/>
  <c r="E49" i="22"/>
  <c r="F49" i="22" s="1"/>
  <c r="E48" i="22"/>
  <c r="F48" i="22" s="1"/>
  <c r="E47" i="22"/>
  <c r="F47" i="22" s="1"/>
  <c r="E46" i="22"/>
  <c r="F46" i="22" s="1"/>
  <c r="E45" i="22"/>
  <c r="F45" i="22" s="1"/>
  <c r="E44" i="22"/>
  <c r="F44" i="22" s="1"/>
  <c r="E43" i="22"/>
  <c r="F43" i="22" s="1"/>
  <c r="E42" i="22"/>
  <c r="F42" i="22" s="1"/>
  <c r="E41" i="22"/>
  <c r="F41" i="22" s="1"/>
  <c r="E40" i="22"/>
  <c r="F40" i="22" s="1"/>
  <c r="E39" i="22"/>
  <c r="F39" i="22" s="1"/>
  <c r="E38" i="22"/>
  <c r="F38" i="22" s="1"/>
  <c r="E37" i="22"/>
  <c r="F37" i="22" s="1"/>
  <c r="E36" i="22"/>
  <c r="F36" i="22" s="1"/>
  <c r="E35" i="22"/>
  <c r="F35" i="22" s="1"/>
  <c r="E34" i="22"/>
  <c r="F34" i="22" s="1"/>
  <c r="E33" i="22"/>
  <c r="F33" i="22" s="1"/>
  <c r="E32" i="22"/>
  <c r="F32" i="22" s="1"/>
  <c r="E31" i="22"/>
  <c r="F31" i="22" s="1"/>
  <c r="E30" i="22"/>
  <c r="F30" i="22" s="1"/>
  <c r="E29" i="22"/>
  <c r="F29" i="22" s="1"/>
  <c r="E28" i="22"/>
  <c r="F28" i="22" s="1"/>
  <c r="E27" i="22"/>
  <c r="F27" i="22" s="1"/>
  <c r="E26" i="22"/>
  <c r="F26" i="22" s="1"/>
  <c r="E25" i="22"/>
  <c r="F25" i="22" s="1"/>
  <c r="E24" i="22"/>
  <c r="F24" i="22" s="1"/>
  <c r="E23" i="22"/>
  <c r="F23" i="22" s="1"/>
  <c r="E22" i="22"/>
  <c r="F22" i="22" s="1"/>
  <c r="E21" i="22"/>
  <c r="F21" i="22" s="1"/>
  <c r="E20" i="22"/>
  <c r="F20" i="22" s="1"/>
  <c r="E19" i="22"/>
  <c r="F19" i="22" s="1"/>
  <c r="E18" i="22"/>
  <c r="F18" i="22" s="1"/>
  <c r="E17" i="22"/>
  <c r="F17" i="22" s="1"/>
  <c r="E16" i="22"/>
  <c r="F16" i="22" s="1"/>
  <c r="E15" i="22"/>
  <c r="F15" i="22" s="1"/>
  <c r="E14" i="22"/>
  <c r="F14" i="22" s="1"/>
  <c r="E13" i="22"/>
  <c r="F13" i="22" s="1"/>
  <c r="E12" i="22"/>
  <c r="F12" i="22" s="1"/>
  <c r="E11" i="22"/>
  <c r="F11" i="22" s="1"/>
  <c r="E10" i="22"/>
  <c r="F10" i="22" s="1"/>
  <c r="E9" i="22"/>
  <c r="F9" i="22" s="1"/>
  <c r="E8" i="22"/>
  <c r="F8" i="22" s="1"/>
  <c r="E7" i="22"/>
  <c r="F7" i="22" s="1"/>
  <c r="E6" i="22"/>
  <c r="F6" i="22" s="1"/>
  <c r="E5" i="22"/>
  <c r="F5" i="22" s="1"/>
  <c r="E4" i="22"/>
  <c r="F4" i="22" s="1"/>
  <c r="E3" i="22"/>
  <c r="F3" i="22" s="1"/>
  <c r="AG131" i="14"/>
  <c r="AG130" i="14"/>
  <c r="AG129" i="14"/>
  <c r="AG128" i="14"/>
  <c r="H190" i="6"/>
  <c r="H189" i="6"/>
  <c r="H188" i="6"/>
  <c r="H187" i="6"/>
  <c r="G190" i="6"/>
  <c r="E190" i="6" s="1"/>
  <c r="G189" i="6"/>
  <c r="E189" i="6" s="1"/>
  <c r="G188" i="6"/>
  <c r="E188" i="6" s="1"/>
  <c r="G187" i="6"/>
  <c r="E187" i="6" s="1"/>
  <c r="C190" i="6"/>
  <c r="C189" i="6"/>
  <c r="C188" i="6"/>
  <c r="C187" i="6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Q159" i="20" l="1"/>
  <c r="P158" i="20"/>
  <c r="O158" i="20"/>
  <c r="L158" i="20"/>
  <c r="P157" i="20"/>
  <c r="O157" i="20"/>
  <c r="L157" i="20"/>
  <c r="Q156" i="20"/>
  <c r="Y159" i="14"/>
  <c r="AB159" i="14"/>
  <c r="Y158" i="14"/>
  <c r="AB158" i="14"/>
  <c r="AD157" i="14"/>
  <c r="AE157" i="14" s="1"/>
  <c r="Z157" i="14"/>
  <c r="V157" i="14"/>
  <c r="AA157" i="14"/>
  <c r="AF157" i="14"/>
  <c r="X157" i="14"/>
  <c r="Y156" i="14"/>
  <c r="AC156" i="14" s="1"/>
  <c r="AH156" i="14" s="1"/>
  <c r="J156" i="14" s="1"/>
  <c r="AB156" i="14"/>
  <c r="Y151" i="20"/>
  <c r="AB151" i="20"/>
  <c r="AD150" i="20"/>
  <c r="AE150" i="20" s="1"/>
  <c r="Z150" i="20"/>
  <c r="V150" i="20"/>
  <c r="AA150" i="20"/>
  <c r="AF150" i="20"/>
  <c r="X150" i="20"/>
  <c r="Y149" i="20"/>
  <c r="AC149" i="20" s="1"/>
  <c r="AB149" i="20"/>
  <c r="Y148" i="20"/>
  <c r="AC148" i="20" s="1"/>
  <c r="AB148" i="20"/>
  <c r="Y146" i="20"/>
  <c r="Y145" i="20"/>
  <c r="AB145" i="20" s="1"/>
  <c r="AC145" i="20"/>
  <c r="Y144" i="20"/>
  <c r="AB144" i="20" s="1"/>
  <c r="Y147" i="20"/>
  <c r="AC147" i="20" s="1"/>
  <c r="AB147" i="20"/>
  <c r="AG127" i="20"/>
  <c r="AA127" i="20"/>
  <c r="H127" i="20"/>
  <c r="AG126" i="20"/>
  <c r="AF126" i="20"/>
  <c r="X126" i="20"/>
  <c r="H126" i="20"/>
  <c r="AG125" i="20"/>
  <c r="H125" i="20"/>
  <c r="AG124" i="20"/>
  <c r="AG123" i="20"/>
  <c r="AA123" i="20"/>
  <c r="H123" i="20"/>
  <c r="AG122" i="20"/>
  <c r="AF122" i="20"/>
  <c r="X122" i="20"/>
  <c r="H122" i="20"/>
  <c r="AG121" i="20"/>
  <c r="H121" i="20"/>
  <c r="AG120" i="20"/>
  <c r="AG119" i="20"/>
  <c r="AA119" i="20"/>
  <c r="H119" i="20"/>
  <c r="AG118" i="20"/>
  <c r="AF118" i="20"/>
  <c r="X118" i="20"/>
  <c r="H118" i="20"/>
  <c r="AG117" i="20"/>
  <c r="H117" i="20"/>
  <c r="AG116" i="20"/>
  <c r="AG115" i="20"/>
  <c r="AG114" i="20"/>
  <c r="H114" i="20"/>
  <c r="AG113" i="20"/>
  <c r="AG112" i="20"/>
  <c r="H112" i="20"/>
  <c r="AG111" i="20"/>
  <c r="AG110" i="20"/>
  <c r="AA110" i="20"/>
  <c r="H110" i="20"/>
  <c r="AG109" i="20"/>
  <c r="AF109" i="20"/>
  <c r="H109" i="20"/>
  <c r="AG108" i="20"/>
  <c r="H108" i="20"/>
  <c r="AG107" i="20"/>
  <c r="AG106" i="20"/>
  <c r="H106" i="20"/>
  <c r="AG105" i="20"/>
  <c r="X105" i="20"/>
  <c r="H105" i="20"/>
  <c r="AG104" i="20"/>
  <c r="H104" i="20"/>
  <c r="AG103" i="20"/>
  <c r="AG102" i="20"/>
  <c r="AG101" i="20"/>
  <c r="AF101" i="20"/>
  <c r="AA101" i="20"/>
  <c r="X101" i="20"/>
  <c r="H101" i="20"/>
  <c r="AG100" i="20"/>
  <c r="AF100" i="20"/>
  <c r="X100" i="20"/>
  <c r="H100" i="20"/>
  <c r="AG99" i="20"/>
  <c r="AG98" i="20"/>
  <c r="AG97" i="20"/>
  <c r="AF97" i="20"/>
  <c r="X97" i="20"/>
  <c r="H97" i="20"/>
  <c r="AG96" i="20"/>
  <c r="AF96" i="20"/>
  <c r="X96" i="20"/>
  <c r="H96" i="20"/>
  <c r="AG95" i="20"/>
  <c r="AG94" i="20"/>
  <c r="AD94" i="20"/>
  <c r="AE94" i="20" s="1"/>
  <c r="V94" i="20"/>
  <c r="W94" i="20" s="1"/>
  <c r="AG93" i="20"/>
  <c r="H93" i="20"/>
  <c r="AG92" i="20"/>
  <c r="H92" i="20"/>
  <c r="AG91" i="20"/>
  <c r="AG90" i="20"/>
  <c r="AA90" i="20"/>
  <c r="H90" i="20"/>
  <c r="AG89" i="20"/>
  <c r="AF89" i="20"/>
  <c r="AA89" i="20"/>
  <c r="X89" i="20"/>
  <c r="H89" i="20"/>
  <c r="AG88" i="20"/>
  <c r="AF88" i="20"/>
  <c r="Y88" i="20"/>
  <c r="X88" i="20"/>
  <c r="H88" i="20"/>
  <c r="AG87" i="20"/>
  <c r="AG86" i="20"/>
  <c r="AG85" i="20"/>
  <c r="AF85" i="20"/>
  <c r="X85" i="20"/>
  <c r="H85" i="20"/>
  <c r="AG84" i="20"/>
  <c r="AG83" i="20"/>
  <c r="AG82" i="20"/>
  <c r="AD82" i="20"/>
  <c r="AE82" i="20" s="1"/>
  <c r="AA82" i="20"/>
  <c r="AG81" i="20"/>
  <c r="AG80" i="20"/>
  <c r="AE80" i="20"/>
  <c r="AD80" i="20"/>
  <c r="V80" i="20"/>
  <c r="W80" i="20" s="1"/>
  <c r="AG79" i="20"/>
  <c r="H79" i="20"/>
  <c r="AG78" i="20"/>
  <c r="AG77" i="20"/>
  <c r="AG76" i="20"/>
  <c r="Z76" i="20"/>
  <c r="H76" i="20"/>
  <c r="AG75" i="20"/>
  <c r="AF75" i="20"/>
  <c r="AA75" i="20"/>
  <c r="X75" i="20"/>
  <c r="H75" i="20"/>
  <c r="AG74" i="20"/>
  <c r="AF74" i="20"/>
  <c r="Y74" i="20"/>
  <c r="X74" i="20"/>
  <c r="AG73" i="20"/>
  <c r="AG72" i="20"/>
  <c r="AE72" i="20"/>
  <c r="AD72" i="20"/>
  <c r="W72" i="20"/>
  <c r="V72" i="20"/>
  <c r="AG71" i="20"/>
  <c r="H71" i="20"/>
  <c r="AG70" i="20"/>
  <c r="AG69" i="20"/>
  <c r="AG68" i="20"/>
  <c r="AA68" i="20"/>
  <c r="H68" i="20"/>
  <c r="AG67" i="20"/>
  <c r="AF67" i="20"/>
  <c r="AA67" i="20"/>
  <c r="X67" i="20"/>
  <c r="H67" i="20"/>
  <c r="AG66" i="20"/>
  <c r="AF66" i="20"/>
  <c r="Y66" i="20"/>
  <c r="X66" i="20"/>
  <c r="AG65" i="20"/>
  <c r="AG64" i="20"/>
  <c r="AD64" i="20"/>
  <c r="AE64" i="20" s="1"/>
  <c r="H64" i="20"/>
  <c r="AG63" i="20"/>
  <c r="AF63" i="20"/>
  <c r="AA63" i="20"/>
  <c r="X63" i="20"/>
  <c r="H63" i="20"/>
  <c r="AG62" i="20"/>
  <c r="X62" i="20"/>
  <c r="AG61" i="20"/>
  <c r="AG60" i="20"/>
  <c r="AG59" i="20"/>
  <c r="AF59" i="20"/>
  <c r="X59" i="20"/>
  <c r="H59" i="20"/>
  <c r="AG58" i="20"/>
  <c r="AF58" i="20"/>
  <c r="X58" i="20"/>
  <c r="AG57" i="20"/>
  <c r="AG56" i="20"/>
  <c r="AD56" i="20"/>
  <c r="AE56" i="20" s="1"/>
  <c r="AA56" i="20"/>
  <c r="V56" i="20"/>
  <c r="W56" i="20" s="1"/>
  <c r="H56" i="20"/>
  <c r="AG55" i="20"/>
  <c r="H55" i="20"/>
  <c r="AG54" i="20"/>
  <c r="AG53" i="20"/>
  <c r="AG52" i="20"/>
  <c r="AG51" i="20"/>
  <c r="AF51" i="20"/>
  <c r="X51" i="20"/>
  <c r="H51" i="20"/>
  <c r="AG50" i="20"/>
  <c r="AF50" i="20"/>
  <c r="X50" i="20"/>
  <c r="AG49" i="20"/>
  <c r="AG48" i="20"/>
  <c r="AD48" i="20"/>
  <c r="AE48" i="20" s="1"/>
  <c r="AA48" i="20"/>
  <c r="V48" i="20"/>
  <c r="W48" i="20" s="1"/>
  <c r="H48" i="20"/>
  <c r="AG47" i="20"/>
  <c r="X47" i="20"/>
  <c r="Y47" i="20" s="1"/>
  <c r="H47" i="20"/>
  <c r="AG46" i="20"/>
  <c r="AG45" i="20"/>
  <c r="H45" i="20"/>
  <c r="AG44" i="20"/>
  <c r="AG43" i="20"/>
  <c r="AA43" i="20"/>
  <c r="H43" i="20"/>
  <c r="AG42" i="20"/>
  <c r="AF42" i="20"/>
  <c r="AA42" i="20"/>
  <c r="X42" i="20"/>
  <c r="H42" i="20"/>
  <c r="AG41" i="20"/>
  <c r="AF41" i="20"/>
  <c r="Y41" i="20"/>
  <c r="X41" i="20"/>
  <c r="H41" i="20"/>
  <c r="AG40" i="20"/>
  <c r="AG39" i="20"/>
  <c r="AG38" i="20"/>
  <c r="AF38" i="20"/>
  <c r="X38" i="20"/>
  <c r="H38" i="20"/>
  <c r="AG37" i="20"/>
  <c r="AF37" i="20"/>
  <c r="X37" i="20"/>
  <c r="H37" i="20"/>
  <c r="AG36" i="20"/>
  <c r="AG35" i="20"/>
  <c r="AE35" i="20"/>
  <c r="AD35" i="20"/>
  <c r="W35" i="20"/>
  <c r="V35" i="20"/>
  <c r="H35" i="20"/>
  <c r="AG34" i="20"/>
  <c r="H34" i="20"/>
  <c r="AG33" i="20"/>
  <c r="H33" i="20"/>
  <c r="AG32" i="20"/>
  <c r="AG31" i="20"/>
  <c r="AD31" i="20"/>
  <c r="AE31" i="20" s="1"/>
  <c r="V31" i="20"/>
  <c r="W31" i="20" s="1"/>
  <c r="AG30" i="20"/>
  <c r="H30" i="20"/>
  <c r="AG29" i="20"/>
  <c r="H29" i="20"/>
  <c r="AG28" i="20"/>
  <c r="AG27" i="20"/>
  <c r="AA27" i="20"/>
  <c r="H27" i="20"/>
  <c r="AG26" i="20"/>
  <c r="AF26" i="20"/>
  <c r="AA26" i="20"/>
  <c r="X26" i="20"/>
  <c r="H26" i="20"/>
  <c r="AG25" i="20"/>
  <c r="AF25" i="20"/>
  <c r="Y25" i="20"/>
  <c r="X25" i="20"/>
  <c r="H25" i="20"/>
  <c r="AG24" i="20"/>
  <c r="AG23" i="20"/>
  <c r="AG22" i="20"/>
  <c r="AF22" i="20"/>
  <c r="X22" i="20"/>
  <c r="H22" i="20"/>
  <c r="AG21" i="20"/>
  <c r="H21" i="20"/>
  <c r="AG20" i="20"/>
  <c r="AG19" i="20"/>
  <c r="H19" i="20"/>
  <c r="AG18" i="20"/>
  <c r="H18" i="20"/>
  <c r="AG17" i="20"/>
  <c r="X17" i="20"/>
  <c r="H17" i="20"/>
  <c r="AG16" i="20"/>
  <c r="AG15" i="20"/>
  <c r="AD15" i="20"/>
  <c r="AE15" i="20" s="1"/>
  <c r="AA15" i="20"/>
  <c r="W15" i="20"/>
  <c r="V15" i="20"/>
  <c r="H15" i="20"/>
  <c r="AG14" i="20"/>
  <c r="AG13" i="20"/>
  <c r="H13" i="20"/>
  <c r="AG12" i="20"/>
  <c r="AG11" i="20"/>
  <c r="AG10" i="20"/>
  <c r="AF10" i="20"/>
  <c r="AD10" i="20"/>
  <c r="AE10" i="20" s="1"/>
  <c r="AA10" i="20"/>
  <c r="X10" i="20"/>
  <c r="V10" i="20"/>
  <c r="W10" i="20" s="1"/>
  <c r="H10" i="20"/>
  <c r="AG9" i="20"/>
  <c r="AF9" i="20"/>
  <c r="AA9" i="20"/>
  <c r="X9" i="20"/>
  <c r="Y9" i="20" s="1"/>
  <c r="H9" i="20"/>
  <c r="O6" i="20"/>
  <c r="O3" i="20"/>
  <c r="O2" i="20"/>
  <c r="H136" i="19"/>
  <c r="R159" i="20" l="1"/>
  <c r="T159" i="20"/>
  <c r="Q158" i="20"/>
  <c r="Q157" i="20"/>
  <c r="R156" i="20"/>
  <c r="T156" i="20" s="1"/>
  <c r="AC159" i="14"/>
  <c r="AH159" i="14" s="1"/>
  <c r="J159" i="14" s="1"/>
  <c r="AC158" i="14"/>
  <c r="AH158" i="14" s="1"/>
  <c r="J158" i="14" s="1"/>
  <c r="Y157" i="14"/>
  <c r="AC157" i="14" s="1"/>
  <c r="AB157" i="14"/>
  <c r="W157" i="14"/>
  <c r="AH157" i="14" s="1"/>
  <c r="J157" i="14" s="1"/>
  <c r="P156" i="14"/>
  <c r="L156" i="14"/>
  <c r="O156" i="14"/>
  <c r="AC151" i="20"/>
  <c r="AH151" i="20" s="1"/>
  <c r="AC150" i="20"/>
  <c r="Y150" i="20"/>
  <c r="AB150" i="20"/>
  <c r="W150" i="20"/>
  <c r="AC146" i="20"/>
  <c r="AB146" i="20"/>
  <c r="AH147" i="20"/>
  <c r="AC144" i="20"/>
  <c r="AH144" i="20" s="1"/>
  <c r="Y21" i="20"/>
  <c r="AB21" i="20" s="1"/>
  <c r="Y45" i="20"/>
  <c r="AB45" i="20" s="1"/>
  <c r="Z18" i="20"/>
  <c r="AD18" i="20"/>
  <c r="AE18" i="20" s="1"/>
  <c r="X18" i="20"/>
  <c r="AF18" i="20"/>
  <c r="AA18" i="20"/>
  <c r="V18" i="20"/>
  <c r="W18" i="20" s="1"/>
  <c r="AF11" i="20"/>
  <c r="X11" i="20"/>
  <c r="V16" i="20"/>
  <c r="W16" i="20" s="1"/>
  <c r="H24" i="20"/>
  <c r="AA29" i="20"/>
  <c r="AD29" i="20"/>
  <c r="AE29" i="20" s="1"/>
  <c r="Z29" i="20"/>
  <c r="V29" i="20"/>
  <c r="W29" i="20" s="1"/>
  <c r="Y38" i="20"/>
  <c r="AB38" i="20" s="1"/>
  <c r="AD9" i="20"/>
  <c r="AE9" i="20" s="1"/>
  <c r="Z9" i="20"/>
  <c r="V9" i="20"/>
  <c r="W9" i="20" s="1"/>
  <c r="AB9" i="20"/>
  <c r="H11" i="20"/>
  <c r="V11" i="20"/>
  <c r="W11" i="20" s="1"/>
  <c r="AA11" i="20"/>
  <c r="AA13" i="20"/>
  <c r="X14" i="20"/>
  <c r="AF15" i="20"/>
  <c r="X15" i="20"/>
  <c r="Z15" i="20"/>
  <c r="X16" i="20"/>
  <c r="Y17" i="20"/>
  <c r="AB17" i="20" s="1"/>
  <c r="H23" i="20"/>
  <c r="AA23" i="20"/>
  <c r="AA25" i="20"/>
  <c r="AD25" i="20"/>
  <c r="AE25" i="20" s="1"/>
  <c r="Z25" i="20"/>
  <c r="AB25" i="20" s="1"/>
  <c r="V25" i="20"/>
  <c r="W25" i="20" s="1"/>
  <c r="AD26" i="20"/>
  <c r="AE26" i="20" s="1"/>
  <c r="Z26" i="20"/>
  <c r="V26" i="20"/>
  <c r="W26" i="20" s="1"/>
  <c r="V27" i="20"/>
  <c r="W27" i="20" s="1"/>
  <c r="X33" i="20"/>
  <c r="X34" i="20"/>
  <c r="AF34" i="20"/>
  <c r="AF35" i="20"/>
  <c r="X35" i="20"/>
  <c r="Z35" i="20"/>
  <c r="H36" i="20"/>
  <c r="Y37" i="20"/>
  <c r="AC37" i="20" s="1"/>
  <c r="H39" i="20"/>
  <c r="AA39" i="20"/>
  <c r="AA41" i="20"/>
  <c r="AD41" i="20"/>
  <c r="AE41" i="20" s="1"/>
  <c r="Z41" i="20"/>
  <c r="V41" i="20"/>
  <c r="W41" i="20" s="1"/>
  <c r="AD42" i="20"/>
  <c r="AE42" i="20" s="1"/>
  <c r="Z42" i="20"/>
  <c r="AC42" i="20" s="1"/>
  <c r="V42" i="20"/>
  <c r="W42" i="20" s="1"/>
  <c r="V43" i="20"/>
  <c r="W43" i="20" s="1"/>
  <c r="AD45" i="20"/>
  <c r="AE45" i="20" s="1"/>
  <c r="AC51" i="20"/>
  <c r="Y51" i="20"/>
  <c r="AB63" i="20"/>
  <c r="Y63" i="20"/>
  <c r="AD79" i="20"/>
  <c r="AE79" i="20" s="1"/>
  <c r="Z79" i="20"/>
  <c r="V79" i="20"/>
  <c r="W79" i="20" s="1"/>
  <c r="AA79" i="20"/>
  <c r="AF79" i="20"/>
  <c r="X79" i="20"/>
  <c r="Y105" i="20"/>
  <c r="AC105" i="20" s="1"/>
  <c r="AC10" i="20"/>
  <c r="Y10" i="20"/>
  <c r="Z11" i="20"/>
  <c r="AC22" i="20"/>
  <c r="Y22" i="20"/>
  <c r="Z23" i="20"/>
  <c r="H40" i="20"/>
  <c r="AC9" i="20"/>
  <c r="AD13" i="20"/>
  <c r="AE13" i="20" s="1"/>
  <c r="Z13" i="20"/>
  <c r="V13" i="20"/>
  <c r="W13" i="20" s="1"/>
  <c r="Z14" i="20"/>
  <c r="AD16" i="20"/>
  <c r="AE16" i="20" s="1"/>
  <c r="AA17" i="20"/>
  <c r="AF19" i="20"/>
  <c r="X19" i="20"/>
  <c r="Z19" i="20"/>
  <c r="AD22" i="20"/>
  <c r="AE22" i="20" s="1"/>
  <c r="Z22" i="20"/>
  <c r="V22" i="20"/>
  <c r="W22" i="20" s="1"/>
  <c r="AB22" i="20"/>
  <c r="V23" i="20"/>
  <c r="W23" i="20" s="1"/>
  <c r="X29" i="20"/>
  <c r="AF29" i="20"/>
  <c r="X30" i="20"/>
  <c r="AF31" i="20"/>
  <c r="X31" i="20"/>
  <c r="Z31" i="20"/>
  <c r="H32" i="20"/>
  <c r="AA35" i="20"/>
  <c r="AA37" i="20"/>
  <c r="AD37" i="20"/>
  <c r="AE37" i="20" s="1"/>
  <c r="Z37" i="20"/>
  <c r="V37" i="20"/>
  <c r="W37" i="20" s="1"/>
  <c r="AB37" i="20"/>
  <c r="AD38" i="20"/>
  <c r="AE38" i="20" s="1"/>
  <c r="Z38" i="20"/>
  <c r="V38" i="20"/>
  <c r="W38" i="20" s="1"/>
  <c r="V39" i="20"/>
  <c r="W39" i="20" s="1"/>
  <c r="AA46" i="20"/>
  <c r="AD46" i="20"/>
  <c r="AE46" i="20" s="1"/>
  <c r="X46" i="20"/>
  <c r="V46" i="20"/>
  <c r="W46" i="20" s="1"/>
  <c r="Y50" i="20"/>
  <c r="AB50" i="20" s="1"/>
  <c r="H52" i="20"/>
  <c r="H53" i="20"/>
  <c r="AA54" i="20"/>
  <c r="AD54" i="20"/>
  <c r="AE54" i="20" s="1"/>
  <c r="Z54" i="20"/>
  <c r="V54" i="20"/>
  <c r="W54" i="20" s="1"/>
  <c r="AF54" i="20"/>
  <c r="X54" i="20"/>
  <c r="Y59" i="20"/>
  <c r="AB59" i="20" s="1"/>
  <c r="AA70" i="20"/>
  <c r="AD70" i="20"/>
  <c r="AE70" i="20" s="1"/>
  <c r="Z70" i="20"/>
  <c r="V70" i="20"/>
  <c r="W70" i="20" s="1"/>
  <c r="AF70" i="20"/>
  <c r="X70" i="20"/>
  <c r="AD71" i="20"/>
  <c r="AE71" i="20" s="1"/>
  <c r="Z71" i="20"/>
  <c r="V71" i="20"/>
  <c r="W71" i="20" s="1"/>
  <c r="AA71" i="20"/>
  <c r="AF71" i="20"/>
  <c r="X71" i="20"/>
  <c r="AC75" i="20"/>
  <c r="Y75" i="20"/>
  <c r="AF76" i="20"/>
  <c r="X76" i="20"/>
  <c r="AD76" i="20"/>
  <c r="AE76" i="20" s="1"/>
  <c r="V76" i="20"/>
  <c r="W76" i="20" s="1"/>
  <c r="AD21" i="20"/>
  <c r="AE21" i="20" s="1"/>
  <c r="Z21" i="20"/>
  <c r="V21" i="20"/>
  <c r="W21" i="20" s="1"/>
  <c r="AF23" i="20"/>
  <c r="X23" i="20"/>
  <c r="AD30" i="20"/>
  <c r="AE30" i="20" s="1"/>
  <c r="Z30" i="20"/>
  <c r="V30" i="20"/>
  <c r="W30" i="20" s="1"/>
  <c r="AF39" i="20"/>
  <c r="X39" i="20"/>
  <c r="Z39" i="20"/>
  <c r="AF45" i="20"/>
  <c r="AA45" i="20"/>
  <c r="Z45" i="20"/>
  <c r="AC45" i="20" s="1"/>
  <c r="V45" i="20"/>
  <c r="AB10" i="20"/>
  <c r="AD11" i="20"/>
  <c r="AE11" i="20" s="1"/>
  <c r="X13" i="20"/>
  <c r="V14" i="20"/>
  <c r="W14" i="20" s="1"/>
  <c r="AA14" i="20"/>
  <c r="AF14" i="20"/>
  <c r="Z16" i="20"/>
  <c r="AF16" i="20"/>
  <c r="AD17" i="20"/>
  <c r="AE17" i="20" s="1"/>
  <c r="Z17" i="20"/>
  <c r="V17" i="20"/>
  <c r="W17" i="20" s="1"/>
  <c r="V19" i="20"/>
  <c r="AA19" i="20"/>
  <c r="AA21" i="20"/>
  <c r="AF21" i="20"/>
  <c r="Y26" i="20"/>
  <c r="AC26" i="20" s="1"/>
  <c r="AF27" i="20"/>
  <c r="X27" i="20"/>
  <c r="Z27" i="20"/>
  <c r="H28" i="20"/>
  <c r="AA30" i="20"/>
  <c r="H31" i="20"/>
  <c r="AA31" i="20"/>
  <c r="AA33" i="20"/>
  <c r="AD33" i="20"/>
  <c r="AE33" i="20" s="1"/>
  <c r="Z33" i="20"/>
  <c r="V33" i="20"/>
  <c r="W33" i="20" s="1"/>
  <c r="AD34" i="20"/>
  <c r="AE34" i="20" s="1"/>
  <c r="Z34" i="20"/>
  <c r="V34" i="20"/>
  <c r="W34" i="20" s="1"/>
  <c r="Y42" i="20"/>
  <c r="AF43" i="20"/>
  <c r="X43" i="20"/>
  <c r="Z43" i="20"/>
  <c r="H44" i="20"/>
  <c r="Z46" i="20"/>
  <c r="AD47" i="20"/>
  <c r="AE47" i="20" s="1"/>
  <c r="Z47" i="20"/>
  <c r="V47" i="20"/>
  <c r="W47" i="20" s="1"/>
  <c r="AF47" i="20"/>
  <c r="AA47" i="20"/>
  <c r="AC50" i="20"/>
  <c r="AD55" i="20"/>
  <c r="AE55" i="20" s="1"/>
  <c r="Z55" i="20"/>
  <c r="V55" i="20"/>
  <c r="W55" i="20" s="1"/>
  <c r="AF55" i="20"/>
  <c r="X55" i="20"/>
  <c r="Y58" i="20"/>
  <c r="AC58" i="20" s="1"/>
  <c r="H60" i="20"/>
  <c r="Y62" i="20"/>
  <c r="AC62" i="20"/>
  <c r="AF64" i="20"/>
  <c r="X64" i="20"/>
  <c r="AA64" i="20"/>
  <c r="Z64" i="20"/>
  <c r="V64" i="20"/>
  <c r="W64" i="20" s="1"/>
  <c r="H77" i="20"/>
  <c r="H61" i="20"/>
  <c r="AA78" i="20"/>
  <c r="AD78" i="20"/>
  <c r="AE78" i="20" s="1"/>
  <c r="Z78" i="20"/>
  <c r="V78" i="20"/>
  <c r="W78" i="20" s="1"/>
  <c r="AF78" i="20"/>
  <c r="X78" i="20"/>
  <c r="AF48" i="20"/>
  <c r="X48" i="20"/>
  <c r="Z48" i="20"/>
  <c r="H49" i="20"/>
  <c r="AA50" i="20"/>
  <c r="AD50" i="20"/>
  <c r="AE50" i="20" s="1"/>
  <c r="Z50" i="20"/>
  <c r="V50" i="20"/>
  <c r="W50" i="20" s="1"/>
  <c r="AD51" i="20"/>
  <c r="AE51" i="20" s="1"/>
  <c r="Z51" i="20"/>
  <c r="AB51" i="20" s="1"/>
  <c r="V51" i="20"/>
  <c r="W51" i="20" s="1"/>
  <c r="AF56" i="20"/>
  <c r="X56" i="20"/>
  <c r="Z56" i="20"/>
  <c r="H57" i="20"/>
  <c r="AA58" i="20"/>
  <c r="AD58" i="20"/>
  <c r="AE58" i="20" s="1"/>
  <c r="Z58" i="20"/>
  <c r="V58" i="20"/>
  <c r="W58" i="20" s="1"/>
  <c r="AD59" i="20"/>
  <c r="AE59" i="20" s="1"/>
  <c r="Z59" i="20"/>
  <c r="V59" i="20"/>
  <c r="W59" i="20" s="1"/>
  <c r="AA62" i="20"/>
  <c r="AF62" i="20"/>
  <c r="Z62" i="20"/>
  <c r="AD62" i="20"/>
  <c r="AE62" i="20" s="1"/>
  <c r="V62" i="20"/>
  <c r="Y67" i="20"/>
  <c r="AF68" i="20"/>
  <c r="X68" i="20"/>
  <c r="AD68" i="20"/>
  <c r="AE68" i="20" s="1"/>
  <c r="V68" i="20"/>
  <c r="W68" i="20" s="1"/>
  <c r="Z68" i="20"/>
  <c r="H69" i="20"/>
  <c r="AC74" i="20"/>
  <c r="AA92" i="20"/>
  <c r="AD92" i="20"/>
  <c r="AE92" i="20" s="1"/>
  <c r="Z92" i="20"/>
  <c r="V92" i="20"/>
  <c r="W92" i="20" s="1"/>
  <c r="AF92" i="20"/>
  <c r="X92" i="20"/>
  <c r="H65" i="20"/>
  <c r="AA66" i="20"/>
  <c r="AD66" i="20"/>
  <c r="AE66" i="20" s="1"/>
  <c r="Z66" i="20"/>
  <c r="AC66" i="20" s="1"/>
  <c r="V66" i="20"/>
  <c r="W66" i="20" s="1"/>
  <c r="AD67" i="20"/>
  <c r="AE67" i="20" s="1"/>
  <c r="Z67" i="20"/>
  <c r="AB67" i="20" s="1"/>
  <c r="V67" i="20"/>
  <c r="W67" i="20" s="1"/>
  <c r="AF72" i="20"/>
  <c r="X72" i="20"/>
  <c r="Z72" i="20"/>
  <c r="H73" i="20"/>
  <c r="AA74" i="20"/>
  <c r="AD74" i="20"/>
  <c r="AE74" i="20" s="1"/>
  <c r="Z74" i="20"/>
  <c r="AB74" i="20" s="1"/>
  <c r="V74" i="20"/>
  <c r="W74" i="20" s="1"/>
  <c r="AD75" i="20"/>
  <c r="AE75" i="20" s="1"/>
  <c r="Z75" i="20"/>
  <c r="AB75" i="20" s="1"/>
  <c r="V75" i="20"/>
  <c r="W75" i="20" s="1"/>
  <c r="AF80" i="20"/>
  <c r="X80" i="20"/>
  <c r="Z80" i="20"/>
  <c r="H81" i="20"/>
  <c r="AF82" i="20"/>
  <c r="Z82" i="20"/>
  <c r="X82" i="20"/>
  <c r="V82" i="20"/>
  <c r="W82" i="20" s="1"/>
  <c r="AD93" i="20"/>
  <c r="AE93" i="20" s="1"/>
  <c r="Z93" i="20"/>
  <c r="V93" i="20"/>
  <c r="W93" i="20" s="1"/>
  <c r="AA93" i="20"/>
  <c r="AF93" i="20"/>
  <c r="X93" i="20"/>
  <c r="AD63" i="20"/>
  <c r="AE63" i="20" s="1"/>
  <c r="Z63" i="20"/>
  <c r="V63" i="20"/>
  <c r="W63" i="20" s="1"/>
  <c r="H72" i="20"/>
  <c r="AA72" i="20"/>
  <c r="H80" i="20"/>
  <c r="AA80" i="20"/>
  <c r="Y85" i="20"/>
  <c r="AC85" i="20" s="1"/>
  <c r="H86" i="20"/>
  <c r="H87" i="20"/>
  <c r="AC101" i="20"/>
  <c r="Y101" i="20"/>
  <c r="AB101" i="20"/>
  <c r="H102" i="20"/>
  <c r="H103" i="20"/>
  <c r="H83" i="20"/>
  <c r="AA85" i="20"/>
  <c r="AD85" i="20"/>
  <c r="AE85" i="20" s="1"/>
  <c r="Z85" i="20"/>
  <c r="V85" i="20"/>
  <c r="W85" i="20" s="1"/>
  <c r="AC88" i="20"/>
  <c r="Y100" i="20"/>
  <c r="AC100" i="20" s="1"/>
  <c r="V84" i="20"/>
  <c r="W84" i="20" s="1"/>
  <c r="Z84" i="20"/>
  <c r="AD84" i="20"/>
  <c r="AE84" i="20" s="1"/>
  <c r="AA88" i="20"/>
  <c r="AD88" i="20"/>
  <c r="AE88" i="20" s="1"/>
  <c r="Z88" i="20"/>
  <c r="V88" i="20"/>
  <c r="W88" i="20" s="1"/>
  <c r="AB88" i="20"/>
  <c r="AD89" i="20"/>
  <c r="AE89" i="20" s="1"/>
  <c r="Z89" i="20"/>
  <c r="V89" i="20"/>
  <c r="W89" i="20" s="1"/>
  <c r="V90" i="20"/>
  <c r="W90" i="20" s="1"/>
  <c r="AC97" i="20"/>
  <c r="Y97" i="20"/>
  <c r="AF98" i="20"/>
  <c r="X98" i="20"/>
  <c r="Z98" i="20"/>
  <c r="H99" i="20"/>
  <c r="AA104" i="20"/>
  <c r="AD104" i="20"/>
  <c r="AE104" i="20" s="1"/>
  <c r="Z104" i="20"/>
  <c r="V104" i="20"/>
  <c r="W104" i="20" s="1"/>
  <c r="AA105" i="20"/>
  <c r="AD105" i="20"/>
  <c r="AE105" i="20" s="1"/>
  <c r="Z105" i="20"/>
  <c r="V105" i="20"/>
  <c r="W105" i="20" s="1"/>
  <c r="AD106" i="20"/>
  <c r="AE106" i="20" s="1"/>
  <c r="Z106" i="20"/>
  <c r="V106" i="20"/>
  <c r="W106" i="20" s="1"/>
  <c r="AF106" i="20"/>
  <c r="X106" i="20"/>
  <c r="AF112" i="20"/>
  <c r="X112" i="20"/>
  <c r="AA112" i="20"/>
  <c r="AD112" i="20"/>
  <c r="AE112" i="20" s="1"/>
  <c r="Z112" i="20"/>
  <c r="V112" i="20"/>
  <c r="W112" i="20" s="1"/>
  <c r="AA84" i="20"/>
  <c r="AF94" i="20"/>
  <c r="X94" i="20"/>
  <c r="Z94" i="20"/>
  <c r="H95" i="20"/>
  <c r="Y96" i="20"/>
  <c r="AB96" i="20" s="1"/>
  <c r="H98" i="20"/>
  <c r="AA98" i="20"/>
  <c r="AA100" i="20"/>
  <c r="AD100" i="20"/>
  <c r="AE100" i="20" s="1"/>
  <c r="Z100" i="20"/>
  <c r="V100" i="20"/>
  <c r="W100" i="20" s="1"/>
  <c r="AD101" i="20"/>
  <c r="AE101" i="20" s="1"/>
  <c r="Z101" i="20"/>
  <c r="V101" i="20"/>
  <c r="W101" i="20" s="1"/>
  <c r="AF105" i="20"/>
  <c r="AA106" i="20"/>
  <c r="X84" i="20"/>
  <c r="AC89" i="20"/>
  <c r="Y89" i="20"/>
  <c r="AB89" i="20" s="1"/>
  <c r="AF90" i="20"/>
  <c r="X90" i="20"/>
  <c r="Z90" i="20"/>
  <c r="H91" i="20"/>
  <c r="H94" i="20"/>
  <c r="AA94" i="20"/>
  <c r="AA96" i="20"/>
  <c r="AD96" i="20"/>
  <c r="AE96" i="20" s="1"/>
  <c r="Z96" i="20"/>
  <c r="V96" i="20"/>
  <c r="W96" i="20" s="1"/>
  <c r="AD97" i="20"/>
  <c r="AE97" i="20" s="1"/>
  <c r="Z97" i="20"/>
  <c r="V97" i="20"/>
  <c r="W97" i="20" s="1"/>
  <c r="AB97" i="20"/>
  <c r="V98" i="20"/>
  <c r="W98" i="20" s="1"/>
  <c r="AD98" i="20"/>
  <c r="AE98" i="20" s="1"/>
  <c r="X104" i="20"/>
  <c r="AF104" i="20"/>
  <c r="Y109" i="20"/>
  <c r="Y113" i="20"/>
  <c r="AB113" i="20" s="1"/>
  <c r="H107" i="20"/>
  <c r="AA109" i="20"/>
  <c r="AD109" i="20"/>
  <c r="AE109" i="20" s="1"/>
  <c r="Z109" i="20"/>
  <c r="AC109" i="20" s="1"/>
  <c r="V109" i="20"/>
  <c r="W109" i="20" s="1"/>
  <c r="AD110" i="20"/>
  <c r="AE110" i="20" s="1"/>
  <c r="Z110" i="20"/>
  <c r="V110" i="20"/>
  <c r="W110" i="20" s="1"/>
  <c r="AF110" i="20"/>
  <c r="X110" i="20"/>
  <c r="AA113" i="20"/>
  <c r="AD113" i="20"/>
  <c r="AE113" i="20" s="1"/>
  <c r="Z113" i="20"/>
  <c r="V113" i="20"/>
  <c r="W113" i="20" s="1"/>
  <c r="AD114" i="20"/>
  <c r="AE114" i="20" s="1"/>
  <c r="Z114" i="20"/>
  <c r="V114" i="20"/>
  <c r="W114" i="20" s="1"/>
  <c r="AF114" i="20"/>
  <c r="X114" i="20"/>
  <c r="H120" i="20"/>
  <c r="H111" i="20"/>
  <c r="AF113" i="20"/>
  <c r="AA114" i="20"/>
  <c r="H115" i="20"/>
  <c r="AF117" i="20"/>
  <c r="X117" i="20"/>
  <c r="AA117" i="20"/>
  <c r="AD117" i="20"/>
  <c r="AE117" i="20" s="1"/>
  <c r="Z117" i="20"/>
  <c r="V117" i="20"/>
  <c r="W117" i="20" s="1"/>
  <c r="AC122" i="20"/>
  <c r="Y122" i="20"/>
  <c r="AB122" i="20"/>
  <c r="V108" i="20"/>
  <c r="W108" i="20" s="1"/>
  <c r="Z108" i="20"/>
  <c r="AD108" i="20"/>
  <c r="AE108" i="20" s="1"/>
  <c r="V116" i="20"/>
  <c r="W116" i="20" s="1"/>
  <c r="AA122" i="20"/>
  <c r="AD122" i="20"/>
  <c r="AE122" i="20" s="1"/>
  <c r="Z122" i="20"/>
  <c r="V122" i="20"/>
  <c r="W122" i="20" s="1"/>
  <c r="AD123" i="20"/>
  <c r="AE123" i="20" s="1"/>
  <c r="Z123" i="20"/>
  <c r="V123" i="20"/>
  <c r="W123" i="20" s="1"/>
  <c r="AF123" i="20"/>
  <c r="X123" i="20"/>
  <c r="AA108" i="20"/>
  <c r="AF116" i="20"/>
  <c r="X116" i="20"/>
  <c r="AA116" i="20"/>
  <c r="Y118" i="20"/>
  <c r="AB118" i="20" s="1"/>
  <c r="H124" i="20"/>
  <c r="Y126" i="20"/>
  <c r="X108" i="20"/>
  <c r="Z116" i="20"/>
  <c r="AA118" i="20"/>
  <c r="AD118" i="20"/>
  <c r="AE118" i="20" s="1"/>
  <c r="Z118" i="20"/>
  <c r="V118" i="20"/>
  <c r="W118" i="20" s="1"/>
  <c r="AD119" i="20"/>
  <c r="AE119" i="20" s="1"/>
  <c r="Z119" i="20"/>
  <c r="V119" i="20"/>
  <c r="W119" i="20" s="1"/>
  <c r="AF119" i="20"/>
  <c r="X119" i="20"/>
  <c r="AA126" i="20"/>
  <c r="AD126" i="20"/>
  <c r="AE126" i="20" s="1"/>
  <c r="Z126" i="20"/>
  <c r="AB126" i="20" s="1"/>
  <c r="V126" i="20"/>
  <c r="W126" i="20" s="1"/>
  <c r="AD127" i="20"/>
  <c r="AE127" i="20" s="1"/>
  <c r="Z127" i="20"/>
  <c r="V127" i="20"/>
  <c r="W127" i="20" s="1"/>
  <c r="AF127" i="20"/>
  <c r="X127" i="20"/>
  <c r="V121" i="20"/>
  <c r="W121" i="20" s="1"/>
  <c r="Z121" i="20"/>
  <c r="AD121" i="20"/>
  <c r="AE121" i="20" s="1"/>
  <c r="V125" i="20"/>
  <c r="W125" i="20" s="1"/>
  <c r="Z125" i="20"/>
  <c r="AD125" i="20"/>
  <c r="AE125" i="20" s="1"/>
  <c r="AA121" i="20"/>
  <c r="AA125" i="20"/>
  <c r="X121" i="20"/>
  <c r="X125" i="20"/>
  <c r="AI134" i="19"/>
  <c r="AC132" i="19"/>
  <c r="U159" i="20" l="1"/>
  <c r="AI159" i="20"/>
  <c r="K159" i="20" s="1"/>
  <c r="R158" i="20"/>
  <c r="T158" i="20" s="1"/>
  <c r="R157" i="20"/>
  <c r="T157" i="20"/>
  <c r="U156" i="20"/>
  <c r="AI156" i="20"/>
  <c r="K156" i="20" s="1"/>
  <c r="P159" i="14"/>
  <c r="L159" i="14"/>
  <c r="O159" i="14"/>
  <c r="P158" i="14"/>
  <c r="O158" i="14"/>
  <c r="L158" i="14"/>
  <c r="P157" i="14"/>
  <c r="O157" i="14"/>
  <c r="L157" i="14"/>
  <c r="Q156" i="14"/>
  <c r="AH122" i="20"/>
  <c r="AH89" i="20"/>
  <c r="Y112" i="20"/>
  <c r="AB112" i="20" s="1"/>
  <c r="AF99" i="20"/>
  <c r="X99" i="20"/>
  <c r="AA99" i="20"/>
  <c r="AD99" i="20"/>
  <c r="AE99" i="20" s="1"/>
  <c r="V99" i="20"/>
  <c r="W99" i="20" s="1"/>
  <c r="Z99" i="20"/>
  <c r="AF83" i="20"/>
  <c r="X83" i="20"/>
  <c r="AA83" i="20"/>
  <c r="Z83" i="20"/>
  <c r="AD83" i="20"/>
  <c r="AE83" i="20" s="1"/>
  <c r="V83" i="20"/>
  <c r="W83" i="20" s="1"/>
  <c r="AF44" i="20"/>
  <c r="X44" i="20"/>
  <c r="AA44" i="20"/>
  <c r="Z44" i="20"/>
  <c r="AD44" i="20"/>
  <c r="AE44" i="20" s="1"/>
  <c r="V44" i="20"/>
  <c r="W44" i="20" s="1"/>
  <c r="AA20" i="20"/>
  <c r="AD20" i="20"/>
  <c r="AE20" i="20" s="1"/>
  <c r="X20" i="20"/>
  <c r="V20" i="20"/>
  <c r="AF20" i="20"/>
  <c r="Z20" i="20"/>
  <c r="AC41" i="20"/>
  <c r="AB42" i="20"/>
  <c r="AH42" i="20" s="1"/>
  <c r="Y127" i="20"/>
  <c r="AC127" i="20" s="1"/>
  <c r="AB127" i="20"/>
  <c r="Y119" i="20"/>
  <c r="AC119" i="20" s="1"/>
  <c r="AB119" i="20"/>
  <c r="AF124" i="20"/>
  <c r="X124" i="20"/>
  <c r="AA124" i="20"/>
  <c r="AD124" i="20"/>
  <c r="AE124" i="20" s="1"/>
  <c r="Z124" i="20"/>
  <c r="V124" i="20"/>
  <c r="W124" i="20" s="1"/>
  <c r="AC118" i="20"/>
  <c r="AH118" i="20" s="1"/>
  <c r="Y114" i="20"/>
  <c r="AF107" i="20"/>
  <c r="X107" i="20"/>
  <c r="AA107" i="20"/>
  <c r="AD107" i="20"/>
  <c r="AE107" i="20" s="1"/>
  <c r="Z107" i="20"/>
  <c r="V107" i="20"/>
  <c r="W107" i="20" s="1"/>
  <c r="AC113" i="20"/>
  <c r="Y94" i="20"/>
  <c r="AC94" i="20" s="1"/>
  <c r="AB94" i="20"/>
  <c r="AH101" i="20"/>
  <c r="AB100" i="20"/>
  <c r="AH100" i="20" s="1"/>
  <c r="AB85" i="20"/>
  <c r="AH85" i="20" s="1"/>
  <c r="AF102" i="20"/>
  <c r="X102" i="20"/>
  <c r="AD102" i="20"/>
  <c r="AE102" i="20" s="1"/>
  <c r="V102" i="20"/>
  <c r="W102" i="20" s="1"/>
  <c r="AA102" i="20"/>
  <c r="Z102" i="20"/>
  <c r="AF86" i="20"/>
  <c r="X86" i="20"/>
  <c r="AD86" i="20"/>
  <c r="AE86" i="20" s="1"/>
  <c r="V86" i="20"/>
  <c r="W86" i="20" s="1"/>
  <c r="AA86" i="20"/>
  <c r="Z86" i="20"/>
  <c r="Y80" i="20"/>
  <c r="AC80" i="20" s="1"/>
  <c r="AB80" i="20"/>
  <c r="AF73" i="20"/>
  <c r="X73" i="20"/>
  <c r="AA73" i="20"/>
  <c r="Z73" i="20"/>
  <c r="V73" i="20"/>
  <c r="W73" i="20" s="1"/>
  <c r="AD73" i="20"/>
  <c r="AE73" i="20" s="1"/>
  <c r="AF69" i="20"/>
  <c r="X69" i="20"/>
  <c r="AA69" i="20"/>
  <c r="AD69" i="20"/>
  <c r="AE69" i="20" s="1"/>
  <c r="V69" i="20"/>
  <c r="W69" i="20" s="1"/>
  <c r="Z69" i="20"/>
  <c r="Y68" i="20"/>
  <c r="AB68" i="20" s="1"/>
  <c r="W62" i="20"/>
  <c r="AC56" i="20"/>
  <c r="Y56" i="20"/>
  <c r="AB56" i="20"/>
  <c r="AF49" i="20"/>
  <c r="X49" i="20"/>
  <c r="AA49" i="20"/>
  <c r="Z49" i="20"/>
  <c r="V49" i="20"/>
  <c r="W49" i="20" s="1"/>
  <c r="AD49" i="20"/>
  <c r="AE49" i="20" s="1"/>
  <c r="AC64" i="20"/>
  <c r="Y64" i="20"/>
  <c r="AB64" i="20"/>
  <c r="AB62" i="20"/>
  <c r="AB58" i="20"/>
  <c r="AF28" i="20"/>
  <c r="X28" i="20"/>
  <c r="AA28" i="20"/>
  <c r="Z28" i="20"/>
  <c r="AD28" i="20"/>
  <c r="AE28" i="20" s="1"/>
  <c r="V28" i="20"/>
  <c r="W28" i="20" s="1"/>
  <c r="AC13" i="20"/>
  <c r="Y13" i="20"/>
  <c r="AB13" i="20" s="1"/>
  <c r="Y39" i="20"/>
  <c r="AB39" i="20" s="1"/>
  <c r="Y23" i="20"/>
  <c r="AC23" i="20" s="1"/>
  <c r="AB23" i="20"/>
  <c r="Y71" i="20"/>
  <c r="AB71" i="20"/>
  <c r="Y70" i="20"/>
  <c r="AB70" i="20" s="1"/>
  <c r="AC59" i="20"/>
  <c r="AF52" i="20"/>
  <c r="X52" i="20"/>
  <c r="AD52" i="20"/>
  <c r="AE52" i="20" s="1"/>
  <c r="V52" i="20"/>
  <c r="W52" i="20" s="1"/>
  <c r="AA52" i="20"/>
  <c r="Z52" i="20"/>
  <c r="AF32" i="20"/>
  <c r="X32" i="20"/>
  <c r="AA32" i="20"/>
  <c r="AD32" i="20"/>
  <c r="AE32" i="20" s="1"/>
  <c r="Z32" i="20"/>
  <c r="V32" i="20"/>
  <c r="W32" i="20" s="1"/>
  <c r="AF40" i="20"/>
  <c r="X40" i="20"/>
  <c r="AA40" i="20"/>
  <c r="AD40" i="20"/>
  <c r="AE40" i="20" s="1"/>
  <c r="V40" i="20"/>
  <c r="W40" i="20" s="1"/>
  <c r="Z40" i="20"/>
  <c r="AB105" i="20"/>
  <c r="AH105" i="20" s="1"/>
  <c r="AB47" i="20"/>
  <c r="AF36" i="20"/>
  <c r="X36" i="20"/>
  <c r="AA36" i="20"/>
  <c r="AD36" i="20"/>
  <c r="AE36" i="20" s="1"/>
  <c r="V36" i="20"/>
  <c r="W36" i="20" s="1"/>
  <c r="Z36" i="20"/>
  <c r="Y15" i="20"/>
  <c r="AB15" i="20" s="1"/>
  <c r="AH88" i="20"/>
  <c r="AC38" i="20"/>
  <c r="AC17" i="20"/>
  <c r="AH9" i="20"/>
  <c r="Y108" i="20"/>
  <c r="AC108" i="20" s="1"/>
  <c r="Y110" i="20"/>
  <c r="AB110" i="20"/>
  <c r="Y78" i="20"/>
  <c r="AC78" i="20"/>
  <c r="AB78" i="20"/>
  <c r="Y54" i="20"/>
  <c r="AC47" i="20"/>
  <c r="Y29" i="20"/>
  <c r="AB29" i="20"/>
  <c r="AC29" i="20"/>
  <c r="AB109" i="20"/>
  <c r="Y90" i="20"/>
  <c r="AC90" i="20" s="1"/>
  <c r="AB90" i="20"/>
  <c r="Y106" i="20"/>
  <c r="Y98" i="20"/>
  <c r="AB98" i="20" s="1"/>
  <c r="Y92" i="20"/>
  <c r="AC92" i="20"/>
  <c r="AB92" i="20"/>
  <c r="AC67" i="20"/>
  <c r="AH67" i="20" s="1"/>
  <c r="AB66" i="20"/>
  <c r="AF61" i="20"/>
  <c r="X61" i="20"/>
  <c r="AA61" i="20"/>
  <c r="V61" i="20"/>
  <c r="W61" i="20" s="1"/>
  <c r="AD61" i="20"/>
  <c r="AE61" i="20" s="1"/>
  <c r="Z61" i="20"/>
  <c r="Y55" i="20"/>
  <c r="AC55" i="20" s="1"/>
  <c r="AB55" i="20"/>
  <c r="AC43" i="20"/>
  <c r="Y43" i="20"/>
  <c r="AB43" i="20"/>
  <c r="Y30" i="20"/>
  <c r="AB41" i="20"/>
  <c r="Y16" i="20"/>
  <c r="AB16" i="20"/>
  <c r="AC16" i="20"/>
  <c r="AH75" i="20"/>
  <c r="AB26" i="20"/>
  <c r="AH26" i="20" s="1"/>
  <c r="AC18" i="20"/>
  <c r="Y18" i="20"/>
  <c r="AB18" i="20"/>
  <c r="AC21" i="20"/>
  <c r="AC25" i="20"/>
  <c r="AH25" i="20" s="1"/>
  <c r="Y121" i="20"/>
  <c r="AB121" i="20" s="1"/>
  <c r="AC121" i="20"/>
  <c r="Y116" i="20"/>
  <c r="AC116" i="20"/>
  <c r="AF91" i="20"/>
  <c r="X91" i="20"/>
  <c r="AA91" i="20"/>
  <c r="Z91" i="20"/>
  <c r="AD91" i="20"/>
  <c r="AE91" i="20" s="1"/>
  <c r="V91" i="20"/>
  <c r="W91" i="20" s="1"/>
  <c r="Y84" i="20"/>
  <c r="AB84" i="20" s="1"/>
  <c r="AC96" i="20"/>
  <c r="AH96" i="20" s="1"/>
  <c r="AF77" i="20"/>
  <c r="X77" i="20"/>
  <c r="AA77" i="20"/>
  <c r="AD77" i="20"/>
  <c r="AE77" i="20" s="1"/>
  <c r="V77" i="20"/>
  <c r="W77" i="20" s="1"/>
  <c r="Z77" i="20"/>
  <c r="W19" i="20"/>
  <c r="AB19" i="20"/>
  <c r="Y19" i="20"/>
  <c r="AC19" i="20"/>
  <c r="AC79" i="20"/>
  <c r="Y79" i="20"/>
  <c r="AB79" i="20"/>
  <c r="AB33" i="20"/>
  <c r="Y33" i="20"/>
  <c r="AC33" i="20" s="1"/>
  <c r="AF24" i="20"/>
  <c r="X24" i="20"/>
  <c r="AA24" i="20"/>
  <c r="AD24" i="20"/>
  <c r="AE24" i="20" s="1"/>
  <c r="V24" i="20"/>
  <c r="W24" i="20" s="1"/>
  <c r="Z24" i="20"/>
  <c r="AC126" i="20"/>
  <c r="AH126" i="20" s="1"/>
  <c r="AF115" i="20"/>
  <c r="X115" i="20"/>
  <c r="Z115" i="20"/>
  <c r="AD115" i="20"/>
  <c r="AE115" i="20" s="1"/>
  <c r="AA115" i="20"/>
  <c r="V115" i="20"/>
  <c r="W115" i="20" s="1"/>
  <c r="AB125" i="20"/>
  <c r="Y125" i="20"/>
  <c r="AC125" i="20" s="1"/>
  <c r="Y123" i="20"/>
  <c r="AB123" i="20"/>
  <c r="AB117" i="20"/>
  <c r="Y117" i="20"/>
  <c r="AF111" i="20"/>
  <c r="X111" i="20"/>
  <c r="AA111" i="20"/>
  <c r="Z111" i="20"/>
  <c r="V111" i="20"/>
  <c r="W111" i="20" s="1"/>
  <c r="AD111" i="20"/>
  <c r="AE111" i="20" s="1"/>
  <c r="AF120" i="20"/>
  <c r="X120" i="20"/>
  <c r="AA120" i="20"/>
  <c r="V120" i="20"/>
  <c r="W120" i="20" s="1"/>
  <c r="AD120" i="20"/>
  <c r="AE120" i="20" s="1"/>
  <c r="Z120" i="20"/>
  <c r="Y104" i="20"/>
  <c r="AF95" i="20"/>
  <c r="X95" i="20"/>
  <c r="AA95" i="20"/>
  <c r="Z95" i="20"/>
  <c r="AD95" i="20"/>
  <c r="AE95" i="20" s="1"/>
  <c r="V95" i="20"/>
  <c r="W95" i="20" s="1"/>
  <c r="AF103" i="20"/>
  <c r="X103" i="20"/>
  <c r="AA103" i="20"/>
  <c r="AD103" i="20"/>
  <c r="AE103" i="20" s="1"/>
  <c r="V103" i="20"/>
  <c r="W103" i="20" s="1"/>
  <c r="Z103" i="20"/>
  <c r="AF87" i="20"/>
  <c r="X87" i="20"/>
  <c r="AA87" i="20"/>
  <c r="AD87" i="20"/>
  <c r="AE87" i="20" s="1"/>
  <c r="V87" i="20"/>
  <c r="W87" i="20" s="1"/>
  <c r="Z87" i="20"/>
  <c r="Y93" i="20"/>
  <c r="Y82" i="20"/>
  <c r="AB82" i="20"/>
  <c r="AF81" i="20"/>
  <c r="X81" i="20"/>
  <c r="AA81" i="20"/>
  <c r="Z81" i="20"/>
  <c r="V81" i="20"/>
  <c r="W81" i="20" s="1"/>
  <c r="AD81" i="20"/>
  <c r="AE81" i="20" s="1"/>
  <c r="AC72" i="20"/>
  <c r="Y72" i="20"/>
  <c r="AB72" i="20"/>
  <c r="AF65" i="20"/>
  <c r="X65" i="20"/>
  <c r="AA65" i="20"/>
  <c r="Z65" i="20"/>
  <c r="AD65" i="20"/>
  <c r="AE65" i="20" s="1"/>
  <c r="V65" i="20"/>
  <c r="W65" i="20" s="1"/>
  <c r="AF57" i="20"/>
  <c r="X57" i="20"/>
  <c r="AA57" i="20"/>
  <c r="Z57" i="20"/>
  <c r="AD57" i="20"/>
  <c r="AE57" i="20" s="1"/>
  <c r="V57" i="20"/>
  <c r="W57" i="20" s="1"/>
  <c r="Y48" i="20"/>
  <c r="AF60" i="20"/>
  <c r="AA60" i="20"/>
  <c r="V60" i="20"/>
  <c r="W60" i="20" s="1"/>
  <c r="Z60" i="20"/>
  <c r="AD60" i="20"/>
  <c r="AE60" i="20" s="1"/>
  <c r="X60" i="20"/>
  <c r="Y27" i="20"/>
  <c r="AB27" i="20"/>
  <c r="AA12" i="20"/>
  <c r="V12" i="20"/>
  <c r="AF12" i="20"/>
  <c r="Z12" i="20"/>
  <c r="AD12" i="20"/>
  <c r="AE12" i="20" s="1"/>
  <c r="X12" i="20"/>
  <c r="W45" i="20"/>
  <c r="Y76" i="20"/>
  <c r="AF53" i="20"/>
  <c r="X53" i="20"/>
  <c r="AA53" i="20"/>
  <c r="AD53" i="20"/>
  <c r="AE53" i="20" s="1"/>
  <c r="V53" i="20"/>
  <c r="W53" i="20" s="1"/>
  <c r="Z53" i="20"/>
  <c r="Y46" i="20"/>
  <c r="AC46" i="20"/>
  <c r="AB46" i="20"/>
  <c r="Y31" i="20"/>
  <c r="AB31" i="20"/>
  <c r="AC63" i="20"/>
  <c r="AH63" i="20" s="1"/>
  <c r="AH37" i="20"/>
  <c r="Y35" i="20"/>
  <c r="Y34" i="20"/>
  <c r="AB34" i="20"/>
  <c r="Y14" i="20"/>
  <c r="AC14" i="20" s="1"/>
  <c r="AB14" i="20"/>
  <c r="Y11" i="20"/>
  <c r="AB11" i="20" s="1"/>
  <c r="AC11" i="20"/>
  <c r="AH128" i="19"/>
  <c r="AH127" i="19"/>
  <c r="AH126" i="19"/>
  <c r="G126" i="19"/>
  <c r="H126" i="19" s="1"/>
  <c r="AH125" i="19"/>
  <c r="AH124" i="19"/>
  <c r="AH123" i="19"/>
  <c r="AH122" i="19"/>
  <c r="AH121" i="19"/>
  <c r="AH120" i="19"/>
  <c r="AH119" i="19"/>
  <c r="AH118" i="19"/>
  <c r="AH117" i="19"/>
  <c r="AH116" i="19"/>
  <c r="AH115" i="19"/>
  <c r="AH114" i="19"/>
  <c r="AH113" i="19"/>
  <c r="AH112" i="19"/>
  <c r="AH111" i="19"/>
  <c r="AH110" i="19"/>
  <c r="AH109" i="19"/>
  <c r="AH108" i="19"/>
  <c r="AH107" i="19"/>
  <c r="AH106" i="19"/>
  <c r="AH105" i="19"/>
  <c r="AH104" i="19"/>
  <c r="AH103" i="19"/>
  <c r="AH102" i="19"/>
  <c r="AH101" i="19"/>
  <c r="AH100" i="19"/>
  <c r="AH99" i="19"/>
  <c r="AH98" i="19"/>
  <c r="AH97" i="19"/>
  <c r="AH96" i="19"/>
  <c r="AH95" i="19"/>
  <c r="AH94" i="19"/>
  <c r="AH93" i="19"/>
  <c r="AH92" i="19"/>
  <c r="AH91" i="19"/>
  <c r="AH90" i="19"/>
  <c r="AH89" i="19"/>
  <c r="AH88" i="19"/>
  <c r="AH87" i="19"/>
  <c r="AH86" i="19"/>
  <c r="AH85" i="19"/>
  <c r="AH84" i="19"/>
  <c r="AH83" i="19"/>
  <c r="AH82" i="19"/>
  <c r="AH81" i="19"/>
  <c r="AH80" i="19"/>
  <c r="AH79" i="19"/>
  <c r="AH78" i="19"/>
  <c r="AH77" i="19"/>
  <c r="AH76" i="19"/>
  <c r="AH75" i="19"/>
  <c r="AH74" i="19"/>
  <c r="AH73" i="19"/>
  <c r="AH72" i="19"/>
  <c r="AH71" i="19"/>
  <c r="AH70" i="19"/>
  <c r="AH69" i="19"/>
  <c r="AH68" i="19"/>
  <c r="AH67" i="19"/>
  <c r="AH66" i="19"/>
  <c r="AH65" i="19"/>
  <c r="AH64" i="19"/>
  <c r="AH63" i="19"/>
  <c r="AH62" i="19"/>
  <c r="AH61" i="19"/>
  <c r="AH60" i="19"/>
  <c r="AH59" i="19"/>
  <c r="AH58" i="19"/>
  <c r="AH57" i="19"/>
  <c r="AH56" i="19"/>
  <c r="AH55" i="19"/>
  <c r="AH54" i="19"/>
  <c r="AH53" i="19"/>
  <c r="AH52" i="19"/>
  <c r="AH51" i="19"/>
  <c r="AH50" i="19"/>
  <c r="AH49" i="19"/>
  <c r="AH48" i="19"/>
  <c r="AH47" i="19"/>
  <c r="AH46" i="19"/>
  <c r="AH45" i="19"/>
  <c r="AH44" i="19"/>
  <c r="AH43" i="19"/>
  <c r="AH42" i="19"/>
  <c r="AH41" i="19"/>
  <c r="AH40" i="19"/>
  <c r="AH39" i="19"/>
  <c r="AH38" i="19"/>
  <c r="AH37" i="19"/>
  <c r="AH36" i="19"/>
  <c r="AH35" i="19"/>
  <c r="AH34" i="19"/>
  <c r="AH33" i="19"/>
  <c r="AH32" i="19"/>
  <c r="AH31" i="19"/>
  <c r="AH30" i="19"/>
  <c r="AH29" i="19"/>
  <c r="AH28" i="19"/>
  <c r="AH27" i="19"/>
  <c r="AH26" i="19"/>
  <c r="AH25" i="19"/>
  <c r="AH24" i="19"/>
  <c r="AH23" i="19"/>
  <c r="AH22" i="19"/>
  <c r="AH21" i="19"/>
  <c r="AH20" i="19"/>
  <c r="AH19" i="19"/>
  <c r="AH18" i="19"/>
  <c r="AH17" i="19"/>
  <c r="AH16" i="19"/>
  <c r="AH15" i="19"/>
  <c r="AH14" i="19"/>
  <c r="AH13" i="19"/>
  <c r="AH12" i="19"/>
  <c r="AH11" i="19"/>
  <c r="AH10" i="19"/>
  <c r="AH9" i="19"/>
  <c r="O6" i="19"/>
  <c r="Q4" i="19"/>
  <c r="O3" i="19"/>
  <c r="O2" i="19"/>
  <c r="H183" i="6"/>
  <c r="G180" i="6"/>
  <c r="E180" i="6" s="1"/>
  <c r="A122" i="18"/>
  <c r="A123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G57" i="14"/>
  <c r="AG58" i="14"/>
  <c r="AG59" i="14"/>
  <c r="AG60" i="14"/>
  <c r="AG61" i="14"/>
  <c r="O95" i="6"/>
  <c r="O94" i="6"/>
  <c r="O93" i="6"/>
  <c r="O92" i="6"/>
  <c r="H95" i="6"/>
  <c r="H94" i="6"/>
  <c r="H93" i="6"/>
  <c r="H92" i="6"/>
  <c r="G95" i="6"/>
  <c r="E95" i="6" s="1"/>
  <c r="G94" i="6"/>
  <c r="G93" i="6"/>
  <c r="G92" i="6"/>
  <c r="C95" i="6"/>
  <c r="C94" i="6"/>
  <c r="C93" i="6"/>
  <c r="C92" i="6"/>
  <c r="C83" i="6"/>
  <c r="AG117" i="14"/>
  <c r="AG118" i="14"/>
  <c r="AG119" i="14"/>
  <c r="AG120" i="14"/>
  <c r="AG121" i="14"/>
  <c r="AG122" i="14"/>
  <c r="AG123" i="14"/>
  <c r="AG124" i="14"/>
  <c r="AG125" i="14"/>
  <c r="AG126" i="14"/>
  <c r="AG127" i="14"/>
  <c r="AG113" i="14"/>
  <c r="AG114" i="14"/>
  <c r="AG115" i="14"/>
  <c r="AG116" i="14"/>
  <c r="H168" i="6"/>
  <c r="H167" i="6"/>
  <c r="H166" i="6"/>
  <c r="H165" i="6"/>
  <c r="G168" i="6"/>
  <c r="E168" i="6" s="1"/>
  <c r="G167" i="6"/>
  <c r="E167" i="6" s="1"/>
  <c r="G166" i="6"/>
  <c r="E166" i="6" s="1"/>
  <c r="G165" i="6"/>
  <c r="E165" i="6" s="1"/>
  <c r="C168" i="6"/>
  <c r="C167" i="6"/>
  <c r="C166" i="6"/>
  <c r="C165" i="6"/>
  <c r="C160" i="6"/>
  <c r="AG33" i="14"/>
  <c r="AG34" i="14"/>
  <c r="AG35" i="14"/>
  <c r="AG36" i="14"/>
  <c r="O39" i="6"/>
  <c r="O40" i="6"/>
  <c r="O41" i="6"/>
  <c r="O42" i="6"/>
  <c r="O43" i="6"/>
  <c r="O44" i="6"/>
  <c r="O45" i="6"/>
  <c r="G42" i="6"/>
  <c r="E42" i="6" s="1"/>
  <c r="H42" i="6"/>
  <c r="G41" i="6"/>
  <c r="E41" i="6" s="1"/>
  <c r="H41" i="6"/>
  <c r="G40" i="6"/>
  <c r="E40" i="6" s="1"/>
  <c r="H40" i="6"/>
  <c r="G39" i="6"/>
  <c r="E39" i="6" s="1"/>
  <c r="H39" i="6"/>
  <c r="C39" i="6"/>
  <c r="C40" i="6"/>
  <c r="C41" i="6"/>
  <c r="C42" i="6"/>
  <c r="AG85" i="14"/>
  <c r="AG86" i="14"/>
  <c r="AG87" i="14"/>
  <c r="AG88" i="14"/>
  <c r="AG89" i="14"/>
  <c r="O131" i="6"/>
  <c r="O132" i="6"/>
  <c r="O133" i="6"/>
  <c r="O134" i="6"/>
  <c r="G134" i="6"/>
  <c r="E134" i="6" s="1"/>
  <c r="H134" i="6"/>
  <c r="G133" i="6"/>
  <c r="E133" i="6" s="1"/>
  <c r="H133" i="6"/>
  <c r="G132" i="6"/>
  <c r="E132" i="6" s="1"/>
  <c r="H132" i="6"/>
  <c r="G131" i="6"/>
  <c r="E131" i="6" s="1"/>
  <c r="H131" i="6"/>
  <c r="C131" i="6"/>
  <c r="C132" i="6"/>
  <c r="C133" i="6"/>
  <c r="C134" i="6"/>
  <c r="Q4" i="14"/>
  <c r="O6" i="14"/>
  <c r="O3" i="14"/>
  <c r="O2" i="14"/>
  <c r="A5" i="18"/>
  <c r="H99" i="6"/>
  <c r="H184" i="6"/>
  <c r="H182" i="6"/>
  <c r="H181" i="6"/>
  <c r="H180" i="6"/>
  <c r="H179" i="6"/>
  <c r="H178" i="6"/>
  <c r="H177" i="6"/>
  <c r="H172" i="6"/>
  <c r="H171" i="6"/>
  <c r="H169" i="6"/>
  <c r="H160" i="6"/>
  <c r="H159" i="6"/>
  <c r="H158" i="6"/>
  <c r="H157" i="6"/>
  <c r="H156" i="6"/>
  <c r="H155" i="6"/>
  <c r="H154" i="6"/>
  <c r="H153" i="6"/>
  <c r="H152" i="6"/>
  <c r="H151" i="6"/>
  <c r="H149" i="6"/>
  <c r="H148" i="6"/>
  <c r="H147" i="6"/>
  <c r="H145" i="6"/>
  <c r="H144" i="6"/>
  <c r="H143" i="6"/>
  <c r="H142" i="6"/>
  <c r="H141" i="6"/>
  <c r="H140" i="6"/>
  <c r="H139" i="6"/>
  <c r="H138" i="6"/>
  <c r="H137" i="6"/>
  <c r="H136" i="6"/>
  <c r="H135" i="6"/>
  <c r="H130" i="6"/>
  <c r="H129" i="6"/>
  <c r="H128" i="6"/>
  <c r="H127" i="6"/>
  <c r="H119" i="6"/>
  <c r="H118" i="6"/>
  <c r="H117" i="6"/>
  <c r="H116" i="6"/>
  <c r="H115" i="6"/>
  <c r="H114" i="6"/>
  <c r="H113" i="6"/>
  <c r="H112" i="6"/>
  <c r="H107" i="6"/>
  <c r="H106" i="6"/>
  <c r="H105" i="6"/>
  <c r="H104" i="6"/>
  <c r="H103" i="6"/>
  <c r="H102" i="6"/>
  <c r="H101" i="6"/>
  <c r="H100" i="6"/>
  <c r="H98" i="6"/>
  <c r="H97" i="6"/>
  <c r="H96" i="6"/>
  <c r="H83" i="6"/>
  <c r="H82" i="6"/>
  <c r="H81" i="6"/>
  <c r="H80" i="6"/>
  <c r="H79" i="6"/>
  <c r="H78" i="6"/>
  <c r="H76" i="6"/>
  <c r="H69" i="6"/>
  <c r="H68" i="6"/>
  <c r="H66" i="6"/>
  <c r="H65" i="6"/>
  <c r="H64" i="6"/>
  <c r="H63" i="6"/>
  <c r="H62" i="6"/>
  <c r="H49" i="6"/>
  <c r="H48" i="6"/>
  <c r="H47" i="6"/>
  <c r="H45" i="6"/>
  <c r="H44" i="6"/>
  <c r="H43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G186" i="6"/>
  <c r="E186" i="6" s="1"/>
  <c r="G185" i="6"/>
  <c r="E185" i="6" s="1"/>
  <c r="G184" i="6"/>
  <c r="E184" i="6" s="1"/>
  <c r="G183" i="6"/>
  <c r="G182" i="6"/>
  <c r="E182" i="6" s="1"/>
  <c r="G181" i="6"/>
  <c r="E181" i="6" s="1"/>
  <c r="G179" i="6"/>
  <c r="E179" i="6" s="1"/>
  <c r="G178" i="6"/>
  <c r="E178" i="6" s="1"/>
  <c r="G177" i="6"/>
  <c r="E177" i="6" s="1"/>
  <c r="G176" i="6"/>
  <c r="E176" i="6" s="1"/>
  <c r="G175" i="6"/>
  <c r="E175" i="6" s="1"/>
  <c r="G174" i="6"/>
  <c r="E174" i="6" s="1"/>
  <c r="G173" i="6"/>
  <c r="E173" i="6" s="1"/>
  <c r="G172" i="6"/>
  <c r="E172" i="6" s="1"/>
  <c r="G171" i="6"/>
  <c r="E171" i="6" s="1"/>
  <c r="G170" i="6"/>
  <c r="E170" i="6" s="1"/>
  <c r="G169" i="6"/>
  <c r="E169" i="6" s="1"/>
  <c r="G164" i="6"/>
  <c r="E164" i="6" s="1"/>
  <c r="G163" i="6"/>
  <c r="E163" i="6" s="1"/>
  <c r="G162" i="6"/>
  <c r="E162" i="6" s="1"/>
  <c r="G161" i="6"/>
  <c r="E161" i="6" s="1"/>
  <c r="G160" i="6"/>
  <c r="E160" i="6" s="1"/>
  <c r="G159" i="6"/>
  <c r="E159" i="6" s="1"/>
  <c r="G158" i="6"/>
  <c r="E158" i="6" s="1"/>
  <c r="G157" i="6"/>
  <c r="E157" i="6" s="1"/>
  <c r="G156" i="6"/>
  <c r="E156" i="6" s="1"/>
  <c r="G155" i="6"/>
  <c r="E155" i="6" s="1"/>
  <c r="G154" i="6"/>
  <c r="E154" i="6" s="1"/>
  <c r="G153" i="6"/>
  <c r="E153" i="6" s="1"/>
  <c r="G152" i="6"/>
  <c r="E152" i="6" s="1"/>
  <c r="G151" i="6"/>
  <c r="E151" i="6" s="1"/>
  <c r="G150" i="6"/>
  <c r="E150" i="6" s="1"/>
  <c r="G149" i="6"/>
  <c r="E149" i="6" s="1"/>
  <c r="G148" i="6"/>
  <c r="E148" i="6" s="1"/>
  <c r="G147" i="6"/>
  <c r="E147" i="6" s="1"/>
  <c r="G146" i="6"/>
  <c r="E146" i="6" s="1"/>
  <c r="G145" i="6"/>
  <c r="E145" i="6" s="1"/>
  <c r="G144" i="6"/>
  <c r="E144" i="6" s="1"/>
  <c r="G143" i="6"/>
  <c r="E143" i="6" s="1"/>
  <c r="G142" i="6"/>
  <c r="E142" i="6" s="1"/>
  <c r="G141" i="6"/>
  <c r="E141" i="6" s="1"/>
  <c r="G140" i="6"/>
  <c r="E140" i="6" s="1"/>
  <c r="G139" i="6"/>
  <c r="E139" i="6" s="1"/>
  <c r="G138" i="6"/>
  <c r="E138" i="6" s="1"/>
  <c r="G137" i="6"/>
  <c r="E137" i="6" s="1"/>
  <c r="G136" i="6"/>
  <c r="E136" i="6" s="1"/>
  <c r="G135" i="6"/>
  <c r="E135" i="6" s="1"/>
  <c r="G130" i="6"/>
  <c r="E130" i="6" s="1"/>
  <c r="G129" i="6"/>
  <c r="E129" i="6" s="1"/>
  <c r="G128" i="6"/>
  <c r="E128" i="6" s="1"/>
  <c r="G127" i="6"/>
  <c r="E127" i="6" s="1"/>
  <c r="G126" i="6"/>
  <c r="E126" i="6" s="1"/>
  <c r="G125" i="6"/>
  <c r="E125" i="6" s="1"/>
  <c r="G124" i="6"/>
  <c r="E124" i="6" s="1"/>
  <c r="G123" i="6"/>
  <c r="E123" i="6" s="1"/>
  <c r="G122" i="6"/>
  <c r="E122" i="6" s="1"/>
  <c r="G121" i="6"/>
  <c r="E121" i="6" s="1"/>
  <c r="G120" i="6"/>
  <c r="E120" i="6" s="1"/>
  <c r="G119" i="6"/>
  <c r="E119" i="6" s="1"/>
  <c r="G118" i="6"/>
  <c r="E118" i="6" s="1"/>
  <c r="G117" i="6"/>
  <c r="E117" i="6" s="1"/>
  <c r="G116" i="6"/>
  <c r="E116" i="6" s="1"/>
  <c r="G115" i="6"/>
  <c r="E115" i="6" s="1"/>
  <c r="G114" i="6"/>
  <c r="E114" i="6" s="1"/>
  <c r="G113" i="6"/>
  <c r="E113" i="6" s="1"/>
  <c r="G112" i="6"/>
  <c r="E112" i="6" s="1"/>
  <c r="G111" i="6"/>
  <c r="E111" i="6" s="1"/>
  <c r="G110" i="6"/>
  <c r="E110" i="6" s="1"/>
  <c r="G109" i="6"/>
  <c r="E109" i="6" s="1"/>
  <c r="G108" i="6"/>
  <c r="E108" i="6" s="1"/>
  <c r="G107" i="6"/>
  <c r="E107" i="6" s="1"/>
  <c r="G72" i="19" s="1"/>
  <c r="G106" i="6"/>
  <c r="E106" i="6" s="1"/>
  <c r="G105" i="6"/>
  <c r="E105" i="6" s="1"/>
  <c r="G104" i="6"/>
  <c r="E104" i="6" s="1"/>
  <c r="G103" i="6"/>
  <c r="E103" i="6" s="1"/>
  <c r="G102" i="6"/>
  <c r="E102" i="6" s="1"/>
  <c r="G101" i="6"/>
  <c r="E101" i="6" s="1"/>
  <c r="G100" i="6"/>
  <c r="E100" i="6" s="1"/>
  <c r="G99" i="6"/>
  <c r="E99" i="6" s="1"/>
  <c r="G98" i="6"/>
  <c r="E98" i="6" s="1"/>
  <c r="G97" i="6"/>
  <c r="E97" i="6" s="1"/>
  <c r="G96" i="6"/>
  <c r="E96" i="6" s="1"/>
  <c r="G91" i="6"/>
  <c r="E91" i="6" s="1"/>
  <c r="G90" i="6"/>
  <c r="E90" i="6" s="1"/>
  <c r="G89" i="6"/>
  <c r="E89" i="6" s="1"/>
  <c r="G88" i="6"/>
  <c r="E88" i="6" s="1"/>
  <c r="G87" i="6"/>
  <c r="E87" i="6" s="1"/>
  <c r="G86" i="6"/>
  <c r="E86" i="6" s="1"/>
  <c r="G85" i="6"/>
  <c r="E85" i="6" s="1"/>
  <c r="G84" i="6"/>
  <c r="E84" i="6" s="1"/>
  <c r="G83" i="6"/>
  <c r="E83" i="6" s="1"/>
  <c r="G82" i="6"/>
  <c r="E82" i="6" s="1"/>
  <c r="G81" i="6"/>
  <c r="E81" i="6" s="1"/>
  <c r="G80" i="6"/>
  <c r="E80" i="6" s="1"/>
  <c r="G79" i="6"/>
  <c r="E79" i="6" s="1"/>
  <c r="G78" i="6"/>
  <c r="E78" i="6" s="1"/>
  <c r="G77" i="6"/>
  <c r="E77" i="6" s="1"/>
  <c r="G76" i="6"/>
  <c r="E76" i="6" s="1"/>
  <c r="G75" i="6"/>
  <c r="E75" i="6" s="1"/>
  <c r="G74" i="6"/>
  <c r="E74" i="6" s="1"/>
  <c r="G73" i="6"/>
  <c r="E73" i="6" s="1"/>
  <c r="G72" i="6"/>
  <c r="E72" i="6" s="1"/>
  <c r="G71" i="6"/>
  <c r="E71" i="6" s="1"/>
  <c r="G70" i="6"/>
  <c r="E70" i="6" s="1"/>
  <c r="G69" i="6"/>
  <c r="E69" i="6" s="1"/>
  <c r="G68" i="6"/>
  <c r="E68" i="6" s="1"/>
  <c r="G67" i="6"/>
  <c r="E67" i="6" s="1"/>
  <c r="G66" i="6"/>
  <c r="E66" i="6" s="1"/>
  <c r="G65" i="6"/>
  <c r="E65" i="6" s="1"/>
  <c r="G64" i="6"/>
  <c r="E64" i="6" s="1"/>
  <c r="G63" i="6"/>
  <c r="E63" i="6" s="1"/>
  <c r="G62" i="6"/>
  <c r="E62" i="6" s="1"/>
  <c r="G61" i="6"/>
  <c r="E61" i="6" s="1"/>
  <c r="G60" i="6"/>
  <c r="E60" i="6" s="1"/>
  <c r="G59" i="6"/>
  <c r="E59" i="6" s="1"/>
  <c r="G58" i="6"/>
  <c r="E58" i="6" s="1"/>
  <c r="G57" i="6"/>
  <c r="E57" i="6" s="1"/>
  <c r="G56" i="6"/>
  <c r="E56" i="6" s="1"/>
  <c r="G55" i="6"/>
  <c r="E55" i="6" s="1"/>
  <c r="G54" i="6"/>
  <c r="E54" i="6" s="1"/>
  <c r="G53" i="6"/>
  <c r="E53" i="6" s="1"/>
  <c r="G52" i="6"/>
  <c r="E52" i="6" s="1"/>
  <c r="G51" i="6"/>
  <c r="E51" i="6" s="1"/>
  <c r="G50" i="6"/>
  <c r="E50" i="6" s="1"/>
  <c r="G49" i="6"/>
  <c r="E49" i="6" s="1"/>
  <c r="G48" i="6"/>
  <c r="E48" i="6" s="1"/>
  <c r="G47" i="6"/>
  <c r="E47" i="6" s="1"/>
  <c r="G46" i="6"/>
  <c r="E46" i="6" s="1"/>
  <c r="G45" i="6"/>
  <c r="E45" i="6" s="1"/>
  <c r="G44" i="6"/>
  <c r="E44" i="6" s="1"/>
  <c r="G43" i="6"/>
  <c r="E43" i="6" s="1"/>
  <c r="G38" i="6"/>
  <c r="E38" i="6" s="1"/>
  <c r="G37" i="6"/>
  <c r="E37" i="6" s="1"/>
  <c r="G36" i="6"/>
  <c r="E36" i="6" s="1"/>
  <c r="G35" i="6"/>
  <c r="E35" i="6" s="1"/>
  <c r="G34" i="6"/>
  <c r="E34" i="6" s="1"/>
  <c r="G33" i="6"/>
  <c r="E33" i="6" s="1"/>
  <c r="G32" i="6"/>
  <c r="E32" i="6" s="1"/>
  <c r="G31" i="6"/>
  <c r="E31" i="6" s="1"/>
  <c r="G30" i="6"/>
  <c r="E30" i="6" s="1"/>
  <c r="G29" i="6"/>
  <c r="E29" i="6" s="1"/>
  <c r="G28" i="6"/>
  <c r="E28" i="6" s="1"/>
  <c r="G27" i="6"/>
  <c r="E27" i="6" s="1"/>
  <c r="G26" i="6"/>
  <c r="E26" i="6" s="1"/>
  <c r="G25" i="6"/>
  <c r="E25" i="6" s="1"/>
  <c r="G24" i="6"/>
  <c r="E24" i="6" s="1"/>
  <c r="G23" i="6"/>
  <c r="E23" i="6" s="1"/>
  <c r="G22" i="6"/>
  <c r="E22" i="6" s="1"/>
  <c r="G21" i="6"/>
  <c r="E21" i="6" s="1"/>
  <c r="G20" i="6"/>
  <c r="E20" i="6" s="1"/>
  <c r="G19" i="6"/>
  <c r="E19" i="6" s="1"/>
  <c r="G18" i="6"/>
  <c r="E18" i="6" s="1"/>
  <c r="G17" i="6"/>
  <c r="E17" i="6" s="1"/>
  <c r="G16" i="6"/>
  <c r="E16" i="6" s="1"/>
  <c r="G15" i="6"/>
  <c r="E15" i="6" s="1"/>
  <c r="G14" i="6"/>
  <c r="E14" i="6" s="1"/>
  <c r="G13" i="6"/>
  <c r="E13" i="6" s="1"/>
  <c r="G12" i="6"/>
  <c r="E12" i="6" s="1"/>
  <c r="G11" i="6"/>
  <c r="E11" i="6" s="1"/>
  <c r="AG112" i="14"/>
  <c r="AG111" i="14"/>
  <c r="AG110" i="14"/>
  <c r="AG109" i="14"/>
  <c r="AG108" i="14"/>
  <c r="AG107" i="14"/>
  <c r="AG106" i="14"/>
  <c r="AG105" i="14"/>
  <c r="AG104" i="14"/>
  <c r="AG103" i="14"/>
  <c r="AG102" i="14"/>
  <c r="AG101" i="14"/>
  <c r="AG100" i="14"/>
  <c r="AG99" i="14"/>
  <c r="AG98" i="14"/>
  <c r="AG97" i="14"/>
  <c r="AG96" i="14"/>
  <c r="AG95" i="14"/>
  <c r="AG94" i="14"/>
  <c r="AG93" i="14"/>
  <c r="AG92" i="14"/>
  <c r="AG91" i="14"/>
  <c r="AG90" i="14"/>
  <c r="AG84" i="14"/>
  <c r="AG83" i="14"/>
  <c r="AG82" i="14"/>
  <c r="AG81" i="14"/>
  <c r="AG80" i="14"/>
  <c r="AG79" i="14"/>
  <c r="AG78" i="14"/>
  <c r="AG77" i="14"/>
  <c r="AG76" i="14"/>
  <c r="AG75" i="14"/>
  <c r="AG74" i="14"/>
  <c r="AG73" i="14"/>
  <c r="AG72" i="14"/>
  <c r="AG71" i="14"/>
  <c r="AG70" i="14"/>
  <c r="AG69" i="14"/>
  <c r="AG68" i="14"/>
  <c r="AG67" i="14"/>
  <c r="AG66" i="14"/>
  <c r="AG65" i="14"/>
  <c r="AG64" i="14"/>
  <c r="AG63" i="14"/>
  <c r="AG62" i="14"/>
  <c r="AG56" i="14"/>
  <c r="AG55" i="14"/>
  <c r="AG54" i="14"/>
  <c r="AG53" i="14"/>
  <c r="AG52" i="14"/>
  <c r="AG51" i="14"/>
  <c r="AG50" i="14"/>
  <c r="AG49" i="14"/>
  <c r="AG48" i="14"/>
  <c r="AG47" i="14"/>
  <c r="AG46" i="14"/>
  <c r="AG45" i="14"/>
  <c r="AG44" i="14"/>
  <c r="AG43" i="14"/>
  <c r="AG42" i="14"/>
  <c r="AG41" i="14"/>
  <c r="AG40" i="14"/>
  <c r="AG39" i="14"/>
  <c r="AG38" i="14"/>
  <c r="AG37" i="14"/>
  <c r="AG32" i="14"/>
  <c r="AG31" i="14"/>
  <c r="AG30" i="14"/>
  <c r="AG29" i="14"/>
  <c r="AG28" i="14"/>
  <c r="AG27" i="14"/>
  <c r="AG26" i="14"/>
  <c r="AG25" i="14"/>
  <c r="AG24" i="14"/>
  <c r="AJ159" i="20" l="1"/>
  <c r="U158" i="20"/>
  <c r="AI158" i="20"/>
  <c r="K158" i="20" s="1"/>
  <c r="U157" i="20"/>
  <c r="AI157" i="20"/>
  <c r="K157" i="20" s="1"/>
  <c r="AJ156" i="20"/>
  <c r="Q159" i="14"/>
  <c r="Q158" i="14"/>
  <c r="Q157" i="14"/>
  <c r="R156" i="14"/>
  <c r="T156" i="14" s="1"/>
  <c r="G127" i="19"/>
  <c r="H127" i="19" s="1"/>
  <c r="E183" i="6"/>
  <c r="AH18" i="20"/>
  <c r="AH41" i="20"/>
  <c r="AH92" i="20"/>
  <c r="AH94" i="20"/>
  <c r="AH119" i="20"/>
  <c r="AH72" i="20"/>
  <c r="AH56" i="20"/>
  <c r="AH47" i="20"/>
  <c r="AH29" i="20"/>
  <c r="AH127" i="20"/>
  <c r="AB32" i="20"/>
  <c r="AC32" i="20"/>
  <c r="Y32" i="20"/>
  <c r="AC35" i="20"/>
  <c r="Y60" i="20"/>
  <c r="AB60" i="20" s="1"/>
  <c r="AC65" i="20"/>
  <c r="Y65" i="20"/>
  <c r="AB65" i="20" s="1"/>
  <c r="AB24" i="20"/>
  <c r="Y24" i="20"/>
  <c r="AC24" i="20"/>
  <c r="Y49" i="20"/>
  <c r="AC49" i="20" s="1"/>
  <c r="Y53" i="20"/>
  <c r="AB53" i="20" s="1"/>
  <c r="AC93" i="20"/>
  <c r="AB104" i="20"/>
  <c r="Y120" i="20"/>
  <c r="AB120" i="20" s="1"/>
  <c r="AB77" i="20"/>
  <c r="Y77" i="20"/>
  <c r="AC77" i="20" s="1"/>
  <c r="AC106" i="20"/>
  <c r="AB54" i="20"/>
  <c r="AC68" i="20"/>
  <c r="AH68" i="20" s="1"/>
  <c r="AC114" i="20"/>
  <c r="AH11" i="20"/>
  <c r="Y44" i="20"/>
  <c r="AC34" i="20"/>
  <c r="Y12" i="20"/>
  <c r="AB12" i="20" s="1"/>
  <c r="W12" i="20"/>
  <c r="AC27" i="20"/>
  <c r="Y81" i="20"/>
  <c r="AC82" i="20"/>
  <c r="AH80" i="20"/>
  <c r="AC104" i="20"/>
  <c r="AC84" i="20"/>
  <c r="AB116" i="20"/>
  <c r="AC54" i="20"/>
  <c r="AB108" i="20"/>
  <c r="AC15" i="20"/>
  <c r="AH15" i="20" s="1"/>
  <c r="Y36" i="20"/>
  <c r="AC52" i="20"/>
  <c r="Y52" i="20"/>
  <c r="AB52" i="20" s="1"/>
  <c r="AB28" i="20"/>
  <c r="Y28" i="20"/>
  <c r="AC28" i="20" s="1"/>
  <c r="AB73" i="20"/>
  <c r="AC73" i="20"/>
  <c r="Y73" i="20"/>
  <c r="Y102" i="20"/>
  <c r="AB102" i="20" s="1"/>
  <c r="AC124" i="20"/>
  <c r="Y124" i="20"/>
  <c r="Y20" i="20"/>
  <c r="AC20" i="20"/>
  <c r="AB20" i="20"/>
  <c r="AC112" i="20"/>
  <c r="AH112" i="20" s="1"/>
  <c r="AB87" i="20"/>
  <c r="Y87" i="20"/>
  <c r="AC87" i="20"/>
  <c r="AB95" i="20"/>
  <c r="AC95" i="20"/>
  <c r="Y95" i="20"/>
  <c r="W20" i="20"/>
  <c r="AC83" i="20"/>
  <c r="AB83" i="20"/>
  <c r="Y83" i="20"/>
  <c r="AC76" i="20"/>
  <c r="AC48" i="20"/>
  <c r="Y91" i="20"/>
  <c r="AB91" i="20" s="1"/>
  <c r="AC91" i="20"/>
  <c r="AC30" i="20"/>
  <c r="AC98" i="20"/>
  <c r="AH98" i="20" s="1"/>
  <c r="Y40" i="20"/>
  <c r="AC39" i="20"/>
  <c r="AB35" i="20"/>
  <c r="AC31" i="20"/>
  <c r="AH31" i="20" s="1"/>
  <c r="AB76" i="20"/>
  <c r="AB48" i="20"/>
  <c r="AB57" i="20"/>
  <c r="Y57" i="20"/>
  <c r="AC57" i="20"/>
  <c r="AB93" i="20"/>
  <c r="AB103" i="20"/>
  <c r="Y103" i="20"/>
  <c r="AC103" i="20"/>
  <c r="AC111" i="20"/>
  <c r="Y111" i="20"/>
  <c r="AB111" i="20"/>
  <c r="AC117" i="20"/>
  <c r="AH117" i="20" s="1"/>
  <c r="AC123" i="20"/>
  <c r="AH123" i="20" s="1"/>
  <c r="Y115" i="20"/>
  <c r="AB115" i="20" s="1"/>
  <c r="AC115" i="20"/>
  <c r="AH79" i="20"/>
  <c r="AB30" i="20"/>
  <c r="AC61" i="20"/>
  <c r="Y61" i="20"/>
  <c r="AB106" i="20"/>
  <c r="AC110" i="20"/>
  <c r="AH110" i="20" s="1"/>
  <c r="AC70" i="20"/>
  <c r="AC71" i="20"/>
  <c r="AH71" i="20" s="1"/>
  <c r="AH64" i="20"/>
  <c r="Y69" i="20"/>
  <c r="AC69" i="20" s="1"/>
  <c r="Y86" i="20"/>
  <c r="AB86" i="20"/>
  <c r="AC107" i="20"/>
  <c r="Y107" i="20"/>
  <c r="AB107" i="20"/>
  <c r="AB114" i="20"/>
  <c r="AB99" i="20"/>
  <c r="AC99" i="20"/>
  <c r="Y99" i="20"/>
  <c r="I126" i="19"/>
  <c r="X126" i="19" s="1"/>
  <c r="I72" i="19"/>
  <c r="H72" i="19"/>
  <c r="E92" i="6"/>
  <c r="E94" i="6"/>
  <c r="E93" i="6"/>
  <c r="C183" i="6"/>
  <c r="C182" i="6"/>
  <c r="C181" i="6"/>
  <c r="C180" i="6"/>
  <c r="C45" i="6"/>
  <c r="C44" i="6"/>
  <c r="C43" i="6"/>
  <c r="C159" i="6"/>
  <c r="C158" i="6"/>
  <c r="C157" i="6"/>
  <c r="C156" i="6"/>
  <c r="C155" i="6"/>
  <c r="C154" i="6"/>
  <c r="C153" i="6"/>
  <c r="C152" i="6"/>
  <c r="C151" i="6"/>
  <c r="C149" i="6"/>
  <c r="C148" i="6"/>
  <c r="C147" i="6"/>
  <c r="C145" i="6"/>
  <c r="C144" i="6"/>
  <c r="C143" i="6"/>
  <c r="C142" i="6"/>
  <c r="C141" i="6"/>
  <c r="C140" i="6"/>
  <c r="C139" i="6"/>
  <c r="C138" i="6"/>
  <c r="C137" i="6"/>
  <c r="C136" i="6"/>
  <c r="C135" i="6"/>
  <c r="C130" i="6"/>
  <c r="C129" i="6"/>
  <c r="C128" i="6"/>
  <c r="C127" i="6"/>
  <c r="C119" i="6"/>
  <c r="C118" i="6"/>
  <c r="C117" i="6"/>
  <c r="C116" i="6"/>
  <c r="C115" i="6"/>
  <c r="C114" i="6"/>
  <c r="C113" i="6"/>
  <c r="C112" i="6"/>
  <c r="C107" i="6"/>
  <c r="C106" i="6"/>
  <c r="C105" i="6"/>
  <c r="C104" i="6"/>
  <c r="C103" i="6"/>
  <c r="C102" i="6"/>
  <c r="C101" i="6"/>
  <c r="C100" i="6"/>
  <c r="C99" i="6"/>
  <c r="C98" i="6"/>
  <c r="C97" i="6"/>
  <c r="C96" i="6"/>
  <c r="C82" i="6"/>
  <c r="C81" i="6"/>
  <c r="C80" i="6"/>
  <c r="C79" i="6"/>
  <c r="C78" i="6"/>
  <c r="C77" i="6"/>
  <c r="C76" i="6"/>
  <c r="C75" i="6"/>
  <c r="C74" i="6"/>
  <c r="C69" i="6"/>
  <c r="C68" i="6"/>
  <c r="C67" i="6"/>
  <c r="C66" i="6"/>
  <c r="C65" i="6"/>
  <c r="C64" i="6"/>
  <c r="C63" i="6"/>
  <c r="C62" i="6"/>
  <c r="C53" i="6"/>
  <c r="C52" i="6"/>
  <c r="C51" i="6"/>
  <c r="C50" i="6"/>
  <c r="C49" i="6"/>
  <c r="C48" i="6"/>
  <c r="C47" i="6"/>
  <c r="C46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69" i="6"/>
  <c r="C170" i="6"/>
  <c r="C171" i="6"/>
  <c r="C172" i="6"/>
  <c r="C85" i="6"/>
  <c r="H186" i="6"/>
  <c r="H185" i="6"/>
  <c r="C186" i="6"/>
  <c r="C185" i="6"/>
  <c r="C184" i="6"/>
  <c r="C179" i="6"/>
  <c r="C178" i="6"/>
  <c r="C177" i="6"/>
  <c r="AL159" i="20" l="1"/>
  <c r="AK159" i="20"/>
  <c r="AJ158" i="20"/>
  <c r="AJ157" i="20"/>
  <c r="AL156" i="20"/>
  <c r="AK156" i="20"/>
  <c r="R159" i="14"/>
  <c r="T159" i="14" s="1"/>
  <c r="R158" i="14"/>
  <c r="T158" i="14" s="1"/>
  <c r="R157" i="14"/>
  <c r="T157" i="14" s="1"/>
  <c r="U156" i="14"/>
  <c r="AI156" i="14"/>
  <c r="K156" i="14" s="1"/>
  <c r="AJ156" i="14"/>
  <c r="I127" i="19"/>
  <c r="V127" i="19" s="1"/>
  <c r="W127" i="19" s="1"/>
  <c r="AH111" i="20"/>
  <c r="AH32" i="20"/>
  <c r="AH106" i="20"/>
  <c r="AH52" i="20"/>
  <c r="AH65" i="20"/>
  <c r="AH91" i="20"/>
  <c r="AH95" i="20"/>
  <c r="AH114" i="20"/>
  <c r="AH24" i="20"/>
  <c r="AH99" i="20"/>
  <c r="AH93" i="20"/>
  <c r="AH104" i="20"/>
  <c r="AH87" i="20"/>
  <c r="AH115" i="20"/>
  <c r="AH35" i="20"/>
  <c r="AH103" i="20"/>
  <c r="AH57" i="20"/>
  <c r="AH48" i="20"/>
  <c r="AH83" i="20"/>
  <c r="AH28" i="20"/>
  <c r="AC12" i="20"/>
  <c r="AC120" i="20"/>
  <c r="AH120" i="20" s="1"/>
  <c r="AC53" i="20"/>
  <c r="AH53" i="20" s="1"/>
  <c r="AC60" i="20"/>
  <c r="AH60" i="20" s="1"/>
  <c r="AB69" i="20"/>
  <c r="AH69" i="20" s="1"/>
  <c r="AB61" i="20"/>
  <c r="AH61" i="20" s="1"/>
  <c r="AB40" i="20"/>
  <c r="AC102" i="20"/>
  <c r="AH102" i="20" s="1"/>
  <c r="AB49" i="20"/>
  <c r="AH49" i="20" s="1"/>
  <c r="AH107" i="20"/>
  <c r="AC86" i="20"/>
  <c r="AH86" i="20" s="1"/>
  <c r="AH73" i="20"/>
  <c r="AC36" i="20"/>
  <c r="AC81" i="20"/>
  <c r="AC44" i="20"/>
  <c r="AC40" i="20"/>
  <c r="AB124" i="20"/>
  <c r="AH124" i="20" s="1"/>
  <c r="AB36" i="20"/>
  <c r="AB81" i="20"/>
  <c r="AB44" i="20"/>
  <c r="AH77" i="20"/>
  <c r="AF126" i="19"/>
  <c r="AD127" i="19"/>
  <c r="AE127" i="19" s="1"/>
  <c r="Z126" i="19"/>
  <c r="AA126" i="19"/>
  <c r="V126" i="19"/>
  <c r="W126" i="19" s="1"/>
  <c r="AD126" i="19"/>
  <c r="AE126" i="19" s="1"/>
  <c r="X127" i="19"/>
  <c r="Y127" i="19" s="1"/>
  <c r="AF127" i="19"/>
  <c r="Z127" i="19"/>
  <c r="AA127" i="19"/>
  <c r="Y126" i="19"/>
  <c r="AD72" i="19"/>
  <c r="AE72" i="19" s="1"/>
  <c r="V72" i="19"/>
  <c r="W72" i="19" s="1"/>
  <c r="AF72" i="19"/>
  <c r="AA72" i="19"/>
  <c r="Z72" i="19"/>
  <c r="X72" i="19"/>
  <c r="K177" i="6"/>
  <c r="O177" i="6"/>
  <c r="I177" i="6"/>
  <c r="AL158" i="20" l="1"/>
  <c r="AK158" i="20"/>
  <c r="AL157" i="20"/>
  <c r="AK157" i="20"/>
  <c r="U159" i="14"/>
  <c r="AI159" i="14"/>
  <c r="K159" i="14" s="1"/>
  <c r="U158" i="14"/>
  <c r="AI158" i="14"/>
  <c r="K158" i="14" s="1"/>
  <c r="U157" i="14"/>
  <c r="AI157" i="14"/>
  <c r="K157" i="14" s="1"/>
  <c r="AL156" i="14"/>
  <c r="AK156" i="14"/>
  <c r="H116" i="20"/>
  <c r="H113" i="20"/>
  <c r="AH81" i="20"/>
  <c r="AH36" i="20"/>
  <c r="AH44" i="20"/>
  <c r="AH40" i="20"/>
  <c r="AC126" i="19"/>
  <c r="Y72" i="19"/>
  <c r="AC72" i="19" s="1"/>
  <c r="AB126" i="19"/>
  <c r="AB127" i="19"/>
  <c r="AC127" i="19"/>
  <c r="L177" i="6"/>
  <c r="M177" i="6" s="1" a="1"/>
  <c r="M177" i="6" s="1"/>
  <c r="AJ159" i="14" l="1"/>
  <c r="AJ158" i="14"/>
  <c r="AJ157" i="14"/>
  <c r="AI126" i="19"/>
  <c r="J126" i="19" s="1"/>
  <c r="O126" i="19" s="1"/>
  <c r="AI127" i="19"/>
  <c r="J127" i="19" s="1"/>
  <c r="P127" i="19" s="1"/>
  <c r="AB72" i="19"/>
  <c r="AI72" i="19" s="1"/>
  <c r="J72" i="19" s="1"/>
  <c r="P126" i="19"/>
  <c r="X119" i="17"/>
  <c r="AE114" i="17"/>
  <c r="AC114" i="17"/>
  <c r="AB114" i="17"/>
  <c r="AA114" i="17"/>
  <c r="Z114" i="17"/>
  <c r="Y114" i="17"/>
  <c r="X114" i="17"/>
  <c r="W114" i="17"/>
  <c r="V114" i="17"/>
  <c r="U114" i="17"/>
  <c r="T114" i="17"/>
  <c r="Q114" i="17"/>
  <c r="K114" i="17"/>
  <c r="G114" i="17"/>
  <c r="H114" i="17" s="1"/>
  <c r="AE113" i="17"/>
  <c r="AC113" i="17"/>
  <c r="AB113" i="17"/>
  <c r="AA113" i="17"/>
  <c r="Z113" i="17"/>
  <c r="Y113" i="17"/>
  <c r="X113" i="17"/>
  <c r="W113" i="17"/>
  <c r="V113" i="17"/>
  <c r="U113" i="17"/>
  <c r="T113" i="17"/>
  <c r="Q113" i="17"/>
  <c r="K113" i="17"/>
  <c r="G113" i="17"/>
  <c r="H113" i="17" s="1"/>
  <c r="AE112" i="17"/>
  <c r="AC112" i="17"/>
  <c r="AB112" i="17"/>
  <c r="AA112" i="17"/>
  <c r="Z112" i="17"/>
  <c r="Y112" i="17"/>
  <c r="X112" i="17"/>
  <c r="W112" i="17"/>
  <c r="V112" i="17"/>
  <c r="U112" i="17"/>
  <c r="T112" i="17"/>
  <c r="Q112" i="17"/>
  <c r="K112" i="17"/>
  <c r="G112" i="17"/>
  <c r="H112" i="17" s="1"/>
  <c r="AE111" i="17"/>
  <c r="AC111" i="17"/>
  <c r="AB111" i="17"/>
  <c r="AA111" i="17"/>
  <c r="Z111" i="17"/>
  <c r="Y111" i="17"/>
  <c r="X111" i="17"/>
  <c r="W111" i="17"/>
  <c r="V111" i="17"/>
  <c r="U111" i="17"/>
  <c r="T111" i="17"/>
  <c r="Q111" i="17"/>
  <c r="K111" i="17"/>
  <c r="G111" i="17"/>
  <c r="H111" i="17" s="1"/>
  <c r="AE110" i="17"/>
  <c r="AC110" i="17"/>
  <c r="AB110" i="17"/>
  <c r="AA110" i="17"/>
  <c r="Z110" i="17"/>
  <c r="Y110" i="17"/>
  <c r="X110" i="17"/>
  <c r="W110" i="17"/>
  <c r="V110" i="17"/>
  <c r="U110" i="17"/>
  <c r="T110" i="17"/>
  <c r="Q110" i="17"/>
  <c r="K110" i="17"/>
  <c r="G110" i="17"/>
  <c r="H110" i="17" s="1"/>
  <c r="AE109" i="17"/>
  <c r="AC109" i="17"/>
  <c r="AB109" i="17"/>
  <c r="AA109" i="17"/>
  <c r="Z109" i="17"/>
  <c r="Y109" i="17"/>
  <c r="X109" i="17"/>
  <c r="W109" i="17"/>
  <c r="V109" i="17"/>
  <c r="U109" i="17"/>
  <c r="T109" i="17"/>
  <c r="Q109" i="17"/>
  <c r="K109" i="17"/>
  <c r="G109" i="17"/>
  <c r="H109" i="17" s="1"/>
  <c r="AE108" i="17"/>
  <c r="AC108" i="17"/>
  <c r="AB108" i="17"/>
  <c r="AA108" i="17"/>
  <c r="Z108" i="17"/>
  <c r="Y108" i="17"/>
  <c r="X108" i="17"/>
  <c r="W108" i="17"/>
  <c r="V108" i="17"/>
  <c r="U108" i="17"/>
  <c r="T108" i="17"/>
  <c r="Q108" i="17"/>
  <c r="K108" i="17"/>
  <c r="G108" i="17"/>
  <c r="H108" i="17" s="1"/>
  <c r="AE107" i="17"/>
  <c r="AC107" i="17"/>
  <c r="AB107" i="17"/>
  <c r="AA107" i="17"/>
  <c r="Z107" i="17"/>
  <c r="Y107" i="17"/>
  <c r="X107" i="17"/>
  <c r="W107" i="17"/>
  <c r="V107" i="17"/>
  <c r="U107" i="17"/>
  <c r="T107" i="17"/>
  <c r="Q107" i="17"/>
  <c r="K107" i="17"/>
  <c r="G107" i="17"/>
  <c r="H107" i="17" s="1"/>
  <c r="AE106" i="17"/>
  <c r="AC106" i="17"/>
  <c r="AB106" i="17"/>
  <c r="AA106" i="17"/>
  <c r="Z106" i="17"/>
  <c r="Y106" i="17"/>
  <c r="X106" i="17"/>
  <c r="W106" i="17"/>
  <c r="V106" i="17"/>
  <c r="U106" i="17"/>
  <c r="T106" i="17"/>
  <c r="Q106" i="17"/>
  <c r="K106" i="17"/>
  <c r="G106" i="17"/>
  <c r="H106" i="17" s="1"/>
  <c r="AE105" i="17"/>
  <c r="AC105" i="17"/>
  <c r="AB105" i="17"/>
  <c r="AA105" i="17"/>
  <c r="Z105" i="17"/>
  <c r="Y105" i="17"/>
  <c r="X105" i="17"/>
  <c r="W105" i="17"/>
  <c r="V105" i="17"/>
  <c r="U105" i="17"/>
  <c r="T105" i="17"/>
  <c r="Q105" i="17"/>
  <c r="K105" i="17"/>
  <c r="G105" i="17"/>
  <c r="H105" i="17" s="1"/>
  <c r="AE104" i="17"/>
  <c r="AC104" i="17"/>
  <c r="AB104" i="17"/>
  <c r="AA104" i="17"/>
  <c r="Z104" i="17"/>
  <c r="Y104" i="17"/>
  <c r="X104" i="17"/>
  <c r="W104" i="17"/>
  <c r="V104" i="17"/>
  <c r="U104" i="17"/>
  <c r="T104" i="17"/>
  <c r="Q104" i="17"/>
  <c r="K104" i="17"/>
  <c r="G104" i="17"/>
  <c r="H104" i="17" s="1"/>
  <c r="AE103" i="17"/>
  <c r="AC103" i="17"/>
  <c r="AB103" i="17"/>
  <c r="AA103" i="17"/>
  <c r="Z103" i="17"/>
  <c r="Y103" i="17"/>
  <c r="X103" i="17"/>
  <c r="W103" i="17"/>
  <c r="V103" i="17"/>
  <c r="U103" i="17"/>
  <c r="T103" i="17"/>
  <c r="Q103" i="17"/>
  <c r="K103" i="17"/>
  <c r="G103" i="17"/>
  <c r="H103" i="17" s="1"/>
  <c r="AE102" i="17"/>
  <c r="AC102" i="17"/>
  <c r="AB102" i="17"/>
  <c r="AA102" i="17"/>
  <c r="Z102" i="17"/>
  <c r="Y102" i="17"/>
  <c r="X102" i="17"/>
  <c r="W102" i="17"/>
  <c r="V102" i="17"/>
  <c r="U102" i="17"/>
  <c r="T102" i="17"/>
  <c r="Q102" i="17"/>
  <c r="K102" i="17"/>
  <c r="G102" i="17"/>
  <c r="H102" i="17" s="1"/>
  <c r="AE101" i="17"/>
  <c r="AC101" i="17"/>
  <c r="AB101" i="17"/>
  <c r="AA101" i="17"/>
  <c r="Z101" i="17"/>
  <c r="Y101" i="17"/>
  <c r="X101" i="17"/>
  <c r="W101" i="17"/>
  <c r="V101" i="17"/>
  <c r="U101" i="17"/>
  <c r="T101" i="17"/>
  <c r="Q101" i="17"/>
  <c r="K101" i="17"/>
  <c r="G101" i="17"/>
  <c r="H101" i="17" s="1"/>
  <c r="AE100" i="17"/>
  <c r="AC100" i="17"/>
  <c r="AB100" i="17"/>
  <c r="AA100" i="17"/>
  <c r="Z100" i="17"/>
  <c r="Y100" i="17"/>
  <c r="X100" i="17"/>
  <c r="W100" i="17"/>
  <c r="V100" i="17"/>
  <c r="U100" i="17"/>
  <c r="T100" i="17"/>
  <c r="Q100" i="17"/>
  <c r="K100" i="17"/>
  <c r="G100" i="17"/>
  <c r="H100" i="17" s="1"/>
  <c r="AE99" i="17"/>
  <c r="AC99" i="17"/>
  <c r="AB99" i="17"/>
  <c r="AA99" i="17"/>
  <c r="Z99" i="17"/>
  <c r="Y99" i="17"/>
  <c r="X99" i="17"/>
  <c r="W99" i="17"/>
  <c r="V99" i="17"/>
  <c r="U99" i="17"/>
  <c r="T99" i="17"/>
  <c r="Q99" i="17"/>
  <c r="K99" i="17"/>
  <c r="G99" i="17"/>
  <c r="H99" i="17" s="1"/>
  <c r="AE98" i="17"/>
  <c r="AC98" i="17"/>
  <c r="AB98" i="17"/>
  <c r="AA98" i="17"/>
  <c r="Z98" i="17"/>
  <c r="Y98" i="17"/>
  <c r="X98" i="17"/>
  <c r="W98" i="17"/>
  <c r="V98" i="17"/>
  <c r="U98" i="17"/>
  <c r="T98" i="17"/>
  <c r="Q98" i="17"/>
  <c r="K98" i="17"/>
  <c r="G98" i="17"/>
  <c r="H98" i="17" s="1"/>
  <c r="AE97" i="17"/>
  <c r="AC97" i="17"/>
  <c r="AB97" i="17"/>
  <c r="AA97" i="17"/>
  <c r="Z97" i="17"/>
  <c r="Y97" i="17"/>
  <c r="X97" i="17"/>
  <c r="W97" i="17"/>
  <c r="V97" i="17"/>
  <c r="U97" i="17"/>
  <c r="T97" i="17"/>
  <c r="Q97" i="17"/>
  <c r="K97" i="17"/>
  <c r="G97" i="17"/>
  <c r="H97" i="17" s="1"/>
  <c r="AE96" i="17"/>
  <c r="AC96" i="17"/>
  <c r="AB96" i="17"/>
  <c r="AA96" i="17"/>
  <c r="Z96" i="17"/>
  <c r="Y96" i="17"/>
  <c r="X96" i="17"/>
  <c r="W96" i="17"/>
  <c r="V96" i="17"/>
  <c r="U96" i="17"/>
  <c r="T96" i="17"/>
  <c r="Q96" i="17"/>
  <c r="K96" i="17"/>
  <c r="G96" i="17"/>
  <c r="H96" i="17" s="1"/>
  <c r="AE95" i="17"/>
  <c r="AC95" i="17"/>
  <c r="AB95" i="17"/>
  <c r="AA95" i="17"/>
  <c r="Z95" i="17"/>
  <c r="Y95" i="17"/>
  <c r="X95" i="17"/>
  <c r="W95" i="17"/>
  <c r="V95" i="17"/>
  <c r="U95" i="17"/>
  <c r="T95" i="17"/>
  <c r="Q95" i="17"/>
  <c r="K95" i="17"/>
  <c r="G95" i="17"/>
  <c r="H95" i="17" s="1"/>
  <c r="AE94" i="17"/>
  <c r="AC94" i="17"/>
  <c r="AB94" i="17"/>
  <c r="AA94" i="17"/>
  <c r="Z94" i="17"/>
  <c r="Y94" i="17"/>
  <c r="X94" i="17"/>
  <c r="W94" i="17"/>
  <c r="V94" i="17"/>
  <c r="U94" i="17"/>
  <c r="T94" i="17"/>
  <c r="Q94" i="17"/>
  <c r="K94" i="17"/>
  <c r="G94" i="17"/>
  <c r="H94" i="17" s="1"/>
  <c r="AE93" i="17"/>
  <c r="AC93" i="17"/>
  <c r="AB93" i="17"/>
  <c r="AA93" i="17"/>
  <c r="Z93" i="17"/>
  <c r="Y93" i="17"/>
  <c r="X93" i="17"/>
  <c r="W93" i="17"/>
  <c r="V93" i="17"/>
  <c r="U93" i="17"/>
  <c r="T93" i="17"/>
  <c r="Q93" i="17"/>
  <c r="K93" i="17"/>
  <c r="G93" i="17"/>
  <c r="H93" i="17" s="1"/>
  <c r="AE92" i="17"/>
  <c r="AC92" i="17"/>
  <c r="AB92" i="17"/>
  <c r="AA92" i="17"/>
  <c r="Z92" i="17"/>
  <c r="Y92" i="17"/>
  <c r="X92" i="17"/>
  <c r="W92" i="17"/>
  <c r="V92" i="17"/>
  <c r="U92" i="17"/>
  <c r="T92" i="17"/>
  <c r="Q92" i="17"/>
  <c r="K92" i="17"/>
  <c r="G92" i="17"/>
  <c r="H92" i="17" s="1"/>
  <c r="AE91" i="17"/>
  <c r="AC91" i="17"/>
  <c r="AB91" i="17"/>
  <c r="AA91" i="17"/>
  <c r="Z91" i="17"/>
  <c r="Y91" i="17"/>
  <c r="X91" i="17"/>
  <c r="W91" i="17"/>
  <c r="V91" i="17"/>
  <c r="U91" i="17"/>
  <c r="T91" i="17"/>
  <c r="Q91" i="17"/>
  <c r="K91" i="17"/>
  <c r="G91" i="17"/>
  <c r="H91" i="17" s="1"/>
  <c r="AE90" i="17"/>
  <c r="AC90" i="17"/>
  <c r="AB90" i="17"/>
  <c r="AA90" i="17"/>
  <c r="Z90" i="17"/>
  <c r="Y90" i="17"/>
  <c r="X90" i="17"/>
  <c r="W90" i="17"/>
  <c r="V90" i="17"/>
  <c r="U90" i="17"/>
  <c r="T90" i="17"/>
  <c r="Q90" i="17"/>
  <c r="K90" i="17"/>
  <c r="G90" i="17"/>
  <c r="H90" i="17" s="1"/>
  <c r="AE89" i="17"/>
  <c r="AC89" i="17"/>
  <c r="AB89" i="17"/>
  <c r="AA89" i="17"/>
  <c r="Z89" i="17"/>
  <c r="Y89" i="17"/>
  <c r="X89" i="17"/>
  <c r="W89" i="17"/>
  <c r="V89" i="17"/>
  <c r="U89" i="17"/>
  <c r="T89" i="17"/>
  <c r="Q89" i="17"/>
  <c r="K89" i="17"/>
  <c r="G89" i="17"/>
  <c r="H89" i="17" s="1"/>
  <c r="AE88" i="17"/>
  <c r="AC88" i="17"/>
  <c r="AB88" i="17"/>
  <c r="AA88" i="17"/>
  <c r="Z88" i="17"/>
  <c r="Y88" i="17"/>
  <c r="X88" i="17"/>
  <c r="W88" i="17"/>
  <c r="V88" i="17"/>
  <c r="U88" i="17"/>
  <c r="T88" i="17"/>
  <c r="Q88" i="17"/>
  <c r="K88" i="17"/>
  <c r="G88" i="17"/>
  <c r="H88" i="17" s="1"/>
  <c r="AE87" i="17"/>
  <c r="AC87" i="17"/>
  <c r="AB87" i="17"/>
  <c r="AA87" i="17"/>
  <c r="Z87" i="17"/>
  <c r="Y87" i="17"/>
  <c r="X87" i="17"/>
  <c r="W87" i="17"/>
  <c r="V87" i="17"/>
  <c r="U87" i="17"/>
  <c r="T87" i="17"/>
  <c r="Q87" i="17"/>
  <c r="K87" i="17"/>
  <c r="G87" i="17"/>
  <c r="H87" i="17" s="1"/>
  <c r="AE86" i="17"/>
  <c r="AC86" i="17"/>
  <c r="AB86" i="17"/>
  <c r="AA86" i="17"/>
  <c r="Z86" i="17"/>
  <c r="Y86" i="17"/>
  <c r="X86" i="17"/>
  <c r="W86" i="17"/>
  <c r="V86" i="17"/>
  <c r="U86" i="17"/>
  <c r="T86" i="17"/>
  <c r="Q86" i="17"/>
  <c r="K86" i="17"/>
  <c r="G86" i="17"/>
  <c r="H86" i="17" s="1"/>
  <c r="AE85" i="17"/>
  <c r="AC85" i="17"/>
  <c r="AB85" i="17"/>
  <c r="AA85" i="17"/>
  <c r="Z85" i="17"/>
  <c r="Y85" i="17"/>
  <c r="X85" i="17"/>
  <c r="W85" i="17"/>
  <c r="V85" i="17"/>
  <c r="U85" i="17"/>
  <c r="T85" i="17"/>
  <c r="Q85" i="17"/>
  <c r="K85" i="17"/>
  <c r="G85" i="17"/>
  <c r="H85" i="17" s="1"/>
  <c r="AE84" i="17"/>
  <c r="AC84" i="17"/>
  <c r="AB84" i="17"/>
  <c r="AA84" i="17"/>
  <c r="Z84" i="17"/>
  <c r="Y84" i="17"/>
  <c r="X84" i="17"/>
  <c r="W84" i="17"/>
  <c r="V84" i="17"/>
  <c r="U84" i="17"/>
  <c r="T84" i="17"/>
  <c r="Q84" i="17"/>
  <c r="K84" i="17"/>
  <c r="G84" i="17"/>
  <c r="H84" i="17" s="1"/>
  <c r="AE83" i="17"/>
  <c r="AC83" i="17"/>
  <c r="AB83" i="17"/>
  <c r="AA83" i="17"/>
  <c r="Z83" i="17"/>
  <c r="Y83" i="17"/>
  <c r="X83" i="17"/>
  <c r="W83" i="17"/>
  <c r="V83" i="17"/>
  <c r="U83" i="17"/>
  <c r="T83" i="17"/>
  <c r="Q83" i="17"/>
  <c r="K83" i="17"/>
  <c r="G83" i="17"/>
  <c r="H83" i="17" s="1"/>
  <c r="AE82" i="17"/>
  <c r="AC82" i="17"/>
  <c r="AB82" i="17"/>
  <c r="AA82" i="17"/>
  <c r="Z82" i="17"/>
  <c r="Y82" i="17"/>
  <c r="X82" i="17"/>
  <c r="W82" i="17"/>
  <c r="V82" i="17"/>
  <c r="U82" i="17"/>
  <c r="T82" i="17"/>
  <c r="Q82" i="17"/>
  <c r="K82" i="17"/>
  <c r="G82" i="17"/>
  <c r="H82" i="17" s="1"/>
  <c r="AE81" i="17"/>
  <c r="AC81" i="17"/>
  <c r="AB81" i="17"/>
  <c r="AA81" i="17"/>
  <c r="Z81" i="17"/>
  <c r="Y81" i="17"/>
  <c r="X81" i="17"/>
  <c r="W81" i="17"/>
  <c r="V81" i="17"/>
  <c r="U81" i="17"/>
  <c r="T81" i="17"/>
  <c r="Q81" i="17"/>
  <c r="K81" i="17"/>
  <c r="G81" i="17"/>
  <c r="H81" i="17" s="1"/>
  <c r="AE80" i="17"/>
  <c r="AC80" i="17"/>
  <c r="AB80" i="17"/>
  <c r="AA80" i="17"/>
  <c r="Z80" i="17"/>
  <c r="Y80" i="17"/>
  <c r="X80" i="17"/>
  <c r="W80" i="17"/>
  <c r="V80" i="17"/>
  <c r="U80" i="17"/>
  <c r="T80" i="17"/>
  <c r="Q80" i="17"/>
  <c r="K80" i="17"/>
  <c r="G80" i="17"/>
  <c r="H80" i="17" s="1"/>
  <c r="AE79" i="17"/>
  <c r="AC79" i="17"/>
  <c r="AB79" i="17"/>
  <c r="AA79" i="17"/>
  <c r="Z79" i="17"/>
  <c r="Y79" i="17"/>
  <c r="X79" i="17"/>
  <c r="W79" i="17"/>
  <c r="V79" i="17"/>
  <c r="U79" i="17"/>
  <c r="T79" i="17"/>
  <c r="Q79" i="17"/>
  <c r="K79" i="17"/>
  <c r="G79" i="17"/>
  <c r="H79" i="17" s="1"/>
  <c r="AE78" i="17"/>
  <c r="AC78" i="17"/>
  <c r="AB78" i="17"/>
  <c r="AA78" i="17"/>
  <c r="Z78" i="17"/>
  <c r="Y78" i="17"/>
  <c r="X78" i="17"/>
  <c r="W78" i="17"/>
  <c r="V78" i="17"/>
  <c r="U78" i="17"/>
  <c r="T78" i="17"/>
  <c r="Q78" i="17"/>
  <c r="K78" i="17"/>
  <c r="G78" i="17"/>
  <c r="H78" i="17" s="1"/>
  <c r="AE77" i="17"/>
  <c r="AC77" i="17"/>
  <c r="AB77" i="17"/>
  <c r="AA77" i="17"/>
  <c r="Z77" i="17"/>
  <c r="Y77" i="17"/>
  <c r="X77" i="17"/>
  <c r="W77" i="17"/>
  <c r="V77" i="17"/>
  <c r="U77" i="17"/>
  <c r="T77" i="17"/>
  <c r="Q77" i="17"/>
  <c r="K77" i="17"/>
  <c r="G77" i="17"/>
  <c r="H77" i="17" s="1"/>
  <c r="AE76" i="17"/>
  <c r="AC76" i="17"/>
  <c r="AB76" i="17"/>
  <c r="AA76" i="17"/>
  <c r="Z76" i="17"/>
  <c r="Y76" i="17"/>
  <c r="X76" i="17"/>
  <c r="W76" i="17"/>
  <c r="V76" i="17"/>
  <c r="U76" i="17"/>
  <c r="T76" i="17"/>
  <c r="Q76" i="17"/>
  <c r="K76" i="17"/>
  <c r="G76" i="17"/>
  <c r="H76" i="17" s="1"/>
  <c r="AE75" i="17"/>
  <c r="AC75" i="17"/>
  <c r="AB75" i="17"/>
  <c r="AA75" i="17"/>
  <c r="Z75" i="17"/>
  <c r="Y75" i="17"/>
  <c r="X75" i="17"/>
  <c r="W75" i="17"/>
  <c r="V75" i="17"/>
  <c r="U75" i="17"/>
  <c r="T75" i="17"/>
  <c r="Q75" i="17"/>
  <c r="K75" i="17"/>
  <c r="G75" i="17"/>
  <c r="H75" i="17" s="1"/>
  <c r="AE74" i="17"/>
  <c r="AC74" i="17"/>
  <c r="AB74" i="17"/>
  <c r="AA74" i="17"/>
  <c r="Z74" i="17"/>
  <c r="Y74" i="17"/>
  <c r="X74" i="17"/>
  <c r="W74" i="17"/>
  <c r="V74" i="17"/>
  <c r="U74" i="17"/>
  <c r="T74" i="17"/>
  <c r="Q74" i="17"/>
  <c r="K74" i="17"/>
  <c r="G74" i="17"/>
  <c r="H74" i="17" s="1"/>
  <c r="AE73" i="17"/>
  <c r="AC73" i="17"/>
  <c r="AB73" i="17"/>
  <c r="AA73" i="17"/>
  <c r="Z73" i="17"/>
  <c r="Y73" i="17"/>
  <c r="X73" i="17"/>
  <c r="W73" i="17"/>
  <c r="V73" i="17"/>
  <c r="U73" i="17"/>
  <c r="T73" i="17"/>
  <c r="Q73" i="17"/>
  <c r="K73" i="17"/>
  <c r="G73" i="17"/>
  <c r="H73" i="17" s="1"/>
  <c r="AE72" i="17"/>
  <c r="AC72" i="17"/>
  <c r="AB72" i="17"/>
  <c r="AA72" i="17"/>
  <c r="Z72" i="17"/>
  <c r="Y72" i="17"/>
  <c r="X72" i="17"/>
  <c r="W72" i="17"/>
  <c r="V72" i="17"/>
  <c r="U72" i="17"/>
  <c r="T72" i="17"/>
  <c r="Q72" i="17"/>
  <c r="K72" i="17"/>
  <c r="G72" i="17"/>
  <c r="H72" i="17" s="1"/>
  <c r="AE71" i="17"/>
  <c r="AC71" i="17"/>
  <c r="AB71" i="17"/>
  <c r="AA71" i="17"/>
  <c r="Z71" i="17"/>
  <c r="Y71" i="17"/>
  <c r="X71" i="17"/>
  <c r="W71" i="17"/>
  <c r="V71" i="17"/>
  <c r="U71" i="17"/>
  <c r="T71" i="17"/>
  <c r="Q71" i="17"/>
  <c r="K71" i="17"/>
  <c r="G71" i="17"/>
  <c r="H71" i="17" s="1"/>
  <c r="AE70" i="17"/>
  <c r="AC70" i="17"/>
  <c r="AB70" i="17"/>
  <c r="AA70" i="17"/>
  <c r="Z70" i="17"/>
  <c r="Y70" i="17"/>
  <c r="X70" i="17"/>
  <c r="W70" i="17"/>
  <c r="V70" i="17"/>
  <c r="U70" i="17"/>
  <c r="T70" i="17"/>
  <c r="Q70" i="17"/>
  <c r="K70" i="17"/>
  <c r="G70" i="17"/>
  <c r="H70" i="17" s="1"/>
  <c r="AE69" i="17"/>
  <c r="AC69" i="17"/>
  <c r="AB69" i="17"/>
  <c r="AA69" i="17"/>
  <c r="Z69" i="17"/>
  <c r="Y69" i="17"/>
  <c r="X69" i="17"/>
  <c r="W69" i="17"/>
  <c r="V69" i="17"/>
  <c r="U69" i="17"/>
  <c r="T69" i="17"/>
  <c r="Q69" i="17"/>
  <c r="K69" i="17"/>
  <c r="G69" i="17"/>
  <c r="H69" i="17" s="1"/>
  <c r="AE68" i="17"/>
  <c r="AC68" i="17"/>
  <c r="AB68" i="17"/>
  <c r="AA68" i="17"/>
  <c r="Z68" i="17"/>
  <c r="Y68" i="17"/>
  <c r="X68" i="17"/>
  <c r="W68" i="17"/>
  <c r="V68" i="17"/>
  <c r="U68" i="17"/>
  <c r="T68" i="17"/>
  <c r="Q68" i="17"/>
  <c r="K68" i="17"/>
  <c r="G68" i="17"/>
  <c r="H68" i="17" s="1"/>
  <c r="AE67" i="17"/>
  <c r="AC67" i="17"/>
  <c r="AB67" i="17"/>
  <c r="AA67" i="17"/>
  <c r="Z67" i="17"/>
  <c r="Y67" i="17"/>
  <c r="X67" i="17"/>
  <c r="W67" i="17"/>
  <c r="V67" i="17"/>
  <c r="U67" i="17"/>
  <c r="T67" i="17"/>
  <c r="Q67" i="17"/>
  <c r="K67" i="17"/>
  <c r="G67" i="17"/>
  <c r="H67" i="17" s="1"/>
  <c r="AE66" i="17"/>
  <c r="AC66" i="17"/>
  <c r="AB66" i="17"/>
  <c r="AA66" i="17"/>
  <c r="Z66" i="17"/>
  <c r="Y66" i="17"/>
  <c r="X66" i="17"/>
  <c r="W66" i="17"/>
  <c r="V66" i="17"/>
  <c r="U66" i="17"/>
  <c r="T66" i="17"/>
  <c r="Q66" i="17"/>
  <c r="K66" i="17"/>
  <c r="G66" i="17"/>
  <c r="H66" i="17" s="1"/>
  <c r="AE65" i="17"/>
  <c r="AC65" i="17"/>
  <c r="AB65" i="17"/>
  <c r="AA65" i="17"/>
  <c r="Z65" i="17"/>
  <c r="Y65" i="17"/>
  <c r="X65" i="17"/>
  <c r="W65" i="17"/>
  <c r="V65" i="17"/>
  <c r="U65" i="17"/>
  <c r="T65" i="17"/>
  <c r="Q65" i="17"/>
  <c r="K65" i="17"/>
  <c r="G65" i="17"/>
  <c r="H65" i="17" s="1"/>
  <c r="AE64" i="17"/>
  <c r="AC64" i="17"/>
  <c r="AB64" i="17"/>
  <c r="AA64" i="17"/>
  <c r="Z64" i="17"/>
  <c r="Y64" i="17"/>
  <c r="X64" i="17"/>
  <c r="W64" i="17"/>
  <c r="V64" i="17"/>
  <c r="U64" i="17"/>
  <c r="T64" i="17"/>
  <c r="Q64" i="17"/>
  <c r="K64" i="17"/>
  <c r="G64" i="17"/>
  <c r="H64" i="17" s="1"/>
  <c r="AE63" i="17"/>
  <c r="AC63" i="17"/>
  <c r="AB63" i="17"/>
  <c r="AA63" i="17"/>
  <c r="Z63" i="17"/>
  <c r="Y63" i="17"/>
  <c r="X63" i="17"/>
  <c r="W63" i="17"/>
  <c r="V63" i="17"/>
  <c r="U63" i="17"/>
  <c r="T63" i="17"/>
  <c r="Q63" i="17"/>
  <c r="K63" i="17"/>
  <c r="G63" i="17"/>
  <c r="H63" i="17" s="1"/>
  <c r="AE62" i="17"/>
  <c r="AC62" i="17"/>
  <c r="AB62" i="17"/>
  <c r="AA62" i="17"/>
  <c r="Z62" i="17"/>
  <c r="Y62" i="17"/>
  <c r="X62" i="17"/>
  <c r="W62" i="17"/>
  <c r="V62" i="17"/>
  <c r="U62" i="17"/>
  <c r="T62" i="17"/>
  <c r="Q62" i="17"/>
  <c r="K62" i="17"/>
  <c r="G62" i="17"/>
  <c r="H62" i="17" s="1"/>
  <c r="AE61" i="17"/>
  <c r="AC61" i="17"/>
  <c r="AB61" i="17"/>
  <c r="AA61" i="17"/>
  <c r="Z61" i="17"/>
  <c r="Y61" i="17"/>
  <c r="X61" i="17"/>
  <c r="W61" i="17"/>
  <c r="V61" i="17"/>
  <c r="U61" i="17"/>
  <c r="T61" i="17"/>
  <c r="Q61" i="17"/>
  <c r="K61" i="17"/>
  <c r="G61" i="17"/>
  <c r="H61" i="17" s="1"/>
  <c r="AE60" i="17"/>
  <c r="AC60" i="17"/>
  <c r="AB60" i="17"/>
  <c r="AA60" i="17"/>
  <c r="Z60" i="17"/>
  <c r="Y60" i="17"/>
  <c r="X60" i="17"/>
  <c r="W60" i="17"/>
  <c r="V60" i="17"/>
  <c r="U60" i="17"/>
  <c r="T60" i="17"/>
  <c r="Q60" i="17"/>
  <c r="K60" i="17"/>
  <c r="G60" i="17"/>
  <c r="H60" i="17" s="1"/>
  <c r="AE59" i="17"/>
  <c r="AC59" i="17"/>
  <c r="AB59" i="17"/>
  <c r="AA59" i="17"/>
  <c r="Z59" i="17"/>
  <c r="Y59" i="17"/>
  <c r="X59" i="17"/>
  <c r="W59" i="17"/>
  <c r="V59" i="17"/>
  <c r="U59" i="17"/>
  <c r="T59" i="17"/>
  <c r="Q59" i="17"/>
  <c r="K59" i="17"/>
  <c r="G59" i="17"/>
  <c r="H59" i="17" s="1"/>
  <c r="AE58" i="17"/>
  <c r="AC58" i="17"/>
  <c r="AB58" i="17"/>
  <c r="AA58" i="17"/>
  <c r="Z58" i="17"/>
  <c r="Y58" i="17"/>
  <c r="X58" i="17"/>
  <c r="W58" i="17"/>
  <c r="V58" i="17"/>
  <c r="U58" i="17"/>
  <c r="T58" i="17"/>
  <c r="Q58" i="17"/>
  <c r="K58" i="17"/>
  <c r="G58" i="17"/>
  <c r="H58" i="17" s="1"/>
  <c r="AE57" i="17"/>
  <c r="AC57" i="17"/>
  <c r="AB57" i="17"/>
  <c r="AA57" i="17"/>
  <c r="Z57" i="17"/>
  <c r="Y57" i="17"/>
  <c r="X57" i="17"/>
  <c r="W57" i="17"/>
  <c r="V57" i="17"/>
  <c r="U57" i="17"/>
  <c r="T57" i="17"/>
  <c r="Q57" i="17"/>
  <c r="K57" i="17"/>
  <c r="G57" i="17"/>
  <c r="H57" i="17" s="1"/>
  <c r="AE56" i="17"/>
  <c r="AC56" i="17"/>
  <c r="AB56" i="17"/>
  <c r="AA56" i="17"/>
  <c r="Z56" i="17"/>
  <c r="Y56" i="17"/>
  <c r="X56" i="17"/>
  <c r="W56" i="17"/>
  <c r="V56" i="17"/>
  <c r="U56" i="17"/>
  <c r="T56" i="17"/>
  <c r="Q56" i="17"/>
  <c r="K56" i="17"/>
  <c r="G56" i="17"/>
  <c r="H56" i="17" s="1"/>
  <c r="AE55" i="17"/>
  <c r="AC55" i="17"/>
  <c r="AB55" i="17"/>
  <c r="AA55" i="17"/>
  <c r="Z55" i="17"/>
  <c r="Y55" i="17"/>
  <c r="X55" i="17"/>
  <c r="W55" i="17"/>
  <c r="V55" i="17"/>
  <c r="U55" i="17"/>
  <c r="T55" i="17"/>
  <c r="Q55" i="17"/>
  <c r="K55" i="17"/>
  <c r="G55" i="17"/>
  <c r="H55" i="17" s="1"/>
  <c r="AE54" i="17"/>
  <c r="AC54" i="17"/>
  <c r="AB54" i="17"/>
  <c r="AA54" i="17"/>
  <c r="Z54" i="17"/>
  <c r="Y54" i="17"/>
  <c r="X54" i="17"/>
  <c r="W54" i="17"/>
  <c r="V54" i="17"/>
  <c r="U54" i="17"/>
  <c r="T54" i="17"/>
  <c r="Q54" i="17"/>
  <c r="K54" i="17"/>
  <c r="G54" i="17"/>
  <c r="H54" i="17" s="1"/>
  <c r="AE53" i="17"/>
  <c r="AC53" i="17"/>
  <c r="AB53" i="17"/>
  <c r="AA53" i="17"/>
  <c r="Z53" i="17"/>
  <c r="Y53" i="17"/>
  <c r="X53" i="17"/>
  <c r="W53" i="17"/>
  <c r="V53" i="17"/>
  <c r="U53" i="17"/>
  <c r="T53" i="17"/>
  <c r="Q53" i="17"/>
  <c r="K53" i="17"/>
  <c r="G53" i="17"/>
  <c r="H53" i="17" s="1"/>
  <c r="AE52" i="17"/>
  <c r="AC52" i="17"/>
  <c r="AB52" i="17"/>
  <c r="AA52" i="17"/>
  <c r="Z52" i="17"/>
  <c r="Y52" i="17"/>
  <c r="X52" i="17"/>
  <c r="W52" i="17"/>
  <c r="V52" i="17"/>
  <c r="U52" i="17"/>
  <c r="T52" i="17"/>
  <c r="Q52" i="17"/>
  <c r="K52" i="17"/>
  <c r="G52" i="17"/>
  <c r="H52" i="17" s="1"/>
  <c r="AE51" i="17"/>
  <c r="AC51" i="17"/>
  <c r="AB51" i="17"/>
  <c r="AA51" i="17"/>
  <c r="Z51" i="17"/>
  <c r="Y51" i="17"/>
  <c r="X51" i="17"/>
  <c r="W51" i="17"/>
  <c r="V51" i="17"/>
  <c r="U51" i="17"/>
  <c r="T51" i="17"/>
  <c r="Q51" i="17"/>
  <c r="K51" i="17"/>
  <c r="G51" i="17"/>
  <c r="H51" i="17" s="1"/>
  <c r="AE50" i="17"/>
  <c r="AC50" i="17"/>
  <c r="AB50" i="17"/>
  <c r="AA50" i="17"/>
  <c r="Z50" i="17"/>
  <c r="Y50" i="17"/>
  <c r="X50" i="17"/>
  <c r="W50" i="17"/>
  <c r="V50" i="17"/>
  <c r="U50" i="17"/>
  <c r="T50" i="17"/>
  <c r="Q50" i="17"/>
  <c r="K50" i="17"/>
  <c r="G50" i="17"/>
  <c r="H50" i="17" s="1"/>
  <c r="AE49" i="17"/>
  <c r="AC49" i="17"/>
  <c r="AB49" i="17"/>
  <c r="AA49" i="17"/>
  <c r="Z49" i="17"/>
  <c r="Y49" i="17"/>
  <c r="X49" i="17"/>
  <c r="W49" i="17"/>
  <c r="V49" i="17"/>
  <c r="U49" i="17"/>
  <c r="T49" i="17"/>
  <c r="Q49" i="17"/>
  <c r="K49" i="17"/>
  <c r="G49" i="17"/>
  <c r="H49" i="17" s="1"/>
  <c r="AE48" i="17"/>
  <c r="AC48" i="17"/>
  <c r="AB48" i="17"/>
  <c r="AA48" i="17"/>
  <c r="Z48" i="17"/>
  <c r="Y48" i="17"/>
  <c r="X48" i="17"/>
  <c r="W48" i="17"/>
  <c r="V48" i="17"/>
  <c r="U48" i="17"/>
  <c r="T48" i="17"/>
  <c r="Q48" i="17"/>
  <c r="K48" i="17"/>
  <c r="G48" i="17"/>
  <c r="H48" i="17" s="1"/>
  <c r="AE47" i="17"/>
  <c r="AC47" i="17"/>
  <c r="AB47" i="17"/>
  <c r="AA47" i="17"/>
  <c r="Z47" i="17"/>
  <c r="Y47" i="17"/>
  <c r="X47" i="17"/>
  <c r="W47" i="17"/>
  <c r="V47" i="17"/>
  <c r="U47" i="17"/>
  <c r="T47" i="17"/>
  <c r="Q47" i="17"/>
  <c r="K47" i="17"/>
  <c r="G47" i="17"/>
  <c r="H47" i="17" s="1"/>
  <c r="AE46" i="17"/>
  <c r="AC46" i="17"/>
  <c r="AB46" i="17"/>
  <c r="AA46" i="17"/>
  <c r="Z46" i="17"/>
  <c r="Y46" i="17"/>
  <c r="X46" i="17"/>
  <c r="W46" i="17"/>
  <c r="V46" i="17"/>
  <c r="U46" i="17"/>
  <c r="T46" i="17"/>
  <c r="Q46" i="17"/>
  <c r="K46" i="17"/>
  <c r="G46" i="17"/>
  <c r="H46" i="17" s="1"/>
  <c r="AE45" i="17"/>
  <c r="AC45" i="17"/>
  <c r="AB45" i="17"/>
  <c r="AA45" i="17"/>
  <c r="Z45" i="17"/>
  <c r="Y45" i="17"/>
  <c r="X45" i="17"/>
  <c r="W45" i="17"/>
  <c r="V45" i="17"/>
  <c r="U45" i="17"/>
  <c r="T45" i="17"/>
  <c r="Q45" i="17"/>
  <c r="K45" i="17"/>
  <c r="G45" i="17"/>
  <c r="H45" i="17" s="1"/>
  <c r="AE44" i="17"/>
  <c r="AC44" i="17"/>
  <c r="AB44" i="17"/>
  <c r="AA44" i="17"/>
  <c r="Z44" i="17"/>
  <c r="Y44" i="17"/>
  <c r="X44" i="17"/>
  <c r="W44" i="17"/>
  <c r="V44" i="17"/>
  <c r="U44" i="17"/>
  <c r="T44" i="17"/>
  <c r="Q44" i="17"/>
  <c r="K44" i="17"/>
  <c r="G44" i="17"/>
  <c r="H44" i="17" s="1"/>
  <c r="AE43" i="17"/>
  <c r="AC43" i="17"/>
  <c r="AB43" i="17"/>
  <c r="AA43" i="17"/>
  <c r="Z43" i="17"/>
  <c r="Y43" i="17"/>
  <c r="X43" i="17"/>
  <c r="W43" i="17"/>
  <c r="V43" i="17"/>
  <c r="U43" i="17"/>
  <c r="T43" i="17"/>
  <c r="Q43" i="17"/>
  <c r="K43" i="17"/>
  <c r="G43" i="17"/>
  <c r="H43" i="17" s="1"/>
  <c r="AE42" i="17"/>
  <c r="AC42" i="17"/>
  <c r="AB42" i="17"/>
  <c r="AA42" i="17"/>
  <c r="Z42" i="17"/>
  <c r="Y42" i="17"/>
  <c r="X42" i="17"/>
  <c r="W42" i="17"/>
  <c r="V42" i="17"/>
  <c r="U42" i="17"/>
  <c r="T42" i="17"/>
  <c r="Q42" i="17"/>
  <c r="K42" i="17"/>
  <c r="G42" i="17"/>
  <c r="H42" i="17" s="1"/>
  <c r="AE41" i="17"/>
  <c r="AC41" i="17"/>
  <c r="AB41" i="17"/>
  <c r="AA41" i="17"/>
  <c r="Z41" i="17"/>
  <c r="Y41" i="17"/>
  <c r="X41" i="17"/>
  <c r="W41" i="17"/>
  <c r="V41" i="17"/>
  <c r="U41" i="17"/>
  <c r="T41" i="17"/>
  <c r="Q41" i="17"/>
  <c r="K41" i="17"/>
  <c r="G41" i="17"/>
  <c r="H41" i="17" s="1"/>
  <c r="AE40" i="17"/>
  <c r="AC40" i="17"/>
  <c r="AB40" i="17"/>
  <c r="AA40" i="17"/>
  <c r="Z40" i="17"/>
  <c r="Y40" i="17"/>
  <c r="X40" i="17"/>
  <c r="W40" i="17"/>
  <c r="V40" i="17"/>
  <c r="U40" i="17"/>
  <c r="T40" i="17"/>
  <c r="Q40" i="17"/>
  <c r="K40" i="17"/>
  <c r="G40" i="17"/>
  <c r="H40" i="17" s="1"/>
  <c r="AE39" i="17"/>
  <c r="AC39" i="17"/>
  <c r="AB39" i="17"/>
  <c r="AA39" i="17"/>
  <c r="Z39" i="17"/>
  <c r="Y39" i="17"/>
  <c r="X39" i="17"/>
  <c r="W39" i="17"/>
  <c r="V39" i="17"/>
  <c r="U39" i="17"/>
  <c r="T39" i="17"/>
  <c r="Q39" i="17"/>
  <c r="K39" i="17"/>
  <c r="G39" i="17"/>
  <c r="H39" i="17" s="1"/>
  <c r="AE38" i="17"/>
  <c r="AC38" i="17"/>
  <c r="AB38" i="17"/>
  <c r="AA38" i="17"/>
  <c r="Z38" i="17"/>
  <c r="Y38" i="17"/>
  <c r="X38" i="17"/>
  <c r="W38" i="17"/>
  <c r="V38" i="17"/>
  <c r="U38" i="17"/>
  <c r="T38" i="17"/>
  <c r="Q38" i="17"/>
  <c r="K38" i="17"/>
  <c r="G38" i="17"/>
  <c r="H38" i="17" s="1"/>
  <c r="AE37" i="17"/>
  <c r="AC37" i="17"/>
  <c r="AB37" i="17"/>
  <c r="AA37" i="17"/>
  <c r="Z37" i="17"/>
  <c r="Y37" i="17"/>
  <c r="X37" i="17"/>
  <c r="W37" i="17"/>
  <c r="V37" i="17"/>
  <c r="U37" i="17"/>
  <c r="T37" i="17"/>
  <c r="Q37" i="17"/>
  <c r="K37" i="17"/>
  <c r="G37" i="17"/>
  <c r="H37" i="17" s="1"/>
  <c r="AE36" i="17"/>
  <c r="AC36" i="17"/>
  <c r="AB36" i="17"/>
  <c r="AA36" i="17"/>
  <c r="Z36" i="17"/>
  <c r="Y36" i="17"/>
  <c r="X36" i="17"/>
  <c r="W36" i="17"/>
  <c r="V36" i="17"/>
  <c r="U36" i="17"/>
  <c r="T36" i="17"/>
  <c r="Q36" i="17"/>
  <c r="K36" i="17"/>
  <c r="G36" i="17"/>
  <c r="H36" i="17" s="1"/>
  <c r="AE35" i="17"/>
  <c r="AC35" i="17"/>
  <c r="AB35" i="17"/>
  <c r="AA35" i="17"/>
  <c r="Z35" i="17"/>
  <c r="Y35" i="17"/>
  <c r="X35" i="17"/>
  <c r="W35" i="17"/>
  <c r="V35" i="17"/>
  <c r="U35" i="17"/>
  <c r="T35" i="17"/>
  <c r="Q35" i="17"/>
  <c r="K35" i="17"/>
  <c r="G35" i="17"/>
  <c r="H35" i="17" s="1"/>
  <c r="AE34" i="17"/>
  <c r="AC34" i="17"/>
  <c r="AB34" i="17"/>
  <c r="AA34" i="17"/>
  <c r="Z34" i="17"/>
  <c r="Y34" i="17"/>
  <c r="X34" i="17"/>
  <c r="W34" i="17"/>
  <c r="V34" i="17"/>
  <c r="U34" i="17"/>
  <c r="T34" i="17"/>
  <c r="Q34" i="17"/>
  <c r="K34" i="17"/>
  <c r="G34" i="17"/>
  <c r="H34" i="17" s="1"/>
  <c r="AE33" i="17"/>
  <c r="AC33" i="17"/>
  <c r="AB33" i="17"/>
  <c r="AA33" i="17"/>
  <c r="Z33" i="17"/>
  <c r="Y33" i="17"/>
  <c r="X33" i="17"/>
  <c r="W33" i="17"/>
  <c r="V33" i="17"/>
  <c r="U33" i="17"/>
  <c r="T33" i="17"/>
  <c r="Q33" i="17"/>
  <c r="K33" i="17"/>
  <c r="G33" i="17"/>
  <c r="H33" i="17" s="1"/>
  <c r="AE32" i="17"/>
  <c r="AC32" i="17"/>
  <c r="AB32" i="17"/>
  <c r="AA32" i="17"/>
  <c r="Z32" i="17"/>
  <c r="Y32" i="17"/>
  <c r="X32" i="17"/>
  <c r="W32" i="17"/>
  <c r="V32" i="17"/>
  <c r="U32" i="17"/>
  <c r="T32" i="17"/>
  <c r="Q32" i="17"/>
  <c r="K32" i="17"/>
  <c r="G32" i="17"/>
  <c r="H32" i="17" s="1"/>
  <c r="AE31" i="17"/>
  <c r="AC31" i="17"/>
  <c r="AB31" i="17"/>
  <c r="AA31" i="17"/>
  <c r="Z31" i="17"/>
  <c r="Y31" i="17"/>
  <c r="X31" i="17"/>
  <c r="W31" i="17"/>
  <c r="V31" i="17"/>
  <c r="U31" i="17"/>
  <c r="T31" i="17"/>
  <c r="Q31" i="17"/>
  <c r="K31" i="17"/>
  <c r="G31" i="17"/>
  <c r="H31" i="17" s="1"/>
  <c r="AE30" i="17"/>
  <c r="AC30" i="17"/>
  <c r="AB30" i="17"/>
  <c r="AA30" i="17"/>
  <c r="Z30" i="17"/>
  <c r="Y30" i="17"/>
  <c r="X30" i="17"/>
  <c r="W30" i="17"/>
  <c r="V30" i="17"/>
  <c r="U30" i="17"/>
  <c r="T30" i="17"/>
  <c r="Q30" i="17"/>
  <c r="K30" i="17"/>
  <c r="G30" i="17"/>
  <c r="H30" i="17" s="1"/>
  <c r="AC29" i="17"/>
  <c r="AA29" i="17"/>
  <c r="G29" i="17"/>
  <c r="H29" i="17" s="1"/>
  <c r="AC28" i="17"/>
  <c r="AA28" i="17"/>
  <c r="G28" i="17"/>
  <c r="H28" i="17" s="1"/>
  <c r="AC27" i="17"/>
  <c r="AA27" i="17"/>
  <c r="U27" i="17"/>
  <c r="G27" i="17"/>
  <c r="H27" i="17" s="1"/>
  <c r="AC26" i="17"/>
  <c r="AA26" i="17"/>
  <c r="AC25" i="17"/>
  <c r="AA25" i="17"/>
  <c r="AC24" i="17"/>
  <c r="AA24" i="17"/>
  <c r="AC23" i="17"/>
  <c r="AA23" i="17"/>
  <c r="AC22" i="17"/>
  <c r="AA22" i="17"/>
  <c r="AC21" i="17"/>
  <c r="AA21" i="17"/>
  <c r="AC20" i="17"/>
  <c r="AA20" i="17"/>
  <c r="AC19" i="17"/>
  <c r="AA19" i="17"/>
  <c r="AC18" i="17"/>
  <c r="AA18" i="17"/>
  <c r="AC17" i="17"/>
  <c r="AA17" i="17"/>
  <c r="AC16" i="17"/>
  <c r="AA16" i="17"/>
  <c r="AC15" i="17"/>
  <c r="AA15" i="17"/>
  <c r="AC14" i="17"/>
  <c r="AA14" i="17"/>
  <c r="AC13" i="17"/>
  <c r="AA13" i="17"/>
  <c r="AC12" i="17"/>
  <c r="AA12" i="17"/>
  <c r="AC11" i="17"/>
  <c r="AA11" i="17"/>
  <c r="AC10" i="17"/>
  <c r="AA10" i="17"/>
  <c r="AC9" i="17"/>
  <c r="AA9" i="17"/>
  <c r="N6" i="17"/>
  <c r="P4" i="17"/>
  <c r="N3" i="17"/>
  <c r="N2" i="17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I13" i="6"/>
  <c r="I14" i="6"/>
  <c r="I11" i="6"/>
  <c r="I20" i="6"/>
  <c r="I21" i="6"/>
  <c r="I22" i="6"/>
  <c r="I19" i="6"/>
  <c r="I24" i="6"/>
  <c r="I25" i="6"/>
  <c r="I26" i="6"/>
  <c r="I23" i="6"/>
  <c r="I32" i="6"/>
  <c r="I33" i="6"/>
  <c r="I34" i="6"/>
  <c r="I31" i="6"/>
  <c r="I28" i="6"/>
  <c r="I29" i="6"/>
  <c r="I30" i="6"/>
  <c r="I27" i="6"/>
  <c r="I47" i="6"/>
  <c r="I48" i="6"/>
  <c r="I49" i="6"/>
  <c r="I46" i="6"/>
  <c r="I51" i="6"/>
  <c r="I52" i="6"/>
  <c r="I53" i="6"/>
  <c r="I50" i="6"/>
  <c r="I63" i="6"/>
  <c r="I64" i="6"/>
  <c r="I65" i="6"/>
  <c r="I62" i="6"/>
  <c r="I81" i="6"/>
  <c r="I82" i="6"/>
  <c r="I83" i="6"/>
  <c r="I80" i="6"/>
  <c r="I97" i="6"/>
  <c r="I98" i="6"/>
  <c r="I99" i="6"/>
  <c r="I96" i="6"/>
  <c r="I101" i="6"/>
  <c r="I102" i="6"/>
  <c r="I103" i="6"/>
  <c r="I100" i="6"/>
  <c r="I105" i="6"/>
  <c r="I106" i="6"/>
  <c r="I107" i="6"/>
  <c r="I104" i="6"/>
  <c r="I113" i="6"/>
  <c r="I114" i="6"/>
  <c r="I115" i="6"/>
  <c r="I112" i="6"/>
  <c r="I117" i="6"/>
  <c r="I118" i="6"/>
  <c r="I119" i="6"/>
  <c r="I116" i="6"/>
  <c r="I136" i="6"/>
  <c r="I137" i="6"/>
  <c r="I138" i="6"/>
  <c r="I135" i="6"/>
  <c r="I16" i="6"/>
  <c r="I17" i="6"/>
  <c r="I18" i="6"/>
  <c r="I15" i="6"/>
  <c r="I36" i="6"/>
  <c r="I37" i="6"/>
  <c r="I38" i="6"/>
  <c r="I35" i="6"/>
  <c r="I59" i="6"/>
  <c r="I60" i="6"/>
  <c r="I61" i="6"/>
  <c r="I58" i="6"/>
  <c r="I55" i="6"/>
  <c r="I56" i="6"/>
  <c r="I57" i="6"/>
  <c r="I54" i="6"/>
  <c r="I67" i="6"/>
  <c r="I68" i="6"/>
  <c r="I69" i="6"/>
  <c r="I66" i="6"/>
  <c r="I85" i="6"/>
  <c r="I86" i="6"/>
  <c r="I87" i="6"/>
  <c r="I84" i="6"/>
  <c r="I89" i="6"/>
  <c r="I90" i="6"/>
  <c r="I91" i="6"/>
  <c r="I88" i="6"/>
  <c r="I109" i="6"/>
  <c r="I110" i="6"/>
  <c r="I111" i="6"/>
  <c r="I108" i="6"/>
  <c r="I121" i="6"/>
  <c r="I122" i="6"/>
  <c r="I123" i="6"/>
  <c r="I120" i="6"/>
  <c r="I128" i="6"/>
  <c r="I129" i="6"/>
  <c r="I130" i="6"/>
  <c r="I127" i="6"/>
  <c r="I139" i="6"/>
  <c r="I140" i="6"/>
  <c r="I141" i="6"/>
  <c r="I143" i="6"/>
  <c r="I144" i="6"/>
  <c r="I145" i="6"/>
  <c r="I142" i="6"/>
  <c r="I147" i="6"/>
  <c r="I148" i="6"/>
  <c r="I149" i="6"/>
  <c r="I152" i="6"/>
  <c r="I153" i="6"/>
  <c r="I154" i="6"/>
  <c r="I151" i="6"/>
  <c r="I170" i="6"/>
  <c r="I171" i="6"/>
  <c r="I172" i="6"/>
  <c r="I169" i="6"/>
  <c r="I155" i="6"/>
  <c r="I156" i="6"/>
  <c r="I157" i="6"/>
  <c r="I158" i="6"/>
  <c r="I159" i="6"/>
  <c r="I160" i="6"/>
  <c r="I162" i="6"/>
  <c r="I163" i="6"/>
  <c r="I164" i="6"/>
  <c r="I161" i="6"/>
  <c r="I174" i="6"/>
  <c r="I175" i="6"/>
  <c r="I176" i="6"/>
  <c r="I173" i="6"/>
  <c r="I70" i="6"/>
  <c r="I71" i="6"/>
  <c r="I72" i="6"/>
  <c r="I73" i="6"/>
  <c r="I75" i="6"/>
  <c r="I76" i="6"/>
  <c r="I77" i="6"/>
  <c r="I78" i="6"/>
  <c r="I79" i="6"/>
  <c r="I74" i="6"/>
  <c r="I125" i="6"/>
  <c r="I126" i="6"/>
  <c r="I124" i="6"/>
  <c r="I150" i="6"/>
  <c r="I146" i="6"/>
  <c r="I12" i="6"/>
  <c r="K12" i="6"/>
  <c r="P12" i="6" s="1"/>
  <c r="J13" i="6"/>
  <c r="O13" i="6" s="1"/>
  <c r="J14" i="6"/>
  <c r="O14" i="6" s="1"/>
  <c r="J11" i="6"/>
  <c r="O11" i="6" s="1"/>
  <c r="J20" i="6"/>
  <c r="O20" i="6" s="1"/>
  <c r="J21" i="6"/>
  <c r="O21" i="6" s="1"/>
  <c r="J22" i="6"/>
  <c r="O22" i="6" s="1"/>
  <c r="J19" i="6"/>
  <c r="O19" i="6" s="1"/>
  <c r="J24" i="6"/>
  <c r="O24" i="6" s="1"/>
  <c r="J25" i="6"/>
  <c r="O25" i="6" s="1"/>
  <c r="J26" i="6"/>
  <c r="O26" i="6" s="1"/>
  <c r="J23" i="6"/>
  <c r="O23" i="6" s="1"/>
  <c r="J32" i="6"/>
  <c r="O32" i="6" s="1"/>
  <c r="J33" i="6"/>
  <c r="O33" i="6" s="1"/>
  <c r="J34" i="6"/>
  <c r="O34" i="6" s="1"/>
  <c r="J31" i="6"/>
  <c r="J28" i="6"/>
  <c r="O28" i="6" s="1"/>
  <c r="J29" i="6"/>
  <c r="O29" i="6" s="1"/>
  <c r="J30" i="6"/>
  <c r="O30" i="6" s="1"/>
  <c r="J27" i="6"/>
  <c r="O27" i="6" s="1"/>
  <c r="J47" i="6"/>
  <c r="J48" i="6"/>
  <c r="O48" i="6" s="1"/>
  <c r="J49" i="6"/>
  <c r="O49" i="6" s="1"/>
  <c r="J46" i="6"/>
  <c r="O46" i="6" s="1"/>
  <c r="J51" i="6"/>
  <c r="J52" i="6"/>
  <c r="J53" i="6"/>
  <c r="J50" i="6"/>
  <c r="J63" i="6"/>
  <c r="O63" i="6" s="1"/>
  <c r="J64" i="6"/>
  <c r="O64" i="6" s="1"/>
  <c r="J65" i="6"/>
  <c r="O65" i="6" s="1"/>
  <c r="J62" i="6"/>
  <c r="O62" i="6" s="1"/>
  <c r="J81" i="6"/>
  <c r="O81" i="6" s="1"/>
  <c r="J82" i="6"/>
  <c r="O82" i="6" s="1"/>
  <c r="J83" i="6"/>
  <c r="O83" i="6" s="1"/>
  <c r="J80" i="6"/>
  <c r="O80" i="6" s="1"/>
  <c r="J97" i="6"/>
  <c r="O97" i="6" s="1"/>
  <c r="J98" i="6"/>
  <c r="O98" i="6" s="1"/>
  <c r="J99" i="6"/>
  <c r="O99" i="6" s="1"/>
  <c r="J96" i="6"/>
  <c r="O96" i="6" s="1"/>
  <c r="J101" i="6"/>
  <c r="O101" i="6" s="1"/>
  <c r="J102" i="6"/>
  <c r="O102" i="6" s="1"/>
  <c r="J103" i="6"/>
  <c r="O103" i="6" s="1"/>
  <c r="J100" i="6"/>
  <c r="O100" i="6" s="1"/>
  <c r="J105" i="6"/>
  <c r="O105" i="6" s="1"/>
  <c r="J106" i="6"/>
  <c r="O106" i="6" s="1"/>
  <c r="J107" i="6"/>
  <c r="O107" i="6" s="1"/>
  <c r="J104" i="6"/>
  <c r="O104" i="6" s="1"/>
  <c r="J113" i="6"/>
  <c r="O113" i="6" s="1"/>
  <c r="J114" i="6"/>
  <c r="O114" i="6" s="1"/>
  <c r="J115" i="6"/>
  <c r="O115" i="6" s="1"/>
  <c r="J112" i="6"/>
  <c r="O112" i="6" s="1"/>
  <c r="J117" i="6"/>
  <c r="O117" i="6" s="1"/>
  <c r="J118" i="6"/>
  <c r="O118" i="6" s="1"/>
  <c r="J119" i="6"/>
  <c r="O119" i="6" s="1"/>
  <c r="J116" i="6"/>
  <c r="O116" i="6" s="1"/>
  <c r="J136" i="6"/>
  <c r="O136" i="6" s="1"/>
  <c r="J137" i="6"/>
  <c r="J138" i="6"/>
  <c r="J135" i="6"/>
  <c r="J16" i="6"/>
  <c r="O16" i="6" s="1"/>
  <c r="J17" i="6"/>
  <c r="O17" i="6" s="1"/>
  <c r="J18" i="6"/>
  <c r="O18" i="6" s="1"/>
  <c r="J15" i="6"/>
  <c r="O15" i="6" s="1"/>
  <c r="J36" i="6"/>
  <c r="O36" i="6" s="1"/>
  <c r="J37" i="6"/>
  <c r="O37" i="6" s="1"/>
  <c r="J38" i="6"/>
  <c r="O38" i="6" s="1"/>
  <c r="J35" i="6"/>
  <c r="J59" i="6"/>
  <c r="O59" i="6" s="1"/>
  <c r="J60" i="6"/>
  <c r="O60" i="6" s="1"/>
  <c r="J61" i="6"/>
  <c r="O61" i="6" s="1"/>
  <c r="J58" i="6"/>
  <c r="O58" i="6" s="1"/>
  <c r="J55" i="6"/>
  <c r="O55" i="6" s="1"/>
  <c r="J56" i="6"/>
  <c r="J57" i="6"/>
  <c r="O57" i="6" s="1"/>
  <c r="J54" i="6"/>
  <c r="O54" i="6" s="1"/>
  <c r="J67" i="6"/>
  <c r="J68" i="6"/>
  <c r="O68" i="6" s="1"/>
  <c r="J69" i="6"/>
  <c r="O69" i="6" s="1"/>
  <c r="J66" i="6"/>
  <c r="O66" i="6" s="1"/>
  <c r="J85" i="6"/>
  <c r="O85" i="6" s="1"/>
  <c r="J86" i="6"/>
  <c r="J87" i="6"/>
  <c r="O87" i="6" s="1"/>
  <c r="J84" i="6"/>
  <c r="J89" i="6"/>
  <c r="O89" i="6" s="1"/>
  <c r="J90" i="6"/>
  <c r="O90" i="6" s="1"/>
  <c r="J91" i="6"/>
  <c r="O91" i="6" s="1"/>
  <c r="J88" i="6"/>
  <c r="O88" i="6" s="1"/>
  <c r="J109" i="6"/>
  <c r="O109" i="6" s="1"/>
  <c r="J110" i="6"/>
  <c r="J111" i="6"/>
  <c r="O111" i="6" s="1"/>
  <c r="J108" i="6"/>
  <c r="J121" i="6"/>
  <c r="O121" i="6" s="1"/>
  <c r="J122" i="6"/>
  <c r="O122" i="6" s="1"/>
  <c r="J123" i="6"/>
  <c r="O123" i="6" s="1"/>
  <c r="J120" i="6"/>
  <c r="O120" i="6" s="1"/>
  <c r="J128" i="6"/>
  <c r="O128" i="6" s="1"/>
  <c r="J129" i="6"/>
  <c r="J130" i="6"/>
  <c r="O130" i="6" s="1"/>
  <c r="J127" i="6"/>
  <c r="J139" i="6"/>
  <c r="O139" i="6" s="1"/>
  <c r="J140" i="6"/>
  <c r="O140" i="6" s="1"/>
  <c r="J141" i="6"/>
  <c r="J143" i="6"/>
  <c r="O143" i="6" s="1"/>
  <c r="J144" i="6"/>
  <c r="J145" i="6"/>
  <c r="O145" i="6" s="1"/>
  <c r="J142" i="6"/>
  <c r="O142" i="6" s="1"/>
  <c r="J147" i="6"/>
  <c r="O147" i="6" s="1"/>
  <c r="J148" i="6"/>
  <c r="O148" i="6" s="1"/>
  <c r="J149" i="6"/>
  <c r="O149" i="6" s="1"/>
  <c r="J152" i="6"/>
  <c r="O152" i="6" s="1"/>
  <c r="J153" i="6"/>
  <c r="J154" i="6"/>
  <c r="O154" i="6" s="1"/>
  <c r="J151" i="6"/>
  <c r="J170" i="6"/>
  <c r="O170" i="6" s="1"/>
  <c r="J171" i="6"/>
  <c r="O171" i="6" s="1"/>
  <c r="J172" i="6"/>
  <c r="O172" i="6" s="1"/>
  <c r="J169" i="6"/>
  <c r="O169" i="6" s="1"/>
  <c r="J155" i="6"/>
  <c r="O155" i="6" s="1"/>
  <c r="J156" i="6"/>
  <c r="J157" i="6"/>
  <c r="O157" i="6" s="1"/>
  <c r="J158" i="6"/>
  <c r="O158" i="6" s="1"/>
  <c r="J159" i="6"/>
  <c r="O159" i="6" s="1"/>
  <c r="J160" i="6"/>
  <c r="O160" i="6" s="1"/>
  <c r="J162" i="6"/>
  <c r="O162" i="6" s="1"/>
  <c r="J163" i="6"/>
  <c r="J164" i="6"/>
  <c r="O164" i="6" s="1"/>
  <c r="J161" i="6"/>
  <c r="J174" i="6"/>
  <c r="O174" i="6" s="1"/>
  <c r="J175" i="6"/>
  <c r="O175" i="6" s="1"/>
  <c r="J176" i="6"/>
  <c r="O176" i="6" s="1"/>
  <c r="J173" i="6"/>
  <c r="O173" i="6" s="1"/>
  <c r="J70" i="6"/>
  <c r="O70" i="6" s="1"/>
  <c r="J71" i="6"/>
  <c r="J72" i="6"/>
  <c r="O72" i="6" s="1"/>
  <c r="J73" i="6"/>
  <c r="J75" i="6"/>
  <c r="O75" i="6" s="1"/>
  <c r="J76" i="6"/>
  <c r="O76" i="6" s="1"/>
  <c r="J77" i="6"/>
  <c r="O77" i="6" s="1"/>
  <c r="J78" i="6"/>
  <c r="O78" i="6" s="1"/>
  <c r="J79" i="6"/>
  <c r="O79" i="6" s="1"/>
  <c r="J74" i="6"/>
  <c r="J125" i="6"/>
  <c r="O125" i="6" s="1"/>
  <c r="J126" i="6"/>
  <c r="J124" i="6"/>
  <c r="O124" i="6" s="1"/>
  <c r="J150" i="6"/>
  <c r="J146" i="6"/>
  <c r="O146" i="6" s="1"/>
  <c r="J12" i="6"/>
  <c r="O12" i="6" s="1"/>
  <c r="K13" i="6"/>
  <c r="K14" i="6"/>
  <c r="K11" i="6"/>
  <c r="K20" i="6"/>
  <c r="K21" i="6"/>
  <c r="K22" i="6"/>
  <c r="K19" i="6"/>
  <c r="K24" i="6"/>
  <c r="K25" i="6"/>
  <c r="K26" i="6"/>
  <c r="K23" i="6"/>
  <c r="K32" i="6"/>
  <c r="K33" i="6"/>
  <c r="K34" i="6"/>
  <c r="K31" i="6"/>
  <c r="K28" i="6"/>
  <c r="K29" i="6"/>
  <c r="K30" i="6"/>
  <c r="K27" i="6"/>
  <c r="K47" i="6"/>
  <c r="K48" i="6"/>
  <c r="K49" i="6"/>
  <c r="K46" i="6"/>
  <c r="K51" i="6"/>
  <c r="K52" i="6"/>
  <c r="K53" i="6"/>
  <c r="K50" i="6"/>
  <c r="K63" i="6"/>
  <c r="K64" i="6"/>
  <c r="K65" i="6"/>
  <c r="K62" i="6"/>
  <c r="K81" i="6"/>
  <c r="K82" i="6"/>
  <c r="K83" i="6"/>
  <c r="K80" i="6"/>
  <c r="K97" i="6"/>
  <c r="K98" i="6"/>
  <c r="K99" i="6"/>
  <c r="K96" i="6"/>
  <c r="K101" i="6"/>
  <c r="K102" i="6"/>
  <c r="K103" i="6"/>
  <c r="K100" i="6"/>
  <c r="K105" i="6"/>
  <c r="K106" i="6"/>
  <c r="K107" i="6"/>
  <c r="K104" i="6"/>
  <c r="K113" i="6"/>
  <c r="K114" i="6"/>
  <c r="K115" i="6"/>
  <c r="K112" i="6"/>
  <c r="K117" i="6"/>
  <c r="K118" i="6"/>
  <c r="K119" i="6"/>
  <c r="K116" i="6"/>
  <c r="K136" i="6"/>
  <c r="K137" i="6"/>
  <c r="K138" i="6"/>
  <c r="K135" i="6"/>
  <c r="K16" i="6"/>
  <c r="K17" i="6"/>
  <c r="K18" i="6"/>
  <c r="K15" i="6"/>
  <c r="K36" i="6"/>
  <c r="K37" i="6"/>
  <c r="K38" i="6"/>
  <c r="K35" i="6"/>
  <c r="K59" i="6"/>
  <c r="K60" i="6"/>
  <c r="K61" i="6"/>
  <c r="K58" i="6"/>
  <c r="K55" i="6"/>
  <c r="K56" i="6"/>
  <c r="K57" i="6"/>
  <c r="K54" i="6"/>
  <c r="K67" i="6"/>
  <c r="K68" i="6"/>
  <c r="K69" i="6"/>
  <c r="K66" i="6"/>
  <c r="K85" i="6"/>
  <c r="K86" i="6"/>
  <c r="K87" i="6"/>
  <c r="K84" i="6"/>
  <c r="K89" i="6"/>
  <c r="K90" i="6"/>
  <c r="K91" i="6"/>
  <c r="K88" i="6"/>
  <c r="K109" i="6"/>
  <c r="K110" i="6"/>
  <c r="K111" i="6"/>
  <c r="K108" i="6"/>
  <c r="K121" i="6"/>
  <c r="K122" i="6"/>
  <c r="K123" i="6"/>
  <c r="K120" i="6"/>
  <c r="K128" i="6"/>
  <c r="K129" i="6"/>
  <c r="K130" i="6"/>
  <c r="K127" i="6"/>
  <c r="K139" i="6"/>
  <c r="K140" i="6"/>
  <c r="K141" i="6"/>
  <c r="K143" i="6"/>
  <c r="K144" i="6"/>
  <c r="K145" i="6"/>
  <c r="K142" i="6"/>
  <c r="K147" i="6"/>
  <c r="K148" i="6"/>
  <c r="K149" i="6"/>
  <c r="K152" i="6"/>
  <c r="K153" i="6"/>
  <c r="K154" i="6"/>
  <c r="K151" i="6"/>
  <c r="K170" i="6"/>
  <c r="K171" i="6"/>
  <c r="K172" i="6"/>
  <c r="K169" i="6"/>
  <c r="K155" i="6"/>
  <c r="K156" i="6"/>
  <c r="K157" i="6"/>
  <c r="K158" i="6"/>
  <c r="K159" i="6"/>
  <c r="K160" i="6"/>
  <c r="K162" i="6"/>
  <c r="K163" i="6"/>
  <c r="K164" i="6"/>
  <c r="K161" i="6"/>
  <c r="K174" i="6"/>
  <c r="K175" i="6"/>
  <c r="K176" i="6"/>
  <c r="K173" i="6"/>
  <c r="K70" i="6"/>
  <c r="K71" i="6"/>
  <c r="K72" i="6"/>
  <c r="K73" i="6"/>
  <c r="K75" i="6"/>
  <c r="K76" i="6"/>
  <c r="K77" i="6"/>
  <c r="K78" i="6"/>
  <c r="K79" i="6"/>
  <c r="K74" i="6"/>
  <c r="K125" i="6"/>
  <c r="K126" i="6"/>
  <c r="K124" i="6"/>
  <c r="K150" i="6"/>
  <c r="K146" i="6"/>
  <c r="C59" i="6"/>
  <c r="C60" i="6"/>
  <c r="C61" i="6"/>
  <c r="C58" i="6"/>
  <c r="C55" i="6"/>
  <c r="C56" i="6"/>
  <c r="C57" i="6"/>
  <c r="C54" i="6"/>
  <c r="C86" i="6"/>
  <c r="C87" i="6"/>
  <c r="C84" i="6"/>
  <c r="C89" i="6"/>
  <c r="C90" i="6"/>
  <c r="C91" i="6"/>
  <c r="C88" i="6"/>
  <c r="C109" i="6"/>
  <c r="C110" i="6"/>
  <c r="C111" i="6"/>
  <c r="C108" i="6"/>
  <c r="C121" i="6"/>
  <c r="C122" i="6"/>
  <c r="C123" i="6"/>
  <c r="C120" i="6"/>
  <c r="C162" i="6"/>
  <c r="C163" i="6"/>
  <c r="C164" i="6"/>
  <c r="C161" i="6"/>
  <c r="C174" i="6"/>
  <c r="C175" i="6"/>
  <c r="C176" i="6"/>
  <c r="C173" i="6"/>
  <c r="C70" i="6"/>
  <c r="C71" i="6"/>
  <c r="C72" i="6"/>
  <c r="C73" i="6"/>
  <c r="C125" i="6"/>
  <c r="C126" i="6"/>
  <c r="C124" i="6"/>
  <c r="C150" i="6"/>
  <c r="C146" i="6"/>
  <c r="C13" i="6"/>
  <c r="C14" i="6"/>
  <c r="C11" i="6"/>
  <c r="C12" i="6"/>
  <c r="AC33" i="2"/>
  <c r="AA33" i="2"/>
  <c r="Z33" i="2"/>
  <c r="Y33" i="2"/>
  <c r="X33" i="2"/>
  <c r="W33" i="2"/>
  <c r="V33" i="2"/>
  <c r="U33" i="2"/>
  <c r="T33" i="2"/>
  <c r="S33" i="2"/>
  <c r="P33" i="2"/>
  <c r="G33" i="2"/>
  <c r="AC32" i="2"/>
  <c r="AA32" i="2"/>
  <c r="Z32" i="2"/>
  <c r="Y32" i="2"/>
  <c r="X32" i="2"/>
  <c r="W32" i="2"/>
  <c r="V32" i="2"/>
  <c r="U32" i="2"/>
  <c r="T32" i="2"/>
  <c r="S32" i="2"/>
  <c r="P32" i="2"/>
  <c r="G32" i="2"/>
  <c r="H32" i="2" s="1"/>
  <c r="AC31" i="2"/>
  <c r="AA31" i="2"/>
  <c r="Z31" i="2"/>
  <c r="Y31" i="2"/>
  <c r="X31" i="2"/>
  <c r="W31" i="2"/>
  <c r="V31" i="2"/>
  <c r="U31" i="2"/>
  <c r="T31" i="2"/>
  <c r="S31" i="2"/>
  <c r="P31" i="2"/>
  <c r="G31" i="2"/>
  <c r="H31" i="2" s="1"/>
  <c r="AC30" i="2"/>
  <c r="AA30" i="2"/>
  <c r="Z30" i="2"/>
  <c r="Y30" i="2"/>
  <c r="X30" i="2"/>
  <c r="W30" i="2"/>
  <c r="V30" i="2"/>
  <c r="U30" i="2"/>
  <c r="T30" i="2"/>
  <c r="S30" i="2"/>
  <c r="P30" i="2"/>
  <c r="G30" i="2"/>
  <c r="AC29" i="2"/>
  <c r="AA29" i="2"/>
  <c r="Z29" i="2"/>
  <c r="Y29" i="2"/>
  <c r="X29" i="2"/>
  <c r="W29" i="2"/>
  <c r="V29" i="2"/>
  <c r="U29" i="2"/>
  <c r="T29" i="2"/>
  <c r="S29" i="2"/>
  <c r="P29" i="2"/>
  <c r="G29" i="2"/>
  <c r="H29" i="2" s="1"/>
  <c r="AC28" i="2"/>
  <c r="AA28" i="2"/>
  <c r="Z28" i="2"/>
  <c r="Y28" i="2"/>
  <c r="X28" i="2"/>
  <c r="W28" i="2"/>
  <c r="V28" i="2"/>
  <c r="U28" i="2"/>
  <c r="T28" i="2"/>
  <c r="S28" i="2"/>
  <c r="P28" i="2"/>
  <c r="G28" i="2"/>
  <c r="H28" i="2" s="1"/>
  <c r="AC27" i="2"/>
  <c r="AA27" i="2"/>
  <c r="Z27" i="2"/>
  <c r="Y27" i="2"/>
  <c r="X27" i="2"/>
  <c r="W27" i="2"/>
  <c r="V27" i="2"/>
  <c r="U27" i="2"/>
  <c r="T27" i="2"/>
  <c r="S27" i="2"/>
  <c r="P27" i="2"/>
  <c r="G27" i="2"/>
  <c r="H27" i="2" s="1"/>
  <c r="AC26" i="2"/>
  <c r="AA26" i="2"/>
  <c r="Z26" i="2"/>
  <c r="Y26" i="2"/>
  <c r="X26" i="2"/>
  <c r="W26" i="2"/>
  <c r="V26" i="2"/>
  <c r="U26" i="2"/>
  <c r="T26" i="2"/>
  <c r="S26" i="2"/>
  <c r="P26" i="2"/>
  <c r="G26" i="2"/>
  <c r="H26" i="2" s="1"/>
  <c r="AC25" i="2"/>
  <c r="AA25" i="2"/>
  <c r="Z25" i="2"/>
  <c r="Y25" i="2"/>
  <c r="X25" i="2"/>
  <c r="W25" i="2"/>
  <c r="V25" i="2"/>
  <c r="U25" i="2"/>
  <c r="T25" i="2"/>
  <c r="S25" i="2"/>
  <c r="P25" i="2"/>
  <c r="G25" i="2"/>
  <c r="H25" i="2" s="1"/>
  <c r="AC24" i="2"/>
  <c r="AA24" i="2"/>
  <c r="Z24" i="2"/>
  <c r="Y24" i="2"/>
  <c r="X24" i="2"/>
  <c r="W24" i="2"/>
  <c r="V24" i="2"/>
  <c r="U24" i="2"/>
  <c r="T24" i="2"/>
  <c r="S24" i="2"/>
  <c r="P24" i="2"/>
  <c r="G24" i="2"/>
  <c r="H24" i="2" s="1"/>
  <c r="AC23" i="2"/>
  <c r="AA23" i="2"/>
  <c r="Z23" i="2"/>
  <c r="Y23" i="2"/>
  <c r="X23" i="2"/>
  <c r="W23" i="2"/>
  <c r="V23" i="2"/>
  <c r="U23" i="2"/>
  <c r="T23" i="2"/>
  <c r="S23" i="2"/>
  <c r="P23" i="2"/>
  <c r="G23" i="2"/>
  <c r="H23" i="2" s="1"/>
  <c r="AC22" i="2"/>
  <c r="AA22" i="2"/>
  <c r="Z22" i="2"/>
  <c r="Y22" i="2"/>
  <c r="X22" i="2"/>
  <c r="W22" i="2"/>
  <c r="V22" i="2"/>
  <c r="U22" i="2"/>
  <c r="T22" i="2"/>
  <c r="S22" i="2"/>
  <c r="P22" i="2"/>
  <c r="G22" i="2"/>
  <c r="H22" i="2" s="1"/>
  <c r="AC21" i="2"/>
  <c r="AA21" i="2"/>
  <c r="Z21" i="2"/>
  <c r="Y21" i="2"/>
  <c r="X21" i="2"/>
  <c r="W21" i="2"/>
  <c r="V21" i="2"/>
  <c r="U21" i="2"/>
  <c r="T21" i="2"/>
  <c r="S21" i="2"/>
  <c r="P21" i="2"/>
  <c r="G21" i="2"/>
  <c r="H21" i="2" s="1"/>
  <c r="AC20" i="2"/>
  <c r="AA20" i="2"/>
  <c r="Z20" i="2"/>
  <c r="Y20" i="2"/>
  <c r="X20" i="2"/>
  <c r="W20" i="2"/>
  <c r="V20" i="2"/>
  <c r="U20" i="2"/>
  <c r="T20" i="2"/>
  <c r="S20" i="2"/>
  <c r="P20" i="2"/>
  <c r="G20" i="2"/>
  <c r="H20" i="2" s="1"/>
  <c r="AC19" i="2"/>
  <c r="AA19" i="2"/>
  <c r="Z19" i="2"/>
  <c r="Y19" i="2"/>
  <c r="X19" i="2"/>
  <c r="W19" i="2"/>
  <c r="V19" i="2"/>
  <c r="U19" i="2"/>
  <c r="T19" i="2"/>
  <c r="S19" i="2"/>
  <c r="P19" i="2"/>
  <c r="G19" i="2"/>
  <c r="AC18" i="2"/>
  <c r="AA18" i="2"/>
  <c r="Z18" i="2"/>
  <c r="Y18" i="2"/>
  <c r="X18" i="2"/>
  <c r="W18" i="2"/>
  <c r="V18" i="2"/>
  <c r="U18" i="2"/>
  <c r="T18" i="2"/>
  <c r="S18" i="2"/>
  <c r="P18" i="2"/>
  <c r="G18" i="2"/>
  <c r="H18" i="2" s="1"/>
  <c r="AC17" i="2"/>
  <c r="AA17" i="2"/>
  <c r="Z17" i="2"/>
  <c r="Y17" i="2"/>
  <c r="X17" i="2"/>
  <c r="W17" i="2"/>
  <c r="V17" i="2"/>
  <c r="U17" i="2"/>
  <c r="T17" i="2"/>
  <c r="S17" i="2"/>
  <c r="P17" i="2"/>
  <c r="G17" i="2"/>
  <c r="AC16" i="2"/>
  <c r="AA16" i="2"/>
  <c r="Z16" i="2"/>
  <c r="Y16" i="2"/>
  <c r="X16" i="2"/>
  <c r="W16" i="2"/>
  <c r="V16" i="2"/>
  <c r="U16" i="2"/>
  <c r="T16" i="2"/>
  <c r="S16" i="2"/>
  <c r="P16" i="2"/>
  <c r="G16" i="2"/>
  <c r="H16" i="2" s="1"/>
  <c r="AC15" i="2"/>
  <c r="AA15" i="2"/>
  <c r="Z15" i="2"/>
  <c r="Y15" i="2"/>
  <c r="X15" i="2"/>
  <c r="W15" i="2"/>
  <c r="V15" i="2"/>
  <c r="U15" i="2"/>
  <c r="T15" i="2"/>
  <c r="S15" i="2"/>
  <c r="P15" i="2"/>
  <c r="G15" i="2"/>
  <c r="H15" i="2" s="1"/>
  <c r="AA14" i="2"/>
  <c r="Z14" i="2"/>
  <c r="Y14" i="2"/>
  <c r="X14" i="2"/>
  <c r="W14" i="2"/>
  <c r="V14" i="2"/>
  <c r="U14" i="2"/>
  <c r="T14" i="2"/>
  <c r="S14" i="2"/>
  <c r="AA13" i="2"/>
  <c r="Z13" i="2"/>
  <c r="Y13" i="2"/>
  <c r="X13" i="2"/>
  <c r="W13" i="2"/>
  <c r="V13" i="2"/>
  <c r="U13" i="2"/>
  <c r="T13" i="2"/>
  <c r="S13" i="2"/>
  <c r="AA12" i="2"/>
  <c r="Z12" i="2"/>
  <c r="Y12" i="2"/>
  <c r="X12" i="2"/>
  <c r="W12" i="2"/>
  <c r="V12" i="2"/>
  <c r="U12" i="2"/>
  <c r="T12" i="2"/>
  <c r="S12" i="2"/>
  <c r="AA11" i="2"/>
  <c r="Z11" i="2"/>
  <c r="Y11" i="2"/>
  <c r="X11" i="2"/>
  <c r="W11" i="2"/>
  <c r="V11" i="2"/>
  <c r="U11" i="2"/>
  <c r="T11" i="2"/>
  <c r="S11" i="2"/>
  <c r="AA10" i="2"/>
  <c r="Z10" i="2"/>
  <c r="Y10" i="2"/>
  <c r="X10" i="2"/>
  <c r="W10" i="2"/>
  <c r="V10" i="2"/>
  <c r="U10" i="2"/>
  <c r="T10" i="2"/>
  <c r="S10" i="2"/>
  <c r="AC9" i="2"/>
  <c r="T39" i="2" s="1"/>
  <c r="AA9" i="2"/>
  <c r="Z9" i="2"/>
  <c r="Y9" i="2"/>
  <c r="X9" i="2"/>
  <c r="W9" i="2"/>
  <c r="V9" i="2"/>
  <c r="U9" i="2"/>
  <c r="T9" i="2"/>
  <c r="S9" i="2"/>
  <c r="Q9" i="2"/>
  <c r="O39" i="2" s="1"/>
  <c r="P9" i="2"/>
  <c r="P39" i="2" s="1"/>
  <c r="M3" i="2"/>
  <c r="M2" i="2"/>
  <c r="D12" i="1"/>
  <c r="F12" i="1" s="1"/>
  <c r="F11" i="1"/>
  <c r="D10" i="1"/>
  <c r="F10" i="1" s="1"/>
  <c r="F9" i="1"/>
  <c r="F8" i="1"/>
  <c r="F7" i="1"/>
  <c r="F6" i="1"/>
  <c r="AL159" i="14" l="1"/>
  <c r="AK159" i="14"/>
  <c r="AL158" i="14"/>
  <c r="AK158" i="14"/>
  <c r="AL157" i="14"/>
  <c r="AK157" i="14"/>
  <c r="G153" i="20"/>
  <c r="I153" i="20" s="1"/>
  <c r="J153" i="20" s="1"/>
  <c r="G154" i="14"/>
  <c r="G154" i="20"/>
  <c r="I154" i="20" s="1"/>
  <c r="J154" i="20" s="1"/>
  <c r="G155" i="20"/>
  <c r="I155" i="20" s="1"/>
  <c r="J155" i="20" s="1"/>
  <c r="G153" i="14"/>
  <c r="G152" i="14"/>
  <c r="G152" i="20"/>
  <c r="I152" i="20" s="1"/>
  <c r="J152" i="20" s="1"/>
  <c r="G155" i="14"/>
  <c r="G149" i="14"/>
  <c r="G146" i="20"/>
  <c r="I146" i="20" s="1"/>
  <c r="AA146" i="20" s="1"/>
  <c r="AH146" i="20" s="1"/>
  <c r="J146" i="20" s="1"/>
  <c r="G144" i="20"/>
  <c r="I144" i="20" s="1"/>
  <c r="J144" i="20" s="1"/>
  <c r="G146" i="14"/>
  <c r="G144" i="14"/>
  <c r="G147" i="20"/>
  <c r="I147" i="20" s="1"/>
  <c r="J147" i="20" s="1"/>
  <c r="G145" i="20"/>
  <c r="I145" i="20" s="1"/>
  <c r="AF145" i="20" s="1"/>
  <c r="AH145" i="20" s="1"/>
  <c r="J145" i="20" s="1"/>
  <c r="G145" i="14"/>
  <c r="G148" i="20"/>
  <c r="I148" i="20" s="1"/>
  <c r="AD148" i="20" s="1"/>
  <c r="G150" i="14"/>
  <c r="G147" i="14"/>
  <c r="G149" i="20"/>
  <c r="I149" i="20" s="1"/>
  <c r="AD149" i="20" s="1"/>
  <c r="G150" i="20"/>
  <c r="G148" i="14"/>
  <c r="G151" i="14"/>
  <c r="G151" i="20"/>
  <c r="I151" i="20" s="1"/>
  <c r="J151" i="20" s="1"/>
  <c r="G141" i="14"/>
  <c r="G139" i="14"/>
  <c r="G137" i="14"/>
  <c r="G132" i="14"/>
  <c r="G142" i="20"/>
  <c r="I142" i="20" s="1"/>
  <c r="J142" i="20" s="1"/>
  <c r="G143" i="14"/>
  <c r="G134" i="14"/>
  <c r="G138" i="20"/>
  <c r="I138" i="20" s="1"/>
  <c r="J138" i="20" s="1"/>
  <c r="G141" i="20"/>
  <c r="I141" i="20" s="1"/>
  <c r="J141" i="20" s="1"/>
  <c r="G135" i="20"/>
  <c r="I135" i="20" s="1"/>
  <c r="J135" i="20" s="1"/>
  <c r="G136" i="14"/>
  <c r="G140" i="20"/>
  <c r="I140" i="20" s="1"/>
  <c r="J140" i="20" s="1"/>
  <c r="G136" i="20"/>
  <c r="I136" i="20" s="1"/>
  <c r="J136" i="20" s="1"/>
  <c r="G134" i="20"/>
  <c r="I134" i="20" s="1"/>
  <c r="J134" i="20" s="1"/>
  <c r="G132" i="20"/>
  <c r="I132" i="20" s="1"/>
  <c r="J132" i="20" s="1"/>
  <c r="G130" i="20"/>
  <c r="I130" i="20" s="1"/>
  <c r="J130" i="20" s="1"/>
  <c r="G128" i="20"/>
  <c r="I128" i="20" s="1"/>
  <c r="J128" i="20" s="1"/>
  <c r="G139" i="20"/>
  <c r="I139" i="20" s="1"/>
  <c r="J139" i="20" s="1"/>
  <c r="G133" i="20"/>
  <c r="I133" i="20" s="1"/>
  <c r="J133" i="20" s="1"/>
  <c r="G129" i="20"/>
  <c r="I129" i="20" s="1"/>
  <c r="J129" i="20" s="1"/>
  <c r="G142" i="14"/>
  <c r="G140" i="14"/>
  <c r="G138" i="14"/>
  <c r="G143" i="20"/>
  <c r="I143" i="20" s="1"/>
  <c r="J143" i="20" s="1"/>
  <c r="G135" i="14"/>
  <c r="G133" i="14"/>
  <c r="G137" i="20"/>
  <c r="I137" i="20" s="1"/>
  <c r="J137" i="20" s="1"/>
  <c r="G131" i="20"/>
  <c r="I131" i="20" s="1"/>
  <c r="J131" i="20" s="1"/>
  <c r="G131" i="14"/>
  <c r="G128" i="14"/>
  <c r="G129" i="14"/>
  <c r="G130" i="14"/>
  <c r="G103" i="20"/>
  <c r="I103" i="20" s="1"/>
  <c r="J103" i="20" s="1"/>
  <c r="G101" i="20"/>
  <c r="I101" i="20" s="1"/>
  <c r="J101" i="20" s="1"/>
  <c r="G96" i="20"/>
  <c r="I96" i="20" s="1"/>
  <c r="J96" i="20" s="1"/>
  <c r="G92" i="20"/>
  <c r="I92" i="20" s="1"/>
  <c r="J92" i="20" s="1"/>
  <c r="G89" i="20"/>
  <c r="I89" i="20" s="1"/>
  <c r="J89" i="20" s="1"/>
  <c r="G87" i="20"/>
  <c r="I87" i="20" s="1"/>
  <c r="J87" i="20" s="1"/>
  <c r="G85" i="20"/>
  <c r="I85" i="20" s="1"/>
  <c r="J85" i="20" s="1"/>
  <c r="G83" i="20"/>
  <c r="I83" i="20" s="1"/>
  <c r="J83" i="20" s="1"/>
  <c r="G82" i="20"/>
  <c r="G78" i="20"/>
  <c r="G75" i="20"/>
  <c r="I75" i="20" s="1"/>
  <c r="J75" i="20" s="1"/>
  <c r="G71" i="20"/>
  <c r="I71" i="20" s="1"/>
  <c r="J71" i="20" s="1"/>
  <c r="G69" i="20"/>
  <c r="I69" i="20" s="1"/>
  <c r="J69" i="20" s="1"/>
  <c r="G68" i="20"/>
  <c r="I68" i="20" s="1"/>
  <c r="J68" i="20" s="1"/>
  <c r="G61" i="20"/>
  <c r="I61" i="20" s="1"/>
  <c r="J61" i="20" s="1"/>
  <c r="G54" i="20"/>
  <c r="G52" i="20"/>
  <c r="I52" i="20" s="1"/>
  <c r="J52" i="20" s="1"/>
  <c r="G44" i="20"/>
  <c r="I44" i="20" s="1"/>
  <c r="J44" i="20" s="1"/>
  <c r="G43" i="20"/>
  <c r="I43" i="20" s="1"/>
  <c r="AD43" i="20" s="1"/>
  <c r="G41" i="20"/>
  <c r="I41" i="20" s="1"/>
  <c r="J41" i="20" s="1"/>
  <c r="G39" i="20"/>
  <c r="I39" i="20" s="1"/>
  <c r="AD39" i="20" s="1"/>
  <c r="G36" i="20"/>
  <c r="I36" i="20" s="1"/>
  <c r="J36" i="20" s="1"/>
  <c r="G26" i="20"/>
  <c r="I26" i="20" s="1"/>
  <c r="J26" i="20" s="1"/>
  <c r="G24" i="20"/>
  <c r="I24" i="20" s="1"/>
  <c r="J24" i="20" s="1"/>
  <c r="G20" i="20"/>
  <c r="G16" i="20"/>
  <c r="G13" i="20"/>
  <c r="I13" i="20" s="1"/>
  <c r="AF13" i="20" s="1"/>
  <c r="AH13" i="20" s="1"/>
  <c r="J13" i="20" s="1"/>
  <c r="G11" i="20"/>
  <c r="I11" i="20" s="1"/>
  <c r="J11" i="20" s="1"/>
  <c r="G10" i="20"/>
  <c r="I10" i="20" s="1"/>
  <c r="Z10" i="20" s="1"/>
  <c r="AH10" i="20" s="1"/>
  <c r="J10" i="20" s="1"/>
  <c r="G102" i="20"/>
  <c r="I102" i="20" s="1"/>
  <c r="J102" i="20" s="1"/>
  <c r="G97" i="20"/>
  <c r="I97" i="20" s="1"/>
  <c r="AA97" i="20" s="1"/>
  <c r="AH97" i="20" s="1"/>
  <c r="J97" i="20" s="1"/>
  <c r="G95" i="20"/>
  <c r="I95" i="20" s="1"/>
  <c r="J95" i="20" s="1"/>
  <c r="G91" i="20"/>
  <c r="I91" i="20" s="1"/>
  <c r="J91" i="20" s="1"/>
  <c r="G88" i="20"/>
  <c r="I88" i="20" s="1"/>
  <c r="J88" i="20" s="1"/>
  <c r="G84" i="20"/>
  <c r="G79" i="20"/>
  <c r="I79" i="20" s="1"/>
  <c r="J79" i="20" s="1"/>
  <c r="G76" i="20"/>
  <c r="I76" i="20" s="1"/>
  <c r="AA76" i="20" s="1"/>
  <c r="AH76" i="20" s="1"/>
  <c r="J76" i="20" s="1"/>
  <c r="G67" i="20"/>
  <c r="I67" i="20" s="1"/>
  <c r="J67" i="20" s="1"/>
  <c r="G62" i="20"/>
  <c r="G53" i="20"/>
  <c r="I53" i="20" s="1"/>
  <c r="J53" i="20" s="1"/>
  <c r="G42" i="20"/>
  <c r="I42" i="20" s="1"/>
  <c r="J42" i="20" s="1"/>
  <c r="G40" i="20"/>
  <c r="I40" i="20" s="1"/>
  <c r="J40" i="20" s="1"/>
  <c r="G34" i="20"/>
  <c r="I34" i="20" s="1"/>
  <c r="AA34" i="20" s="1"/>
  <c r="AH34" i="20" s="1"/>
  <c r="J34" i="20" s="1"/>
  <c r="G30" i="20"/>
  <c r="I30" i="20" s="1"/>
  <c r="AF30" i="20" s="1"/>
  <c r="AH30" i="20" s="1"/>
  <c r="J30" i="20" s="1"/>
  <c r="G23" i="20"/>
  <c r="I23" i="20" s="1"/>
  <c r="AD23" i="20" s="1"/>
  <c r="G18" i="20"/>
  <c r="I18" i="20" s="1"/>
  <c r="J18" i="20" s="1"/>
  <c r="G12" i="20"/>
  <c r="G105" i="20"/>
  <c r="I105" i="20" s="1"/>
  <c r="J105" i="20" s="1"/>
  <c r="G80" i="20"/>
  <c r="I80" i="20" s="1"/>
  <c r="J80" i="20" s="1"/>
  <c r="G73" i="20"/>
  <c r="I73" i="20" s="1"/>
  <c r="J73" i="20" s="1"/>
  <c r="G63" i="20"/>
  <c r="I63" i="20" s="1"/>
  <c r="J63" i="20" s="1"/>
  <c r="G59" i="20"/>
  <c r="I59" i="20" s="1"/>
  <c r="AA59" i="20" s="1"/>
  <c r="AH59" i="20" s="1"/>
  <c r="J59" i="20" s="1"/>
  <c r="G58" i="20"/>
  <c r="G56" i="20"/>
  <c r="I56" i="20" s="1"/>
  <c r="J56" i="20" s="1"/>
  <c r="G46" i="20"/>
  <c r="G35" i="20"/>
  <c r="I35" i="20" s="1"/>
  <c r="J35" i="20" s="1"/>
  <c r="G31" i="20"/>
  <c r="I31" i="20" s="1"/>
  <c r="J31" i="20" s="1"/>
  <c r="G19" i="20"/>
  <c r="I19" i="20" s="1"/>
  <c r="AD19" i="20" s="1"/>
  <c r="G100" i="20"/>
  <c r="I100" i="20" s="1"/>
  <c r="J100" i="20" s="1"/>
  <c r="G98" i="20"/>
  <c r="I98" i="20" s="1"/>
  <c r="J98" i="20" s="1"/>
  <c r="G93" i="20"/>
  <c r="I93" i="20" s="1"/>
  <c r="J93" i="20" s="1"/>
  <c r="G74" i="20"/>
  <c r="G72" i="20"/>
  <c r="I72" i="20" s="1"/>
  <c r="J72" i="20" s="1"/>
  <c r="G65" i="20"/>
  <c r="I65" i="20" s="1"/>
  <c r="J65" i="20" s="1"/>
  <c r="G64" i="20"/>
  <c r="I64" i="20" s="1"/>
  <c r="J64" i="20" s="1"/>
  <c r="G57" i="20"/>
  <c r="I57" i="20" s="1"/>
  <c r="J57" i="20" s="1"/>
  <c r="G51" i="20"/>
  <c r="I51" i="20" s="1"/>
  <c r="AA51" i="20" s="1"/>
  <c r="AH51" i="20" s="1"/>
  <c r="J51" i="20" s="1"/>
  <c r="G50" i="20"/>
  <c r="G48" i="20"/>
  <c r="I48" i="20" s="1"/>
  <c r="J48" i="20" s="1"/>
  <c r="G47" i="20"/>
  <c r="I47" i="20" s="1"/>
  <c r="J47" i="20" s="1"/>
  <c r="G38" i="20"/>
  <c r="I38" i="20" s="1"/>
  <c r="AA38" i="20" s="1"/>
  <c r="AH38" i="20" s="1"/>
  <c r="J38" i="20" s="1"/>
  <c r="G33" i="20"/>
  <c r="I33" i="20" s="1"/>
  <c r="AF33" i="20" s="1"/>
  <c r="AH33" i="20" s="1"/>
  <c r="J33" i="20" s="1"/>
  <c r="G29" i="20"/>
  <c r="I29" i="20" s="1"/>
  <c r="J29" i="20" s="1"/>
  <c r="G14" i="20"/>
  <c r="G104" i="20"/>
  <c r="I104" i="20" s="1"/>
  <c r="J104" i="20" s="1"/>
  <c r="G94" i="20"/>
  <c r="I94" i="20" s="1"/>
  <c r="J94" i="20" s="1"/>
  <c r="G90" i="20"/>
  <c r="I90" i="20" s="1"/>
  <c r="AD90" i="20" s="1"/>
  <c r="G86" i="20"/>
  <c r="I86" i="20" s="1"/>
  <c r="J86" i="20" s="1"/>
  <c r="G81" i="20"/>
  <c r="I81" i="20" s="1"/>
  <c r="J81" i="20" s="1"/>
  <c r="G77" i="20"/>
  <c r="I77" i="20" s="1"/>
  <c r="J77" i="20" s="1"/>
  <c r="G70" i="20"/>
  <c r="G60" i="20"/>
  <c r="I60" i="20" s="1"/>
  <c r="J60" i="20" s="1"/>
  <c r="G55" i="20"/>
  <c r="I55" i="20" s="1"/>
  <c r="AA55" i="20" s="1"/>
  <c r="AH55" i="20" s="1"/>
  <c r="J55" i="20" s="1"/>
  <c r="G45" i="20"/>
  <c r="I45" i="20" s="1"/>
  <c r="X45" i="20" s="1"/>
  <c r="AH45" i="20" s="1"/>
  <c r="J45" i="20" s="1"/>
  <c r="G37" i="20"/>
  <c r="I37" i="20" s="1"/>
  <c r="J37" i="20" s="1"/>
  <c r="G27" i="20"/>
  <c r="I27" i="20" s="1"/>
  <c r="AD27" i="20" s="1"/>
  <c r="G25" i="20"/>
  <c r="I25" i="20" s="1"/>
  <c r="J25" i="20" s="1"/>
  <c r="G21" i="20"/>
  <c r="I21" i="20" s="1"/>
  <c r="X21" i="20" s="1"/>
  <c r="AH21" i="20" s="1"/>
  <c r="J21" i="20" s="1"/>
  <c r="G17" i="20"/>
  <c r="I17" i="20" s="1"/>
  <c r="AF17" i="20" s="1"/>
  <c r="AH17" i="20" s="1"/>
  <c r="J17" i="20" s="1"/>
  <c r="G9" i="20"/>
  <c r="I9" i="20" s="1"/>
  <c r="J9" i="20" s="1"/>
  <c r="G106" i="20"/>
  <c r="I106" i="20" s="1"/>
  <c r="J106" i="20" s="1"/>
  <c r="G99" i="20"/>
  <c r="I99" i="20" s="1"/>
  <c r="J99" i="20" s="1"/>
  <c r="G66" i="20"/>
  <c r="G49" i="20"/>
  <c r="I49" i="20" s="1"/>
  <c r="J49" i="20" s="1"/>
  <c r="G32" i="20"/>
  <c r="I32" i="20" s="1"/>
  <c r="J32" i="20" s="1"/>
  <c r="G22" i="20"/>
  <c r="I22" i="20" s="1"/>
  <c r="AA22" i="20" s="1"/>
  <c r="AH22" i="20" s="1"/>
  <c r="J22" i="20" s="1"/>
  <c r="G15" i="20"/>
  <c r="I15" i="20" s="1"/>
  <c r="J15" i="20" s="1"/>
  <c r="G12" i="19"/>
  <c r="G28" i="19"/>
  <c r="G55" i="19"/>
  <c r="G96" i="19"/>
  <c r="G63" i="19"/>
  <c r="G106" i="19"/>
  <c r="G21" i="19"/>
  <c r="G64" i="19"/>
  <c r="G93" i="19"/>
  <c r="G34" i="19"/>
  <c r="G10" i="19"/>
  <c r="G26" i="19"/>
  <c r="G45" i="19"/>
  <c r="G61" i="19"/>
  <c r="G77" i="19"/>
  <c r="G98" i="19"/>
  <c r="G87" i="19"/>
  <c r="G44" i="19"/>
  <c r="G11" i="19"/>
  <c r="G27" i="19"/>
  <c r="G46" i="19"/>
  <c r="G66" i="19"/>
  <c r="G83" i="19"/>
  <c r="G102" i="19"/>
  <c r="G16" i="19"/>
  <c r="G32" i="19"/>
  <c r="G67" i="19"/>
  <c r="G28" i="20"/>
  <c r="I28" i="20" s="1"/>
  <c r="J28" i="20" s="1"/>
  <c r="G71" i="19"/>
  <c r="G88" i="19"/>
  <c r="G9" i="19"/>
  <c r="G25" i="19"/>
  <c r="G76" i="19"/>
  <c r="G97" i="19"/>
  <c r="G36" i="19"/>
  <c r="G14" i="19"/>
  <c r="G30" i="19"/>
  <c r="G48" i="19"/>
  <c r="G65" i="19"/>
  <c r="G82" i="19"/>
  <c r="G20" i="19"/>
  <c r="G79" i="19"/>
  <c r="G75" i="19"/>
  <c r="G37" i="19"/>
  <c r="G100" i="19"/>
  <c r="G38" i="19"/>
  <c r="G69" i="19"/>
  <c r="G101" i="19"/>
  <c r="G40" i="19"/>
  <c r="G15" i="19"/>
  <c r="G39" i="19"/>
  <c r="G62" i="19"/>
  <c r="G24" i="19"/>
  <c r="G84" i="19"/>
  <c r="G92" i="19"/>
  <c r="G56" i="19"/>
  <c r="G103" i="19"/>
  <c r="G41" i="19"/>
  <c r="G73" i="19"/>
  <c r="G104" i="19"/>
  <c r="G52" i="19"/>
  <c r="G19" i="19"/>
  <c r="G42" i="19"/>
  <c r="G70" i="19"/>
  <c r="G95" i="19"/>
  <c r="G35" i="19"/>
  <c r="G43" i="19"/>
  <c r="G81" i="19"/>
  <c r="G18" i="19"/>
  <c r="G90" i="19"/>
  <c r="G23" i="19"/>
  <c r="G74" i="19"/>
  <c r="G105" i="19"/>
  <c r="G86" i="19"/>
  <c r="G60" i="19"/>
  <c r="G50" i="19"/>
  <c r="G68" i="19"/>
  <c r="G91" i="19"/>
  <c r="G47" i="19"/>
  <c r="G89" i="19"/>
  <c r="G22" i="19"/>
  <c r="G94" i="19"/>
  <c r="G29" i="19"/>
  <c r="G31" i="19"/>
  <c r="G78" i="19"/>
  <c r="G33" i="19"/>
  <c r="G13" i="19"/>
  <c r="G85" i="19"/>
  <c r="G49" i="19"/>
  <c r="G51" i="19"/>
  <c r="G17" i="19"/>
  <c r="G80" i="19"/>
  <c r="G54" i="19"/>
  <c r="G53" i="19"/>
  <c r="G99" i="19"/>
  <c r="G128" i="19"/>
  <c r="G126" i="20"/>
  <c r="I126" i="20" s="1"/>
  <c r="J126" i="20" s="1"/>
  <c r="G124" i="20"/>
  <c r="I124" i="20" s="1"/>
  <c r="J124" i="20" s="1"/>
  <c r="G111" i="20"/>
  <c r="I111" i="20" s="1"/>
  <c r="J111" i="20" s="1"/>
  <c r="G114" i="20"/>
  <c r="I114" i="20" s="1"/>
  <c r="J114" i="20" s="1"/>
  <c r="G125" i="20"/>
  <c r="I125" i="20" s="1"/>
  <c r="AF125" i="20" s="1"/>
  <c r="AH125" i="20" s="1"/>
  <c r="J125" i="20" s="1"/>
  <c r="G115" i="20"/>
  <c r="I115" i="20" s="1"/>
  <c r="J115" i="20" s="1"/>
  <c r="G112" i="19"/>
  <c r="G110" i="19"/>
  <c r="G107" i="19"/>
  <c r="G120" i="19"/>
  <c r="G124" i="19"/>
  <c r="G123" i="19"/>
  <c r="G118" i="20"/>
  <c r="I118" i="20" s="1"/>
  <c r="J118" i="20" s="1"/>
  <c r="G123" i="20"/>
  <c r="I123" i="20" s="1"/>
  <c r="J123" i="20" s="1"/>
  <c r="G110" i="20"/>
  <c r="I110" i="20" s="1"/>
  <c r="J110" i="20" s="1"/>
  <c r="G107" i="20"/>
  <c r="I107" i="20" s="1"/>
  <c r="J107" i="20" s="1"/>
  <c r="G120" i="20"/>
  <c r="I120" i="20" s="1"/>
  <c r="J120" i="20" s="1"/>
  <c r="G112" i="20"/>
  <c r="I112" i="20" s="1"/>
  <c r="J112" i="20" s="1"/>
  <c r="G113" i="19"/>
  <c r="G115" i="19"/>
  <c r="G59" i="19"/>
  <c r="G57" i="19"/>
  <c r="G58" i="19"/>
  <c r="G117" i="19"/>
  <c r="G116" i="19"/>
  <c r="G121" i="19"/>
  <c r="G113" i="20"/>
  <c r="I113" i="20" s="1"/>
  <c r="X113" i="20" s="1"/>
  <c r="AH113" i="20" s="1"/>
  <c r="J113" i="20" s="1"/>
  <c r="G121" i="20"/>
  <c r="I121" i="20" s="1"/>
  <c r="AF121" i="20" s="1"/>
  <c r="AH121" i="20" s="1"/>
  <c r="J121" i="20" s="1"/>
  <c r="G109" i="20"/>
  <c r="I109" i="20" s="1"/>
  <c r="X109" i="20" s="1"/>
  <c r="AH109" i="20" s="1"/>
  <c r="J109" i="20" s="1"/>
  <c r="G119" i="20"/>
  <c r="I119" i="20" s="1"/>
  <c r="J119" i="20" s="1"/>
  <c r="G119" i="19"/>
  <c r="G109" i="19"/>
  <c r="G111" i="19"/>
  <c r="G122" i="20"/>
  <c r="I122" i="20" s="1"/>
  <c r="J122" i="20" s="1"/>
  <c r="G122" i="19"/>
  <c r="G125" i="19"/>
  <c r="G127" i="20"/>
  <c r="I127" i="20" s="1"/>
  <c r="J127" i="20" s="1"/>
  <c r="G108" i="19"/>
  <c r="G116" i="20"/>
  <c r="I116" i="20" s="1"/>
  <c r="AD116" i="20" s="1"/>
  <c r="G108" i="20"/>
  <c r="I108" i="20" s="1"/>
  <c r="AF108" i="20" s="1"/>
  <c r="AH108" i="20" s="1"/>
  <c r="J108" i="20" s="1"/>
  <c r="G117" i="20"/>
  <c r="I117" i="20" s="1"/>
  <c r="J117" i="20" s="1"/>
  <c r="G114" i="19"/>
  <c r="G118" i="19"/>
  <c r="L126" i="19"/>
  <c r="L127" i="19"/>
  <c r="O127" i="19"/>
  <c r="Q127" i="19" s="1"/>
  <c r="R127" i="19" s="1"/>
  <c r="J2" i="19"/>
  <c r="P72" i="19"/>
  <c r="O72" i="19"/>
  <c r="L72" i="19"/>
  <c r="Q126" i="19"/>
  <c r="G60" i="14"/>
  <c r="G58" i="14"/>
  <c r="G57" i="14"/>
  <c r="G59" i="14"/>
  <c r="G114" i="14"/>
  <c r="G115" i="14"/>
  <c r="G116" i="14"/>
  <c r="G113" i="14"/>
  <c r="G33" i="14"/>
  <c r="G34" i="14"/>
  <c r="G35" i="14"/>
  <c r="G36" i="14"/>
  <c r="G85" i="14"/>
  <c r="G86" i="14"/>
  <c r="G87" i="14"/>
  <c r="G88" i="14"/>
  <c r="G120" i="14"/>
  <c r="H120" i="14" s="1"/>
  <c r="G109" i="14"/>
  <c r="H109" i="14" s="1"/>
  <c r="G102" i="14"/>
  <c r="H102" i="14" s="1"/>
  <c r="G95" i="14"/>
  <c r="H95" i="14" s="1"/>
  <c r="G84" i="14"/>
  <c r="H84" i="14" s="1"/>
  <c r="G76" i="14"/>
  <c r="H76" i="14" s="1"/>
  <c r="G68" i="14"/>
  <c r="H68" i="14" s="1"/>
  <c r="G56" i="14"/>
  <c r="H56" i="14" s="1"/>
  <c r="G48" i="14"/>
  <c r="H48" i="14" s="1"/>
  <c r="G40" i="14"/>
  <c r="H40" i="14" s="1"/>
  <c r="G28" i="14"/>
  <c r="H28" i="14" s="1"/>
  <c r="G20" i="14"/>
  <c r="H20" i="14" s="1"/>
  <c r="G12" i="14"/>
  <c r="H12" i="14" s="1"/>
  <c r="G92" i="14"/>
  <c r="H92" i="14" s="1"/>
  <c r="G80" i="14"/>
  <c r="H80" i="14" s="1"/>
  <c r="G44" i="14"/>
  <c r="H44" i="14" s="1"/>
  <c r="G127" i="14"/>
  <c r="H127" i="14" s="1"/>
  <c r="G119" i="14"/>
  <c r="H119" i="14" s="1"/>
  <c r="G108" i="14"/>
  <c r="H108" i="14" s="1"/>
  <c r="G101" i="14"/>
  <c r="H101" i="14" s="1"/>
  <c r="G94" i="14"/>
  <c r="H94" i="14" s="1"/>
  <c r="G83" i="14"/>
  <c r="H83" i="14" s="1"/>
  <c r="G75" i="14"/>
  <c r="H75" i="14" s="1"/>
  <c r="G67" i="14"/>
  <c r="H67" i="14" s="1"/>
  <c r="G55" i="14"/>
  <c r="H55" i="14" s="1"/>
  <c r="G47" i="14"/>
  <c r="H47" i="14" s="1"/>
  <c r="G39" i="14"/>
  <c r="H39" i="14" s="1"/>
  <c r="G27" i="14"/>
  <c r="H27" i="14" s="1"/>
  <c r="G19" i="14"/>
  <c r="H19" i="14" s="1"/>
  <c r="G10" i="14"/>
  <c r="H10" i="14" s="1"/>
  <c r="G106" i="14"/>
  <c r="H106" i="14" s="1"/>
  <c r="G64" i="14"/>
  <c r="H64" i="14" s="1"/>
  <c r="G16" i="14"/>
  <c r="H16" i="14" s="1"/>
  <c r="G126" i="14"/>
  <c r="H126" i="14" s="1"/>
  <c r="G118" i="14"/>
  <c r="H118" i="14" s="1"/>
  <c r="G107" i="14"/>
  <c r="H107" i="14" s="1"/>
  <c r="G100" i="14"/>
  <c r="H100" i="14" s="1"/>
  <c r="G93" i="14"/>
  <c r="H93" i="14" s="1"/>
  <c r="G82" i="14"/>
  <c r="H82" i="14" s="1"/>
  <c r="G74" i="14"/>
  <c r="H74" i="14" s="1"/>
  <c r="G66" i="14"/>
  <c r="H66" i="14" s="1"/>
  <c r="G54" i="14"/>
  <c r="H54" i="14" s="1"/>
  <c r="G46" i="14"/>
  <c r="H46" i="14" s="1"/>
  <c r="G38" i="14"/>
  <c r="H38" i="14" s="1"/>
  <c r="G26" i="14"/>
  <c r="H26" i="14" s="1"/>
  <c r="G18" i="14"/>
  <c r="H18" i="14" s="1"/>
  <c r="G11" i="14"/>
  <c r="H11" i="14" s="1"/>
  <c r="G99" i="14"/>
  <c r="H99" i="14" s="1"/>
  <c r="G52" i="14"/>
  <c r="H52" i="14" s="1"/>
  <c r="G32" i="14"/>
  <c r="H32" i="14" s="1"/>
  <c r="G125" i="14"/>
  <c r="H125" i="14" s="1"/>
  <c r="G117" i="14"/>
  <c r="H117" i="14" s="1"/>
  <c r="G81" i="14"/>
  <c r="H81" i="14" s="1"/>
  <c r="G73" i="14"/>
  <c r="H73" i="14" s="1"/>
  <c r="G65" i="14"/>
  <c r="H65" i="14" s="1"/>
  <c r="G53" i="14"/>
  <c r="H53" i="14" s="1"/>
  <c r="G45" i="14"/>
  <c r="H45" i="14" s="1"/>
  <c r="G37" i="14"/>
  <c r="H37" i="14" s="1"/>
  <c r="G25" i="14"/>
  <c r="H25" i="14" s="1"/>
  <c r="G17" i="14"/>
  <c r="H17" i="14" s="1"/>
  <c r="G9" i="14"/>
  <c r="H9" i="14" s="1"/>
  <c r="G112" i="14"/>
  <c r="H112" i="14" s="1"/>
  <c r="G72" i="14"/>
  <c r="H72" i="14" s="1"/>
  <c r="G24" i="14"/>
  <c r="H24" i="14" s="1"/>
  <c r="G124" i="14"/>
  <c r="H124" i="14" s="1"/>
  <c r="G123" i="14"/>
  <c r="H123" i="14" s="1"/>
  <c r="G111" i="14"/>
  <c r="H111" i="14" s="1"/>
  <c r="G105" i="14"/>
  <c r="H105" i="14" s="1"/>
  <c r="G98" i="14"/>
  <c r="H98" i="14" s="1"/>
  <c r="G91" i="14"/>
  <c r="H91" i="14" s="1"/>
  <c r="G79" i="14"/>
  <c r="H79" i="14" s="1"/>
  <c r="G71" i="14"/>
  <c r="H71" i="14" s="1"/>
  <c r="G63" i="14"/>
  <c r="H63" i="14" s="1"/>
  <c r="G51" i="14"/>
  <c r="H51" i="14" s="1"/>
  <c r="G43" i="14"/>
  <c r="H43" i="14" s="1"/>
  <c r="G31" i="14"/>
  <c r="H31" i="14" s="1"/>
  <c r="G23" i="14"/>
  <c r="H23" i="14" s="1"/>
  <c r="G15" i="14"/>
  <c r="H15" i="14" s="1"/>
  <c r="G122" i="14"/>
  <c r="H122" i="14" s="1"/>
  <c r="G110" i="14"/>
  <c r="H110" i="14" s="1"/>
  <c r="G104" i="14"/>
  <c r="H104" i="14" s="1"/>
  <c r="G97" i="14"/>
  <c r="H97" i="14" s="1"/>
  <c r="G90" i="14"/>
  <c r="H90" i="14" s="1"/>
  <c r="G78" i="14"/>
  <c r="H78" i="14" s="1"/>
  <c r="G70" i="14"/>
  <c r="H70" i="14" s="1"/>
  <c r="G62" i="14"/>
  <c r="H62" i="14" s="1"/>
  <c r="G50" i="14"/>
  <c r="H50" i="14" s="1"/>
  <c r="G42" i="14"/>
  <c r="H42" i="14" s="1"/>
  <c r="G30" i="14"/>
  <c r="H30" i="14" s="1"/>
  <c r="G22" i="14"/>
  <c r="H22" i="14" s="1"/>
  <c r="G14" i="14"/>
  <c r="H14" i="14" s="1"/>
  <c r="G103" i="14"/>
  <c r="H103" i="14" s="1"/>
  <c r="G96" i="14"/>
  <c r="H96" i="14" s="1"/>
  <c r="G89" i="14"/>
  <c r="H89" i="14" s="1"/>
  <c r="G77" i="14"/>
  <c r="H77" i="14" s="1"/>
  <c r="G69" i="14"/>
  <c r="H69" i="14" s="1"/>
  <c r="G61" i="14"/>
  <c r="H61" i="14" s="1"/>
  <c r="G49" i="14"/>
  <c r="H49" i="14" s="1"/>
  <c r="G41" i="14"/>
  <c r="H41" i="14" s="1"/>
  <c r="G29" i="14"/>
  <c r="H29" i="14" s="1"/>
  <c r="G21" i="14"/>
  <c r="H21" i="14" s="1"/>
  <c r="G13" i="14"/>
  <c r="H13" i="14" s="1"/>
  <c r="G121" i="14"/>
  <c r="H121" i="14" s="1"/>
  <c r="G24" i="17"/>
  <c r="H24" i="17" s="1"/>
  <c r="AB24" i="17" s="1"/>
  <c r="G10" i="17"/>
  <c r="H10" i="17" s="1"/>
  <c r="G14" i="17"/>
  <c r="H14" i="17" s="1"/>
  <c r="W14" i="17" s="1"/>
  <c r="X14" i="17" s="1"/>
  <c r="G18" i="17"/>
  <c r="G22" i="17"/>
  <c r="H22" i="17" s="1"/>
  <c r="G26" i="17"/>
  <c r="H26" i="17" s="1"/>
  <c r="G9" i="17"/>
  <c r="H9" i="17" s="1"/>
  <c r="AB9" i="17" s="1"/>
  <c r="G13" i="17"/>
  <c r="H13" i="17" s="1"/>
  <c r="AB13" i="17" s="1"/>
  <c r="G17" i="17"/>
  <c r="H17" i="17" s="1"/>
  <c r="G21" i="17"/>
  <c r="G25" i="17"/>
  <c r="H25" i="17" s="1"/>
  <c r="W25" i="17" s="1"/>
  <c r="X25" i="17" s="1"/>
  <c r="G12" i="17"/>
  <c r="H12" i="17" s="1"/>
  <c r="W12" i="17" s="1"/>
  <c r="X12" i="17" s="1"/>
  <c r="G16" i="17"/>
  <c r="H16" i="17" s="1"/>
  <c r="G20" i="17"/>
  <c r="G11" i="17"/>
  <c r="G15" i="17"/>
  <c r="H15" i="17" s="1"/>
  <c r="AB15" i="17" s="1"/>
  <c r="G19" i="17"/>
  <c r="G23" i="17"/>
  <c r="H23" i="17" s="1"/>
  <c r="AD53" i="17"/>
  <c r="I53" i="17" s="1"/>
  <c r="AD31" i="17"/>
  <c r="I31" i="17" s="1"/>
  <c r="AD40" i="17"/>
  <c r="I40" i="17" s="1"/>
  <c r="AD48" i="17"/>
  <c r="I48" i="17" s="1"/>
  <c r="AD79" i="17"/>
  <c r="I79" i="17" s="1"/>
  <c r="AD81" i="17"/>
  <c r="I81" i="17" s="1"/>
  <c r="AD35" i="17"/>
  <c r="I35" i="17" s="1"/>
  <c r="AD60" i="17"/>
  <c r="I60" i="17" s="1"/>
  <c r="AD39" i="17"/>
  <c r="I39" i="17" s="1"/>
  <c r="AD56" i="17"/>
  <c r="I56" i="17" s="1"/>
  <c r="AD72" i="17"/>
  <c r="I72" i="17" s="1"/>
  <c r="AD74" i="17"/>
  <c r="I74" i="17" s="1"/>
  <c r="AD57" i="17"/>
  <c r="I57" i="17" s="1"/>
  <c r="AD61" i="17"/>
  <c r="I61" i="17" s="1"/>
  <c r="AD64" i="17"/>
  <c r="I64" i="17" s="1"/>
  <c r="AD67" i="17"/>
  <c r="I67" i="17" s="1"/>
  <c r="AD69" i="17"/>
  <c r="I69" i="17" s="1"/>
  <c r="AD76" i="17"/>
  <c r="I76" i="17" s="1"/>
  <c r="AD78" i="17"/>
  <c r="I78" i="17" s="1"/>
  <c r="AD83" i="17"/>
  <c r="I83" i="17" s="1"/>
  <c r="AD85" i="17"/>
  <c r="I85" i="17" s="1"/>
  <c r="AD87" i="17"/>
  <c r="I87" i="17" s="1"/>
  <c r="AD89" i="17"/>
  <c r="I89" i="17" s="1"/>
  <c r="AD91" i="17"/>
  <c r="I91" i="17" s="1"/>
  <c r="AD93" i="17"/>
  <c r="I93" i="17" s="1"/>
  <c r="AD95" i="17"/>
  <c r="I95" i="17" s="1"/>
  <c r="AD97" i="17"/>
  <c r="I97" i="17" s="1"/>
  <c r="AD99" i="17"/>
  <c r="I99" i="17" s="1"/>
  <c r="AD101" i="17"/>
  <c r="I101" i="17" s="1"/>
  <c r="AD103" i="17"/>
  <c r="I103" i="17" s="1"/>
  <c r="AD105" i="17"/>
  <c r="I105" i="17" s="1"/>
  <c r="AD107" i="17"/>
  <c r="I107" i="17" s="1"/>
  <c r="AD109" i="17"/>
  <c r="I109" i="17" s="1"/>
  <c r="AD111" i="17"/>
  <c r="I111" i="17" s="1"/>
  <c r="AD113" i="17"/>
  <c r="I113" i="17" s="1"/>
  <c r="AD43" i="17"/>
  <c r="I43" i="17" s="1"/>
  <c r="AD44" i="17"/>
  <c r="I44" i="17" s="1"/>
  <c r="N44" i="17" s="1"/>
  <c r="AD47" i="17"/>
  <c r="I47" i="17" s="1"/>
  <c r="AD50" i="17"/>
  <c r="I50" i="17" s="1"/>
  <c r="AD33" i="17"/>
  <c r="I33" i="17" s="1"/>
  <c r="AD37" i="17"/>
  <c r="I37" i="17" s="1"/>
  <c r="AD49" i="17"/>
  <c r="I49" i="17" s="1"/>
  <c r="AD52" i="17"/>
  <c r="I52" i="17" s="1"/>
  <c r="AD66" i="17"/>
  <c r="I66" i="17" s="1"/>
  <c r="AD71" i="17"/>
  <c r="I71" i="17" s="1"/>
  <c r="J71" i="17" s="1"/>
  <c r="AD73" i="17"/>
  <c r="I73" i="17" s="1"/>
  <c r="AD80" i="17"/>
  <c r="I80" i="17" s="1"/>
  <c r="AD82" i="17"/>
  <c r="I82" i="17" s="1"/>
  <c r="AD51" i="17"/>
  <c r="I51" i="17" s="1"/>
  <c r="AD65" i="17"/>
  <c r="I65" i="17" s="1"/>
  <c r="AD68" i="17"/>
  <c r="I68" i="17" s="1"/>
  <c r="AD70" i="17"/>
  <c r="I70" i="17" s="1"/>
  <c r="AD75" i="17"/>
  <c r="I75" i="17" s="1"/>
  <c r="AD77" i="17"/>
  <c r="I77" i="17" s="1"/>
  <c r="AD84" i="17"/>
  <c r="I84" i="17" s="1"/>
  <c r="N84" i="17" s="1"/>
  <c r="AD86" i="17"/>
  <c r="I86" i="17" s="1"/>
  <c r="AD88" i="17"/>
  <c r="I88" i="17" s="1"/>
  <c r="AD90" i="17"/>
  <c r="I90" i="17" s="1"/>
  <c r="AD92" i="17"/>
  <c r="I92" i="17" s="1"/>
  <c r="AD94" i="17"/>
  <c r="I94" i="17" s="1"/>
  <c r="AD96" i="17"/>
  <c r="I96" i="17" s="1"/>
  <c r="AD98" i="17"/>
  <c r="I98" i="17" s="1"/>
  <c r="AD100" i="17"/>
  <c r="I100" i="17" s="1"/>
  <c r="AD102" i="17"/>
  <c r="I102" i="17" s="1"/>
  <c r="AD104" i="17"/>
  <c r="I104" i="17" s="1"/>
  <c r="AD106" i="17"/>
  <c r="I106" i="17" s="1"/>
  <c r="AD108" i="17"/>
  <c r="I108" i="17" s="1"/>
  <c r="AD110" i="17"/>
  <c r="I110" i="17" s="1"/>
  <c r="AD112" i="17"/>
  <c r="I112" i="17" s="1"/>
  <c r="AD114" i="17"/>
  <c r="I114" i="17" s="1"/>
  <c r="V27" i="17"/>
  <c r="Z29" i="17"/>
  <c r="Y29" i="17"/>
  <c r="U29" i="17"/>
  <c r="AB29" i="17"/>
  <c r="AB27" i="17"/>
  <c r="W27" i="17"/>
  <c r="X27" i="17" s="1"/>
  <c r="Z27" i="17"/>
  <c r="Y27" i="17"/>
  <c r="W28" i="17"/>
  <c r="X28" i="17" s="1"/>
  <c r="Z28" i="17"/>
  <c r="Y28" i="17"/>
  <c r="U28" i="17"/>
  <c r="AD32" i="17"/>
  <c r="I32" i="17" s="1"/>
  <c r="AD36" i="17"/>
  <c r="I36" i="17" s="1"/>
  <c r="AD41" i="17"/>
  <c r="I41" i="17" s="1"/>
  <c r="AD45" i="17"/>
  <c r="I45" i="17" s="1"/>
  <c r="AD46" i="17"/>
  <c r="I46" i="17" s="1"/>
  <c r="AB28" i="17"/>
  <c r="W29" i="17"/>
  <c r="X29" i="17" s="1"/>
  <c r="AD30" i="17"/>
  <c r="I30" i="17" s="1"/>
  <c r="AD34" i="17"/>
  <c r="I34" i="17" s="1"/>
  <c r="AD38" i="17"/>
  <c r="I38" i="17" s="1"/>
  <c r="AD42" i="17"/>
  <c r="I42" i="17" s="1"/>
  <c r="T124" i="17"/>
  <c r="T121" i="17"/>
  <c r="AD54" i="17"/>
  <c r="I54" i="17" s="1"/>
  <c r="AD58" i="17"/>
  <c r="I58" i="17" s="1"/>
  <c r="AD62" i="17"/>
  <c r="I62" i="17" s="1"/>
  <c r="AD55" i="17"/>
  <c r="I55" i="17" s="1"/>
  <c r="AD59" i="17"/>
  <c r="I59" i="17" s="1"/>
  <c r="AD63" i="17"/>
  <c r="I63" i="17" s="1"/>
  <c r="F13" i="1"/>
  <c r="G6" i="2" s="1"/>
  <c r="H173" i="6"/>
  <c r="H120" i="6"/>
  <c r="H88" i="6"/>
  <c r="H58" i="6"/>
  <c r="H150" i="6"/>
  <c r="H175" i="6"/>
  <c r="H122" i="6"/>
  <c r="H90" i="6"/>
  <c r="H60" i="6"/>
  <c r="H124" i="6"/>
  <c r="H75" i="6"/>
  <c r="H174" i="6"/>
  <c r="H170" i="6"/>
  <c r="H121" i="6"/>
  <c r="H89" i="6"/>
  <c r="H67" i="6"/>
  <c r="H59" i="6"/>
  <c r="O126" i="6"/>
  <c r="O73" i="6"/>
  <c r="O161" i="6"/>
  <c r="O151" i="6"/>
  <c r="O127" i="6"/>
  <c r="O108" i="6"/>
  <c r="O84" i="6"/>
  <c r="O35" i="6"/>
  <c r="H54" i="6"/>
  <c r="O74" i="6"/>
  <c r="O71" i="6"/>
  <c r="O163" i="6"/>
  <c r="O156" i="6"/>
  <c r="O153" i="6"/>
  <c r="O144" i="6"/>
  <c r="O129" i="6"/>
  <c r="O110" i="6"/>
  <c r="O86" i="6"/>
  <c r="O56" i="6"/>
  <c r="H56" i="6" s="1"/>
  <c r="H70" i="6"/>
  <c r="H162" i="6"/>
  <c r="H109" i="6"/>
  <c r="H85" i="6"/>
  <c r="H55" i="6"/>
  <c r="H146" i="6"/>
  <c r="H77" i="6"/>
  <c r="H176" i="6"/>
  <c r="H123" i="6"/>
  <c r="H91" i="6"/>
  <c r="H61" i="6"/>
  <c r="H125" i="6"/>
  <c r="H72" i="6"/>
  <c r="H164" i="6"/>
  <c r="H111" i="6"/>
  <c r="H87" i="6"/>
  <c r="H57" i="6"/>
  <c r="L157" i="6"/>
  <c r="M157" i="6" s="1" a="1"/>
  <c r="M157" i="6" s="1"/>
  <c r="L170" i="6"/>
  <c r="M170" i="6" s="1" a="1"/>
  <c r="M170" i="6" s="1"/>
  <c r="L75" i="6"/>
  <c r="M75" i="6" s="1" a="1"/>
  <c r="M75" i="6" s="1"/>
  <c r="L139" i="6"/>
  <c r="M139" i="6" s="1" a="1"/>
  <c r="M139" i="6" s="1"/>
  <c r="L67" i="6"/>
  <c r="M67" i="6" s="1" a="1"/>
  <c r="M67" i="6" s="1"/>
  <c r="L73" i="6"/>
  <c r="M73" i="6" s="1" a="1"/>
  <c r="M73" i="6" s="1"/>
  <c r="L127" i="6"/>
  <c r="M127" i="6" s="1" a="1"/>
  <c r="M127" i="6" s="1"/>
  <c r="L54" i="6"/>
  <c r="M54" i="6" s="1" a="1"/>
  <c r="M54" i="6" s="1"/>
  <c r="L125" i="6"/>
  <c r="M125" i="6" s="1" a="1"/>
  <c r="M125" i="6" s="1"/>
  <c r="L130" i="6"/>
  <c r="M130" i="6" s="1" a="1"/>
  <c r="M130" i="6" s="1"/>
  <c r="L87" i="6"/>
  <c r="M87" i="6" s="1" a="1"/>
  <c r="M87" i="6" s="1"/>
  <c r="L35" i="6"/>
  <c r="M35" i="6" s="1" a="1"/>
  <c r="M35" i="6" s="1"/>
  <c r="L124" i="6"/>
  <c r="M124" i="6" s="1" a="1"/>
  <c r="M124" i="6" s="1"/>
  <c r="L174" i="6"/>
  <c r="M174" i="6" s="1" a="1"/>
  <c r="M174" i="6" s="1"/>
  <c r="L158" i="6"/>
  <c r="M158" i="6" s="1" a="1"/>
  <c r="M158" i="6" s="1"/>
  <c r="L147" i="6"/>
  <c r="M147" i="6" s="1" a="1"/>
  <c r="M147" i="6" s="1"/>
  <c r="L121" i="6"/>
  <c r="M121" i="6" s="1" a="1"/>
  <c r="M121" i="6" s="1"/>
  <c r="L89" i="6"/>
  <c r="M89" i="6" s="1" a="1"/>
  <c r="M89" i="6" s="1"/>
  <c r="L59" i="6"/>
  <c r="M59" i="6" s="1" a="1"/>
  <c r="M59" i="6" s="1"/>
  <c r="L126" i="6"/>
  <c r="M126" i="6" s="1" a="1"/>
  <c r="M126" i="6" s="1"/>
  <c r="L161" i="6"/>
  <c r="M161" i="6" s="1" a="1"/>
  <c r="M161" i="6" s="1"/>
  <c r="L151" i="6"/>
  <c r="M151" i="6" s="1" a="1"/>
  <c r="M151" i="6" s="1"/>
  <c r="L142" i="6"/>
  <c r="M142" i="6" s="1" a="1"/>
  <c r="M142" i="6" s="1"/>
  <c r="L108" i="6"/>
  <c r="M108" i="6" s="1" a="1"/>
  <c r="M108" i="6" s="1"/>
  <c r="L84" i="6"/>
  <c r="M84" i="6" s="1" a="1"/>
  <c r="M84" i="6" s="1"/>
  <c r="L72" i="6"/>
  <c r="M72" i="6" s="1" a="1"/>
  <c r="M72" i="6" s="1"/>
  <c r="L164" i="6"/>
  <c r="M164" i="6" s="1" a="1"/>
  <c r="M164" i="6" s="1"/>
  <c r="L154" i="6"/>
  <c r="M154" i="6" s="1" a="1"/>
  <c r="M154" i="6" s="1"/>
  <c r="L145" i="6"/>
  <c r="M145" i="6" s="1" a="1"/>
  <c r="M145" i="6" s="1"/>
  <c r="L111" i="6"/>
  <c r="M111" i="6" s="1" a="1"/>
  <c r="M111" i="6" s="1"/>
  <c r="L57" i="6"/>
  <c r="M57" i="6" s="1" a="1"/>
  <c r="M57" i="6" s="1"/>
  <c r="L79" i="6"/>
  <c r="M79" i="6" s="1" a="1"/>
  <c r="M79" i="6" s="1"/>
  <c r="L143" i="6"/>
  <c r="M143" i="6" s="1" a="1"/>
  <c r="M143" i="6" s="1"/>
  <c r="L109" i="6"/>
  <c r="M109" i="6" s="1" a="1"/>
  <c r="M109" i="6" s="1"/>
  <c r="L78" i="6"/>
  <c r="M78" i="6" s="1" a="1"/>
  <c r="M78" i="6" s="1"/>
  <c r="L173" i="6"/>
  <c r="M173" i="6" s="1" a="1"/>
  <c r="M173" i="6" s="1"/>
  <c r="L169" i="6"/>
  <c r="M169" i="6" s="1" a="1"/>
  <c r="M169" i="6" s="1"/>
  <c r="L120" i="6"/>
  <c r="M120" i="6" s="1" a="1"/>
  <c r="M120" i="6" s="1"/>
  <c r="L88" i="6"/>
  <c r="M88" i="6" s="1" a="1"/>
  <c r="M88" i="6" s="1"/>
  <c r="L66" i="6"/>
  <c r="M66" i="6" s="1" a="1"/>
  <c r="M66" i="6" s="1"/>
  <c r="L58" i="6"/>
  <c r="M58" i="6" s="1" a="1"/>
  <c r="M58" i="6" s="1"/>
  <c r="L155" i="6"/>
  <c r="M155" i="6" s="1" a="1"/>
  <c r="M155" i="6" s="1"/>
  <c r="L55" i="6"/>
  <c r="M55" i="6" s="1" a="1"/>
  <c r="M55" i="6" s="1"/>
  <c r="L146" i="6"/>
  <c r="M146" i="6" s="1" a="1"/>
  <c r="M146" i="6" s="1"/>
  <c r="L149" i="6"/>
  <c r="M149" i="6" s="1" a="1"/>
  <c r="M149" i="6" s="1"/>
  <c r="L150" i="6"/>
  <c r="M150" i="6" s="1" a="1"/>
  <c r="M150" i="6" s="1"/>
  <c r="L76" i="6"/>
  <c r="M76" i="6" s="1" a="1"/>
  <c r="M76" i="6" s="1"/>
  <c r="L175" i="6"/>
  <c r="M175" i="6" s="1" a="1"/>
  <c r="M175" i="6" s="1"/>
  <c r="L159" i="6"/>
  <c r="M159" i="6" s="1" a="1"/>
  <c r="M159" i="6" s="1"/>
  <c r="L171" i="6"/>
  <c r="M171" i="6" s="1" a="1"/>
  <c r="M171" i="6" s="1"/>
  <c r="L148" i="6"/>
  <c r="M148" i="6" s="1" a="1"/>
  <c r="M148" i="6" s="1"/>
  <c r="L140" i="6"/>
  <c r="M140" i="6" s="1" a="1"/>
  <c r="M140" i="6" s="1"/>
  <c r="L122" i="6"/>
  <c r="M122" i="6" s="1" a="1"/>
  <c r="M122" i="6" s="1"/>
  <c r="L90" i="6"/>
  <c r="M90" i="6" s="1" a="1"/>
  <c r="M90" i="6" s="1"/>
  <c r="L68" i="6"/>
  <c r="M68" i="6" s="1" a="1"/>
  <c r="M68" i="6" s="1"/>
  <c r="L60" i="6"/>
  <c r="M60" i="6" s="1" a="1"/>
  <c r="M60" i="6" s="1"/>
  <c r="L162" i="6"/>
  <c r="M162" i="6" s="1" a="1"/>
  <c r="M162" i="6" s="1"/>
  <c r="L172" i="6"/>
  <c r="M172" i="6" s="1" a="1"/>
  <c r="M172" i="6" s="1"/>
  <c r="L70" i="6"/>
  <c r="M70" i="6" s="1" a="1"/>
  <c r="M70" i="6" s="1"/>
  <c r="L128" i="6"/>
  <c r="M128" i="6" s="1" a="1"/>
  <c r="M128" i="6" s="1"/>
  <c r="L85" i="6"/>
  <c r="M85" i="6" s="1" a="1"/>
  <c r="M85" i="6" s="1"/>
  <c r="L160" i="6"/>
  <c r="M160" i="6" s="1" a="1"/>
  <c r="M160" i="6" s="1"/>
  <c r="L123" i="6"/>
  <c r="M123" i="6" s="1" a="1"/>
  <c r="M123" i="6" s="1"/>
  <c r="L61" i="6"/>
  <c r="M61" i="6" s="1" a="1"/>
  <c r="M61" i="6" s="1"/>
  <c r="L152" i="6"/>
  <c r="M152" i="6" s="1" a="1"/>
  <c r="M152" i="6" s="1"/>
  <c r="L77" i="6"/>
  <c r="M77" i="6" s="1" a="1"/>
  <c r="M77" i="6" s="1"/>
  <c r="L91" i="6"/>
  <c r="M91" i="6" s="1" a="1"/>
  <c r="M91" i="6" s="1"/>
  <c r="L176" i="6"/>
  <c r="M176" i="6" s="1" a="1"/>
  <c r="M176" i="6" s="1"/>
  <c r="L141" i="6"/>
  <c r="M141" i="6" s="1" a="1"/>
  <c r="M141" i="6" s="1"/>
  <c r="L69" i="6"/>
  <c r="M69" i="6" s="1" a="1"/>
  <c r="M69" i="6" s="1"/>
  <c r="L74" i="6"/>
  <c r="M74" i="6" s="1" a="1"/>
  <c r="M74" i="6" s="1"/>
  <c r="L71" i="6"/>
  <c r="M71" i="6" s="1" a="1"/>
  <c r="M71" i="6" s="1"/>
  <c r="L163" i="6"/>
  <c r="M163" i="6" s="1" a="1"/>
  <c r="M163" i="6" s="1"/>
  <c r="L156" i="6"/>
  <c r="M156" i="6" s="1" a="1"/>
  <c r="M156" i="6" s="1"/>
  <c r="L153" i="6"/>
  <c r="M153" i="6" s="1" a="1"/>
  <c r="M153" i="6" s="1"/>
  <c r="L144" i="6"/>
  <c r="M144" i="6" s="1" a="1"/>
  <c r="M144" i="6" s="1"/>
  <c r="L129" i="6"/>
  <c r="M129" i="6" s="1" a="1"/>
  <c r="M129" i="6" s="1"/>
  <c r="L110" i="6"/>
  <c r="M110" i="6" s="1" a="1"/>
  <c r="M110" i="6" s="1"/>
  <c r="L86" i="6"/>
  <c r="M86" i="6" s="1" a="1"/>
  <c r="M86" i="6" s="1"/>
  <c r="L56" i="6"/>
  <c r="M56" i="6" s="1" a="1"/>
  <c r="M56" i="6" s="1"/>
  <c r="L33" i="6"/>
  <c r="M33" i="6" s="1" a="1"/>
  <c r="M33" i="6" s="1"/>
  <c r="L48" i="6"/>
  <c r="M48" i="6" s="1" a="1"/>
  <c r="M48" i="6" s="1"/>
  <c r="L18" i="6"/>
  <c r="M18" i="6" s="1" a="1"/>
  <c r="M18" i="6" s="1"/>
  <c r="L119" i="6"/>
  <c r="M119" i="6" s="1" a="1"/>
  <c r="M119" i="6" s="1"/>
  <c r="L107" i="6"/>
  <c r="M107" i="6" s="1" a="1"/>
  <c r="M107" i="6" s="1"/>
  <c r="L99" i="6"/>
  <c r="M99" i="6" s="1" a="1"/>
  <c r="M99" i="6" s="1"/>
  <c r="L65" i="6"/>
  <c r="M65" i="6" s="1" a="1"/>
  <c r="M65" i="6" s="1"/>
  <c r="L49" i="6"/>
  <c r="M49" i="6" s="1" a="1"/>
  <c r="M49" i="6" s="1"/>
  <c r="L34" i="6"/>
  <c r="M34" i="6" s="1" a="1"/>
  <c r="M34" i="6" s="1"/>
  <c r="L17" i="6"/>
  <c r="M17" i="6" s="1" a="1"/>
  <c r="M17" i="6" s="1"/>
  <c r="L118" i="6"/>
  <c r="M118" i="6" s="1" a="1"/>
  <c r="M118" i="6" s="1"/>
  <c r="L106" i="6"/>
  <c r="M106" i="6" s="1" a="1"/>
  <c r="M106" i="6" s="1"/>
  <c r="L98" i="6"/>
  <c r="M98" i="6" s="1" a="1"/>
  <c r="M98" i="6" s="1"/>
  <c r="L64" i="6"/>
  <c r="M64" i="6" s="1" a="1"/>
  <c r="M64" i="6" s="1"/>
  <c r="L21" i="6"/>
  <c r="M21" i="6" s="1" a="1"/>
  <c r="M21" i="6" s="1"/>
  <c r="L135" i="6"/>
  <c r="M135" i="6" s="1" a="1"/>
  <c r="M135" i="6" s="1"/>
  <c r="L112" i="6"/>
  <c r="M112" i="6" s="1" a="1"/>
  <c r="M112" i="6" s="1"/>
  <c r="L100" i="6"/>
  <c r="M100" i="6" s="1" a="1"/>
  <c r="M100" i="6" s="1"/>
  <c r="L80" i="6"/>
  <c r="M80" i="6" s="1" a="1"/>
  <c r="M80" i="6" s="1"/>
  <c r="L50" i="6"/>
  <c r="M50" i="6" s="1" a="1"/>
  <c r="M50" i="6" s="1"/>
  <c r="L27" i="6"/>
  <c r="M27" i="6" s="1" a="1"/>
  <c r="M27" i="6" s="1"/>
  <c r="L23" i="6"/>
  <c r="M23" i="6" s="1" a="1"/>
  <c r="M23" i="6" s="1"/>
  <c r="L11" i="6"/>
  <c r="M11" i="6" s="1" a="1"/>
  <c r="M11" i="6" s="1"/>
  <c r="L22" i="6"/>
  <c r="M22" i="6" s="1" a="1"/>
  <c r="M22" i="6" s="1"/>
  <c r="L20" i="6"/>
  <c r="M20" i="6" s="1" a="1"/>
  <c r="M20" i="6" s="1"/>
  <c r="L16" i="6"/>
  <c r="L117" i="6"/>
  <c r="L105" i="6"/>
  <c r="M105" i="6" s="1" a="1"/>
  <c r="M105" i="6" s="1"/>
  <c r="L97" i="6"/>
  <c r="L63" i="6"/>
  <c r="M63" i="6" s="1" a="1"/>
  <c r="M63" i="6" s="1"/>
  <c r="L47" i="6"/>
  <c r="M47" i="6" s="1" a="1"/>
  <c r="M47" i="6" s="1"/>
  <c r="L32" i="6"/>
  <c r="L104" i="6"/>
  <c r="L62" i="6"/>
  <c r="L31" i="6"/>
  <c r="M31" i="6" s="1" a="1"/>
  <c r="M31" i="6" s="1"/>
  <c r="L15" i="6"/>
  <c r="L116" i="6"/>
  <c r="L96" i="6"/>
  <c r="M96" i="6" s="1" a="1"/>
  <c r="M96" i="6" s="1"/>
  <c r="L46" i="6"/>
  <c r="M46" i="6" s="1" a="1"/>
  <c r="M46" i="6" s="1"/>
  <c r="L30" i="6"/>
  <c r="L138" i="6"/>
  <c r="L26" i="6"/>
  <c r="L103" i="6"/>
  <c r="L115" i="6"/>
  <c r="M115" i="6" s="1" a="1"/>
  <c r="M115" i="6" s="1"/>
  <c r="L83" i="6"/>
  <c r="L38" i="6"/>
  <c r="L53" i="6"/>
  <c r="L19" i="6"/>
  <c r="L37" i="6"/>
  <c r="L137" i="6"/>
  <c r="L114" i="6"/>
  <c r="L102" i="6"/>
  <c r="L82" i="6"/>
  <c r="L52" i="6"/>
  <c r="L29" i="6"/>
  <c r="L25" i="6"/>
  <c r="L13" i="6"/>
  <c r="L36" i="6"/>
  <c r="L136" i="6"/>
  <c r="L113" i="6"/>
  <c r="L101" i="6"/>
  <c r="L81" i="6"/>
  <c r="L51" i="6"/>
  <c r="M51" i="6" s="1" a="1"/>
  <c r="M51" i="6" s="1"/>
  <c r="L28" i="6"/>
  <c r="L24" i="6"/>
  <c r="G9" i="2"/>
  <c r="H9" i="2" s="1"/>
  <c r="G11" i="2"/>
  <c r="H11" i="2" s="1"/>
  <c r="G13" i="2"/>
  <c r="H13" i="2" s="1"/>
  <c r="G12" i="2"/>
  <c r="H12" i="2" s="1"/>
  <c r="G10" i="2"/>
  <c r="H10" i="2" s="1"/>
  <c r="G14" i="2"/>
  <c r="H14" i="2" s="1"/>
  <c r="AB24" i="2"/>
  <c r="I24" i="2" s="1"/>
  <c r="AB20" i="2"/>
  <c r="I20" i="2" s="1"/>
  <c r="J20" i="2" s="1"/>
  <c r="AB27" i="2"/>
  <c r="I27" i="2" s="1"/>
  <c r="AB22" i="2"/>
  <c r="I22" i="2" s="1"/>
  <c r="AB19" i="2"/>
  <c r="AB9" i="2"/>
  <c r="AB26" i="2"/>
  <c r="I26" i="2" s="1"/>
  <c r="J26" i="2" s="1"/>
  <c r="AB11" i="2"/>
  <c r="AB18" i="2"/>
  <c r="I18" i="2" s="1"/>
  <c r="AB28" i="2"/>
  <c r="I28" i="2" s="1"/>
  <c r="AB30" i="2"/>
  <c r="AB32" i="2"/>
  <c r="I32" i="2" s="1"/>
  <c r="AB12" i="2"/>
  <c r="AB13" i="2"/>
  <c r="AB21" i="2"/>
  <c r="I21" i="2" s="1"/>
  <c r="AB33" i="2"/>
  <c r="AB10" i="2"/>
  <c r="AB16" i="2"/>
  <c r="I16" i="2" s="1"/>
  <c r="AB14" i="2"/>
  <c r="AB25" i="2"/>
  <c r="I25" i="2" s="1"/>
  <c r="AB15" i="2"/>
  <c r="I15" i="2" s="1"/>
  <c r="AB17" i="2"/>
  <c r="H19" i="2"/>
  <c r="R9" i="2"/>
  <c r="H17" i="2"/>
  <c r="H30" i="2"/>
  <c r="AB23" i="2"/>
  <c r="I23" i="2" s="1"/>
  <c r="AB29" i="2"/>
  <c r="I29" i="2" s="1"/>
  <c r="AB31" i="2"/>
  <c r="I31" i="2" s="1"/>
  <c r="H33" i="2"/>
  <c r="M28" i="2" l="1"/>
  <c r="N28" i="2" s="1"/>
  <c r="O28" i="2" s="1"/>
  <c r="I155" i="14"/>
  <c r="H155" i="14"/>
  <c r="O155" i="20"/>
  <c r="L155" i="20"/>
  <c r="P155" i="20"/>
  <c r="O152" i="20"/>
  <c r="P152" i="20"/>
  <c r="L152" i="20"/>
  <c r="P154" i="20"/>
  <c r="L154" i="20"/>
  <c r="O154" i="20"/>
  <c r="I152" i="14"/>
  <c r="H152" i="14"/>
  <c r="I154" i="14"/>
  <c r="H154" i="14"/>
  <c r="I153" i="14"/>
  <c r="H153" i="14"/>
  <c r="L153" i="20"/>
  <c r="O153" i="20"/>
  <c r="P153" i="20"/>
  <c r="L151" i="20"/>
  <c r="O151" i="20"/>
  <c r="P151" i="20"/>
  <c r="AE149" i="20"/>
  <c r="AH149" i="20" s="1"/>
  <c r="J149" i="20" s="1"/>
  <c r="I145" i="14"/>
  <c r="H145" i="14"/>
  <c r="I146" i="14"/>
  <c r="H146" i="14"/>
  <c r="I151" i="14"/>
  <c r="H151" i="14"/>
  <c r="H147" i="14"/>
  <c r="I147" i="14"/>
  <c r="O145" i="20"/>
  <c r="L145" i="20"/>
  <c r="P145" i="20"/>
  <c r="P144" i="20"/>
  <c r="O144" i="20"/>
  <c r="L144" i="20"/>
  <c r="I148" i="14"/>
  <c r="H148" i="14"/>
  <c r="I150" i="14"/>
  <c r="H150" i="14"/>
  <c r="L147" i="20"/>
  <c r="O147" i="20"/>
  <c r="P147" i="20"/>
  <c r="L146" i="20"/>
  <c r="O146" i="20"/>
  <c r="P146" i="20"/>
  <c r="H150" i="20"/>
  <c r="AH150" i="20" s="1"/>
  <c r="I150" i="20"/>
  <c r="AE148" i="20"/>
  <c r="AH148" i="20" s="1"/>
  <c r="J148" i="20" s="1"/>
  <c r="I144" i="14"/>
  <c r="H144" i="14"/>
  <c r="I149" i="14"/>
  <c r="H149" i="14"/>
  <c r="P131" i="20"/>
  <c r="L131" i="20"/>
  <c r="O131" i="20"/>
  <c r="P143" i="20"/>
  <c r="O143" i="20"/>
  <c r="L143" i="20"/>
  <c r="P129" i="20"/>
  <c r="O129" i="20"/>
  <c r="L129" i="20"/>
  <c r="P130" i="20"/>
  <c r="L130" i="20"/>
  <c r="O130" i="20"/>
  <c r="O140" i="20"/>
  <c r="L140" i="20"/>
  <c r="P140" i="20"/>
  <c r="P138" i="20"/>
  <c r="L138" i="20"/>
  <c r="O138" i="20"/>
  <c r="I132" i="14"/>
  <c r="H132" i="14"/>
  <c r="L137" i="20"/>
  <c r="P137" i="20"/>
  <c r="O137" i="20"/>
  <c r="I138" i="14"/>
  <c r="H138" i="14"/>
  <c r="P133" i="20"/>
  <c r="L133" i="20"/>
  <c r="O133" i="20"/>
  <c r="P132" i="20"/>
  <c r="O132" i="20"/>
  <c r="L132" i="20"/>
  <c r="H136" i="14"/>
  <c r="I136" i="14"/>
  <c r="I134" i="14"/>
  <c r="H134" i="14"/>
  <c r="I137" i="14"/>
  <c r="H137" i="14"/>
  <c r="H133" i="14"/>
  <c r="I133" i="14"/>
  <c r="H140" i="14"/>
  <c r="I140" i="14"/>
  <c r="L139" i="20"/>
  <c r="P139" i="20"/>
  <c r="O139" i="20"/>
  <c r="P134" i="20"/>
  <c r="L134" i="20"/>
  <c r="O134" i="20"/>
  <c r="P135" i="20"/>
  <c r="O135" i="20"/>
  <c r="L135" i="20"/>
  <c r="I143" i="14"/>
  <c r="H143" i="14"/>
  <c r="H139" i="14"/>
  <c r="I139" i="14"/>
  <c r="I135" i="14"/>
  <c r="H135" i="14"/>
  <c r="I142" i="14"/>
  <c r="H142" i="14"/>
  <c r="O128" i="20"/>
  <c r="L128" i="20"/>
  <c r="P128" i="20"/>
  <c r="L136" i="20"/>
  <c r="P136" i="20"/>
  <c r="O136" i="20"/>
  <c r="P141" i="20"/>
  <c r="O141" i="20"/>
  <c r="L141" i="20"/>
  <c r="O142" i="20"/>
  <c r="P142" i="20"/>
  <c r="L142" i="20"/>
  <c r="I141" i="14"/>
  <c r="H141" i="14"/>
  <c r="I130" i="14"/>
  <c r="H130" i="14"/>
  <c r="I128" i="14"/>
  <c r="H128" i="14"/>
  <c r="I129" i="14"/>
  <c r="H129" i="14"/>
  <c r="I131" i="14"/>
  <c r="H131" i="14"/>
  <c r="H114" i="19"/>
  <c r="I114" i="19"/>
  <c r="I108" i="19"/>
  <c r="H108" i="19"/>
  <c r="O122" i="20"/>
  <c r="P122" i="20"/>
  <c r="L122" i="20"/>
  <c r="P119" i="20"/>
  <c r="L119" i="20"/>
  <c r="O119" i="20"/>
  <c r="P113" i="20"/>
  <c r="O113" i="20"/>
  <c r="L113" i="20"/>
  <c r="I58" i="19"/>
  <c r="H58" i="19"/>
  <c r="I113" i="19"/>
  <c r="H113" i="19"/>
  <c r="O110" i="20"/>
  <c r="P110" i="20"/>
  <c r="L110" i="20"/>
  <c r="H124" i="19"/>
  <c r="I124" i="19"/>
  <c r="H112" i="19"/>
  <c r="I112" i="19"/>
  <c r="O111" i="20"/>
  <c r="P111" i="20"/>
  <c r="L111" i="20"/>
  <c r="H99" i="19"/>
  <c r="I99" i="19"/>
  <c r="H17" i="19"/>
  <c r="I17" i="19"/>
  <c r="I13" i="19"/>
  <c r="H13" i="19"/>
  <c r="H29" i="19"/>
  <c r="I29" i="19"/>
  <c r="H47" i="19"/>
  <c r="I47" i="19"/>
  <c r="H60" i="19"/>
  <c r="I60" i="19"/>
  <c r="I23" i="19"/>
  <c r="H23" i="19"/>
  <c r="I43" i="19"/>
  <c r="H43" i="19"/>
  <c r="H42" i="19"/>
  <c r="I42" i="19"/>
  <c r="I73" i="19"/>
  <c r="H73" i="19"/>
  <c r="I92" i="19"/>
  <c r="H92" i="19"/>
  <c r="I39" i="19"/>
  <c r="H39" i="19"/>
  <c r="H69" i="19"/>
  <c r="I69" i="19"/>
  <c r="I75" i="19"/>
  <c r="H75" i="19"/>
  <c r="H65" i="19"/>
  <c r="I65" i="19"/>
  <c r="I36" i="19"/>
  <c r="H36" i="19"/>
  <c r="H9" i="19"/>
  <c r="I9" i="19"/>
  <c r="I67" i="19"/>
  <c r="H67" i="19"/>
  <c r="H83" i="19"/>
  <c r="I83" i="19"/>
  <c r="I11" i="19"/>
  <c r="H11" i="19"/>
  <c r="H77" i="19"/>
  <c r="I77" i="19"/>
  <c r="H10" i="19"/>
  <c r="I10" i="19"/>
  <c r="I21" i="19"/>
  <c r="H21" i="19"/>
  <c r="I55" i="19"/>
  <c r="H55" i="19"/>
  <c r="L22" i="20"/>
  <c r="P22" i="20"/>
  <c r="O22" i="20"/>
  <c r="P99" i="20"/>
  <c r="O99" i="20"/>
  <c r="L99" i="20"/>
  <c r="P21" i="20"/>
  <c r="O21" i="20"/>
  <c r="L21" i="20"/>
  <c r="O45" i="20"/>
  <c r="L45" i="20"/>
  <c r="P45" i="20"/>
  <c r="P77" i="20"/>
  <c r="L77" i="20"/>
  <c r="O77" i="20"/>
  <c r="P94" i="20"/>
  <c r="O94" i="20"/>
  <c r="L94" i="20"/>
  <c r="O33" i="20"/>
  <c r="P33" i="20"/>
  <c r="L33" i="20"/>
  <c r="H50" i="20"/>
  <c r="AH50" i="20" s="1"/>
  <c r="I50" i="20"/>
  <c r="O65" i="20"/>
  <c r="L65" i="20"/>
  <c r="P65" i="20"/>
  <c r="P98" i="20"/>
  <c r="O98" i="20"/>
  <c r="L98" i="20"/>
  <c r="L35" i="20"/>
  <c r="O35" i="20"/>
  <c r="P35" i="20"/>
  <c r="P59" i="20"/>
  <c r="L59" i="20"/>
  <c r="O59" i="20"/>
  <c r="L105" i="20"/>
  <c r="O105" i="20"/>
  <c r="P105" i="20"/>
  <c r="P30" i="20"/>
  <c r="L30" i="20"/>
  <c r="O30" i="20"/>
  <c r="P53" i="20"/>
  <c r="O53" i="20"/>
  <c r="L53" i="20"/>
  <c r="P79" i="20"/>
  <c r="O79" i="20"/>
  <c r="L79" i="20"/>
  <c r="L95" i="20"/>
  <c r="O95" i="20"/>
  <c r="P95" i="20"/>
  <c r="O11" i="20"/>
  <c r="L11" i="20"/>
  <c r="P11" i="20"/>
  <c r="O24" i="20"/>
  <c r="L24" i="20"/>
  <c r="P24" i="20"/>
  <c r="P41" i="20"/>
  <c r="O41" i="20"/>
  <c r="L41" i="20"/>
  <c r="H54" i="20"/>
  <c r="AH54" i="20" s="1"/>
  <c r="I54" i="20"/>
  <c r="L71" i="20"/>
  <c r="P71" i="20"/>
  <c r="O71" i="20"/>
  <c r="O83" i="20"/>
  <c r="L83" i="20"/>
  <c r="P83" i="20"/>
  <c r="L92" i="20"/>
  <c r="O92" i="20"/>
  <c r="P92" i="20"/>
  <c r="L117" i="20"/>
  <c r="O117" i="20"/>
  <c r="P117" i="20"/>
  <c r="L127" i="20"/>
  <c r="O127" i="20"/>
  <c r="P127" i="20"/>
  <c r="H111" i="19"/>
  <c r="I111" i="19"/>
  <c r="I121" i="19"/>
  <c r="H121" i="19"/>
  <c r="I57" i="19"/>
  <c r="H57" i="19"/>
  <c r="L112" i="20"/>
  <c r="O112" i="20"/>
  <c r="P112" i="20"/>
  <c r="L123" i="20"/>
  <c r="O123" i="20"/>
  <c r="P123" i="20"/>
  <c r="I120" i="19"/>
  <c r="H120" i="19"/>
  <c r="O115" i="20"/>
  <c r="L115" i="20"/>
  <c r="P115" i="20"/>
  <c r="P124" i="20"/>
  <c r="L124" i="20"/>
  <c r="O124" i="20"/>
  <c r="I53" i="19"/>
  <c r="H53" i="19"/>
  <c r="I51" i="19"/>
  <c r="H51" i="19"/>
  <c r="H33" i="19"/>
  <c r="I33" i="19"/>
  <c r="I94" i="19"/>
  <c r="H94" i="19"/>
  <c r="I91" i="19"/>
  <c r="H91" i="19"/>
  <c r="I86" i="19"/>
  <c r="H86" i="19"/>
  <c r="I90" i="19"/>
  <c r="H90" i="19"/>
  <c r="H35" i="19"/>
  <c r="I35" i="19"/>
  <c r="I19" i="19"/>
  <c r="H19" i="19"/>
  <c r="H41" i="19"/>
  <c r="I41" i="19"/>
  <c r="I84" i="19"/>
  <c r="H84" i="19"/>
  <c r="I15" i="19"/>
  <c r="H15" i="19"/>
  <c r="I38" i="19"/>
  <c r="H38" i="19"/>
  <c r="H79" i="19"/>
  <c r="I79" i="19"/>
  <c r="I48" i="19"/>
  <c r="H48" i="19"/>
  <c r="I97" i="19"/>
  <c r="H97" i="19"/>
  <c r="I88" i="19"/>
  <c r="H88" i="19"/>
  <c r="I32" i="19"/>
  <c r="H32" i="19"/>
  <c r="I66" i="19"/>
  <c r="H66" i="19"/>
  <c r="I44" i="19"/>
  <c r="H44" i="19"/>
  <c r="I61" i="19"/>
  <c r="H61" i="19"/>
  <c r="I34" i="19"/>
  <c r="H34" i="19"/>
  <c r="I106" i="19"/>
  <c r="H106" i="19"/>
  <c r="I28" i="19"/>
  <c r="H28" i="19"/>
  <c r="P32" i="20"/>
  <c r="O32" i="20"/>
  <c r="L32" i="20"/>
  <c r="L106" i="20"/>
  <c r="O106" i="20"/>
  <c r="P106" i="20"/>
  <c r="L25" i="20"/>
  <c r="O25" i="20"/>
  <c r="P25" i="20"/>
  <c r="P55" i="20"/>
  <c r="L55" i="20"/>
  <c r="O55" i="20"/>
  <c r="P81" i="20"/>
  <c r="L81" i="20"/>
  <c r="O81" i="20"/>
  <c r="L104" i="20"/>
  <c r="P104" i="20"/>
  <c r="O104" i="20"/>
  <c r="L38" i="20"/>
  <c r="P38" i="20"/>
  <c r="O38" i="20"/>
  <c r="P51" i="20"/>
  <c r="O51" i="20"/>
  <c r="L51" i="20"/>
  <c r="O72" i="20"/>
  <c r="P72" i="20"/>
  <c r="L72" i="20"/>
  <c r="O100" i="20"/>
  <c r="P100" i="20"/>
  <c r="L100" i="20"/>
  <c r="H46" i="20"/>
  <c r="I46" i="20"/>
  <c r="AF46" i="20" s="1"/>
  <c r="P63" i="20"/>
  <c r="L63" i="20"/>
  <c r="O63" i="20"/>
  <c r="H12" i="20"/>
  <c r="AH12" i="20" s="1"/>
  <c r="I12" i="20"/>
  <c r="O34" i="20"/>
  <c r="P34" i="20"/>
  <c r="L34" i="20"/>
  <c r="H62" i="20"/>
  <c r="AH62" i="20" s="1"/>
  <c r="I62" i="20"/>
  <c r="H84" i="20"/>
  <c r="I84" i="20"/>
  <c r="AF84" i="20" s="1"/>
  <c r="O97" i="20"/>
  <c r="P97" i="20"/>
  <c r="L97" i="20"/>
  <c r="P13" i="20"/>
  <c r="O13" i="20"/>
  <c r="L13" i="20"/>
  <c r="P26" i="20"/>
  <c r="O26" i="20"/>
  <c r="L26" i="20"/>
  <c r="AE43" i="20"/>
  <c r="AH43" i="20" s="1"/>
  <c r="J43" i="20" s="1"/>
  <c r="O61" i="20"/>
  <c r="P61" i="20"/>
  <c r="L61" i="20"/>
  <c r="P75" i="20"/>
  <c r="L75" i="20"/>
  <c r="O75" i="20"/>
  <c r="L85" i="20"/>
  <c r="O85" i="20"/>
  <c r="P85" i="20"/>
  <c r="O96" i="20"/>
  <c r="L96" i="20"/>
  <c r="P96" i="20"/>
  <c r="O108" i="20"/>
  <c r="L108" i="20"/>
  <c r="P108" i="20"/>
  <c r="I125" i="19"/>
  <c r="H125" i="19"/>
  <c r="I109" i="19"/>
  <c r="H109" i="19"/>
  <c r="L109" i="20"/>
  <c r="O109" i="20"/>
  <c r="P109" i="20"/>
  <c r="H116" i="19"/>
  <c r="I116" i="19"/>
  <c r="I59" i="19"/>
  <c r="H59" i="19"/>
  <c r="P120" i="20"/>
  <c r="O120" i="20"/>
  <c r="L120" i="20"/>
  <c r="O118" i="20"/>
  <c r="L118" i="20"/>
  <c r="P118" i="20"/>
  <c r="I107" i="19"/>
  <c r="H107" i="19"/>
  <c r="O125" i="20"/>
  <c r="P125" i="20"/>
  <c r="L125" i="20"/>
  <c r="O126" i="20"/>
  <c r="L126" i="20"/>
  <c r="P126" i="20"/>
  <c r="H54" i="19"/>
  <c r="I54" i="19"/>
  <c r="H49" i="19"/>
  <c r="I49" i="19"/>
  <c r="H78" i="19"/>
  <c r="I78" i="19"/>
  <c r="I22" i="19"/>
  <c r="H22" i="19"/>
  <c r="I68" i="19"/>
  <c r="H68" i="19"/>
  <c r="I105" i="19"/>
  <c r="H105" i="19"/>
  <c r="H18" i="19"/>
  <c r="I18" i="19"/>
  <c r="H95" i="19"/>
  <c r="I95" i="19"/>
  <c r="I52" i="19"/>
  <c r="H52" i="19"/>
  <c r="H103" i="19"/>
  <c r="I103" i="19"/>
  <c r="I24" i="19"/>
  <c r="H24" i="19"/>
  <c r="I40" i="19"/>
  <c r="H40" i="19"/>
  <c r="I100" i="19"/>
  <c r="H100" i="19"/>
  <c r="I20" i="19"/>
  <c r="H20" i="19"/>
  <c r="I30" i="19"/>
  <c r="H30" i="19"/>
  <c r="H76" i="19"/>
  <c r="I76" i="19"/>
  <c r="H71" i="19"/>
  <c r="I71" i="19"/>
  <c r="H16" i="19"/>
  <c r="I16" i="19"/>
  <c r="I46" i="19"/>
  <c r="H46" i="19"/>
  <c r="I87" i="19"/>
  <c r="H87" i="19"/>
  <c r="I45" i="19"/>
  <c r="H45" i="19"/>
  <c r="I93" i="19"/>
  <c r="H93" i="19"/>
  <c r="H63" i="19"/>
  <c r="I63" i="19"/>
  <c r="H12" i="19"/>
  <c r="I12" i="19"/>
  <c r="O49" i="20"/>
  <c r="P49" i="20"/>
  <c r="L49" i="20"/>
  <c r="O9" i="20"/>
  <c r="L9" i="20"/>
  <c r="P9" i="20"/>
  <c r="AE27" i="20"/>
  <c r="AH27" i="20" s="1"/>
  <c r="J27" i="20" s="1"/>
  <c r="P60" i="20"/>
  <c r="L60" i="20"/>
  <c r="O60" i="20"/>
  <c r="P86" i="20"/>
  <c r="O86" i="20"/>
  <c r="L86" i="20"/>
  <c r="H14" i="20"/>
  <c r="I14" i="20"/>
  <c r="AD14" i="20" s="1"/>
  <c r="P47" i="20"/>
  <c r="L47" i="20"/>
  <c r="O47" i="20"/>
  <c r="P57" i="20"/>
  <c r="L57" i="20"/>
  <c r="O57" i="20"/>
  <c r="H74" i="20"/>
  <c r="AH74" i="20" s="1"/>
  <c r="I74" i="20"/>
  <c r="AE19" i="20"/>
  <c r="AH19" i="20" s="1"/>
  <c r="J19" i="20" s="1"/>
  <c r="O56" i="20"/>
  <c r="L56" i="20"/>
  <c r="P56" i="20"/>
  <c r="P73" i="20"/>
  <c r="O73" i="20"/>
  <c r="L73" i="20"/>
  <c r="P18" i="20"/>
  <c r="O18" i="20"/>
  <c r="L18" i="20"/>
  <c r="O40" i="20"/>
  <c r="P40" i="20"/>
  <c r="L40" i="20"/>
  <c r="P67" i="20"/>
  <c r="O67" i="20"/>
  <c r="L67" i="20"/>
  <c r="L88" i="20"/>
  <c r="P88" i="20"/>
  <c r="O88" i="20"/>
  <c r="L102" i="20"/>
  <c r="P102" i="20"/>
  <c r="O102" i="20"/>
  <c r="H16" i="20"/>
  <c r="I16" i="20"/>
  <c r="AA16" i="20" s="1"/>
  <c r="O36" i="20"/>
  <c r="P36" i="20"/>
  <c r="L36" i="20"/>
  <c r="P44" i="20"/>
  <c r="O44" i="20"/>
  <c r="L44" i="20"/>
  <c r="O68" i="20"/>
  <c r="L68" i="20"/>
  <c r="P68" i="20"/>
  <c r="H78" i="20"/>
  <c r="AH78" i="20" s="1"/>
  <c r="I78" i="20"/>
  <c r="O87" i="20"/>
  <c r="L87" i="20"/>
  <c r="P87" i="20"/>
  <c r="P101" i="20"/>
  <c r="O101" i="20"/>
  <c r="L101" i="20"/>
  <c r="H118" i="19"/>
  <c r="I118" i="19"/>
  <c r="AE116" i="20"/>
  <c r="AH116" i="20" s="1"/>
  <c r="J116" i="20" s="1"/>
  <c r="H122" i="19"/>
  <c r="I122" i="19"/>
  <c r="H119" i="19"/>
  <c r="I119" i="19"/>
  <c r="O121" i="20"/>
  <c r="P121" i="20"/>
  <c r="L121" i="20"/>
  <c r="I117" i="19"/>
  <c r="H117" i="19"/>
  <c r="H115" i="19"/>
  <c r="I115" i="19"/>
  <c r="O107" i="20"/>
  <c r="P107" i="20"/>
  <c r="L107" i="20"/>
  <c r="I123" i="19"/>
  <c r="H123" i="19"/>
  <c r="I110" i="19"/>
  <c r="H110" i="19"/>
  <c r="O114" i="20"/>
  <c r="P114" i="20"/>
  <c r="L114" i="20"/>
  <c r="I128" i="19"/>
  <c r="H128" i="19"/>
  <c r="H80" i="19"/>
  <c r="I80" i="19"/>
  <c r="H85" i="19"/>
  <c r="I85" i="19"/>
  <c r="I31" i="19"/>
  <c r="H31" i="19"/>
  <c r="I89" i="19"/>
  <c r="H89" i="19"/>
  <c r="H50" i="19"/>
  <c r="I50" i="19"/>
  <c r="I74" i="19"/>
  <c r="H74" i="19"/>
  <c r="I81" i="19"/>
  <c r="H81" i="19"/>
  <c r="I70" i="19"/>
  <c r="H70" i="19"/>
  <c r="H104" i="19"/>
  <c r="I104" i="19"/>
  <c r="H56" i="19"/>
  <c r="I56" i="19"/>
  <c r="I62" i="19"/>
  <c r="H62" i="19"/>
  <c r="I101" i="19"/>
  <c r="H101" i="19"/>
  <c r="H37" i="19"/>
  <c r="I37" i="19"/>
  <c r="I82" i="19"/>
  <c r="H82" i="19"/>
  <c r="H14" i="19"/>
  <c r="I14" i="19"/>
  <c r="H25" i="19"/>
  <c r="I25" i="19"/>
  <c r="O28" i="20"/>
  <c r="L28" i="20"/>
  <c r="P28" i="20"/>
  <c r="I102" i="19"/>
  <c r="H102" i="19"/>
  <c r="I27" i="19"/>
  <c r="H27" i="19"/>
  <c r="I98" i="19"/>
  <c r="H98" i="19"/>
  <c r="I26" i="19"/>
  <c r="H26" i="19"/>
  <c r="H64" i="19"/>
  <c r="I64" i="19"/>
  <c r="I96" i="19"/>
  <c r="H96" i="19"/>
  <c r="O15" i="20"/>
  <c r="P15" i="20"/>
  <c r="L15" i="20"/>
  <c r="H66" i="20"/>
  <c r="AH66" i="20" s="1"/>
  <c r="I66" i="20"/>
  <c r="O17" i="20"/>
  <c r="P17" i="20"/>
  <c r="L17" i="20"/>
  <c r="P37" i="20"/>
  <c r="L37" i="20"/>
  <c r="O37" i="20"/>
  <c r="H70" i="20"/>
  <c r="AH70" i="20" s="1"/>
  <c r="I70" i="20"/>
  <c r="AE90" i="20"/>
  <c r="AH90" i="20" s="1"/>
  <c r="J90" i="20" s="1"/>
  <c r="O29" i="20"/>
  <c r="P29" i="20"/>
  <c r="L29" i="20"/>
  <c r="O48" i="20"/>
  <c r="P48" i="20"/>
  <c r="L48" i="20"/>
  <c r="O64" i="20"/>
  <c r="P64" i="20"/>
  <c r="L64" i="20"/>
  <c r="O93" i="20"/>
  <c r="P93" i="20"/>
  <c r="L93" i="20"/>
  <c r="L31" i="20"/>
  <c r="P31" i="20"/>
  <c r="O31" i="20"/>
  <c r="H58" i="20"/>
  <c r="AH58" i="20" s="1"/>
  <c r="I58" i="20"/>
  <c r="O80" i="20"/>
  <c r="L80" i="20"/>
  <c r="P80" i="20"/>
  <c r="AE23" i="20"/>
  <c r="AH23" i="20" s="1"/>
  <c r="J23" i="20" s="1"/>
  <c r="O42" i="20"/>
  <c r="L42" i="20"/>
  <c r="P42" i="20"/>
  <c r="O76" i="20"/>
  <c r="P76" i="20"/>
  <c r="L76" i="20"/>
  <c r="P91" i="20"/>
  <c r="O91" i="20"/>
  <c r="L91" i="20"/>
  <c r="O10" i="20"/>
  <c r="P10" i="20"/>
  <c r="L10" i="20"/>
  <c r="H20" i="20"/>
  <c r="AH20" i="20" s="1"/>
  <c r="I20" i="20"/>
  <c r="AE39" i="20"/>
  <c r="AH39" i="20" s="1"/>
  <c r="J39" i="20" s="1"/>
  <c r="P52" i="20"/>
  <c r="L52" i="20"/>
  <c r="O52" i="20"/>
  <c r="O69" i="20"/>
  <c r="L69" i="20"/>
  <c r="P69" i="20"/>
  <c r="H82" i="20"/>
  <c r="AH82" i="20" s="1"/>
  <c r="I82" i="20"/>
  <c r="P89" i="20"/>
  <c r="L89" i="20"/>
  <c r="O89" i="20"/>
  <c r="O103" i="20"/>
  <c r="P103" i="20"/>
  <c r="L103" i="20"/>
  <c r="T127" i="19"/>
  <c r="AJ127" i="19" s="1"/>
  <c r="Q72" i="19"/>
  <c r="R126" i="19"/>
  <c r="T126" i="19" s="1"/>
  <c r="H57" i="14"/>
  <c r="I57" i="14"/>
  <c r="H59" i="14"/>
  <c r="I59" i="14"/>
  <c r="I58" i="14"/>
  <c r="H58" i="14"/>
  <c r="I60" i="14"/>
  <c r="H60" i="14"/>
  <c r="H113" i="14"/>
  <c r="I113" i="14"/>
  <c r="H116" i="14"/>
  <c r="I116" i="14"/>
  <c r="H115" i="14"/>
  <c r="I115" i="14"/>
  <c r="I114" i="14"/>
  <c r="H114" i="14"/>
  <c r="H36" i="14"/>
  <c r="I36" i="14"/>
  <c r="I35" i="14"/>
  <c r="H35" i="14"/>
  <c r="I34" i="14"/>
  <c r="H34" i="14"/>
  <c r="I33" i="14"/>
  <c r="H33" i="14"/>
  <c r="H88" i="14"/>
  <c r="I88" i="14"/>
  <c r="H87" i="14"/>
  <c r="I87" i="14"/>
  <c r="H86" i="14"/>
  <c r="I86" i="14"/>
  <c r="I85" i="14"/>
  <c r="H85" i="14"/>
  <c r="M32" i="2"/>
  <c r="N32" i="2" s="1"/>
  <c r="O32" i="2" s="1"/>
  <c r="I124" i="14"/>
  <c r="V124" i="14" s="1"/>
  <c r="I62" i="14"/>
  <c r="AA62" i="14" s="1"/>
  <c r="I84" i="14"/>
  <c r="Z84" i="14" s="1"/>
  <c r="I49" i="14"/>
  <c r="AA49" i="14" s="1"/>
  <c r="I82" i="14"/>
  <c r="X82" i="14" s="1"/>
  <c r="I100" i="14"/>
  <c r="AF100" i="14" s="1"/>
  <c r="I118" i="14"/>
  <c r="I47" i="14"/>
  <c r="AA47" i="14" s="1"/>
  <c r="I28" i="14"/>
  <c r="V28" i="14" s="1"/>
  <c r="I66" i="14"/>
  <c r="AF66" i="14" s="1"/>
  <c r="I39" i="14"/>
  <c r="AD39" i="14" s="1"/>
  <c r="AE39" i="14" s="1"/>
  <c r="I56" i="14"/>
  <c r="Z56" i="14" s="1"/>
  <c r="I77" i="14"/>
  <c r="X77" i="14" s="1"/>
  <c r="I96" i="14"/>
  <c r="AD96" i="14" s="1"/>
  <c r="AE96" i="14" s="1"/>
  <c r="I38" i="14"/>
  <c r="Z38" i="14" s="1"/>
  <c r="I92" i="14"/>
  <c r="Z92" i="14" s="1"/>
  <c r="I109" i="14"/>
  <c r="AA109" i="14" s="1"/>
  <c r="I25" i="14"/>
  <c r="AD25" i="14" s="1"/>
  <c r="AE25" i="14" s="1"/>
  <c r="I46" i="14"/>
  <c r="V46" i="14" s="1"/>
  <c r="I63" i="14"/>
  <c r="Z63" i="14" s="1"/>
  <c r="I79" i="14"/>
  <c r="V79" i="14" s="1"/>
  <c r="I98" i="14"/>
  <c r="AF98" i="14" s="1"/>
  <c r="I111" i="14"/>
  <c r="AF111" i="14" s="1"/>
  <c r="I42" i="14"/>
  <c r="X42" i="14" s="1"/>
  <c r="I24" i="14"/>
  <c r="Z24" i="14" s="1"/>
  <c r="I61" i="14"/>
  <c r="I90" i="14"/>
  <c r="V90" i="14" s="1"/>
  <c r="I104" i="14"/>
  <c r="X104" i="14" s="1"/>
  <c r="I122" i="14"/>
  <c r="I64" i="14"/>
  <c r="X64" i="14" s="1"/>
  <c r="I40" i="14"/>
  <c r="AD40" i="14" s="1"/>
  <c r="AE40" i="14" s="1"/>
  <c r="I74" i="14"/>
  <c r="AA74" i="14" s="1"/>
  <c r="I43" i="14"/>
  <c r="AD43" i="14" s="1"/>
  <c r="AE43" i="14" s="1"/>
  <c r="I65" i="14"/>
  <c r="X65" i="14" s="1"/>
  <c r="I81" i="14"/>
  <c r="AF81" i="14" s="1"/>
  <c r="I117" i="14"/>
  <c r="I106" i="14"/>
  <c r="Z106" i="14" s="1"/>
  <c r="I94" i="14"/>
  <c r="AF94" i="14" s="1"/>
  <c r="I127" i="14"/>
  <c r="I14" i="14"/>
  <c r="X14" i="14" s="1"/>
  <c r="I51" i="14"/>
  <c r="V51" i="14" s="1"/>
  <c r="I99" i="14"/>
  <c r="AD99" i="14" s="1"/>
  <c r="AE99" i="14" s="1"/>
  <c r="I112" i="14"/>
  <c r="Z112" i="14" s="1"/>
  <c r="I29" i="14"/>
  <c r="AA29" i="14" s="1"/>
  <c r="I50" i="14"/>
  <c r="AD50" i="14" s="1"/>
  <c r="AE50" i="14" s="1"/>
  <c r="I67" i="14"/>
  <c r="V67" i="14" s="1"/>
  <c r="I83" i="14"/>
  <c r="AA83" i="14" s="1"/>
  <c r="I101" i="14"/>
  <c r="AA101" i="14" s="1"/>
  <c r="I119" i="14"/>
  <c r="I55" i="14"/>
  <c r="V55" i="14" s="1"/>
  <c r="I32" i="14"/>
  <c r="Z32" i="14" s="1"/>
  <c r="I70" i="14"/>
  <c r="Z70" i="14" s="1"/>
  <c r="I93" i="14"/>
  <c r="V93" i="14" s="1"/>
  <c r="I107" i="14"/>
  <c r="Z107" i="14" s="1"/>
  <c r="I126" i="14"/>
  <c r="I76" i="14"/>
  <c r="Z76" i="14" s="1"/>
  <c r="I45" i="14"/>
  <c r="AA45" i="14" s="1"/>
  <c r="I27" i="14"/>
  <c r="AA27" i="14" s="1"/>
  <c r="I48" i="14"/>
  <c r="AD48" i="14" s="1"/>
  <c r="AE48" i="14" s="1"/>
  <c r="I69" i="14"/>
  <c r="AA69" i="14" s="1"/>
  <c r="I89" i="14"/>
  <c r="I103" i="14"/>
  <c r="AA103" i="14" s="1"/>
  <c r="I121" i="14"/>
  <c r="I80" i="14"/>
  <c r="Z80" i="14" s="1"/>
  <c r="I41" i="14"/>
  <c r="AA41" i="14" s="1"/>
  <c r="I75" i="14"/>
  <c r="AA75" i="14" s="1"/>
  <c r="I108" i="14"/>
  <c r="AF108" i="14" s="1"/>
  <c r="I68" i="14"/>
  <c r="X68" i="14" s="1"/>
  <c r="I102" i="14"/>
  <c r="V102" i="14" s="1"/>
  <c r="I120" i="14"/>
  <c r="I37" i="14"/>
  <c r="AA37" i="14" s="1"/>
  <c r="I54" i="14"/>
  <c r="Z54" i="14" s="1"/>
  <c r="I71" i="14"/>
  <c r="AD71" i="14" s="1"/>
  <c r="AE71" i="14" s="1"/>
  <c r="I91" i="14"/>
  <c r="AD91" i="14" s="1"/>
  <c r="AE91" i="14" s="1"/>
  <c r="I105" i="14"/>
  <c r="AD105" i="14" s="1"/>
  <c r="AE105" i="14" s="1"/>
  <c r="I123" i="14"/>
  <c r="I72" i="14"/>
  <c r="AA72" i="14" s="1"/>
  <c r="I44" i="14"/>
  <c r="AF44" i="14" s="1"/>
  <c r="I78" i="14"/>
  <c r="Z78" i="14" s="1"/>
  <c r="I97" i="14"/>
  <c r="X97" i="14" s="1"/>
  <c r="I110" i="14"/>
  <c r="AF110" i="14" s="1"/>
  <c r="I30" i="14"/>
  <c r="V30" i="14" s="1"/>
  <c r="I95" i="14"/>
  <c r="AA95" i="14" s="1"/>
  <c r="I53" i="14"/>
  <c r="X53" i="14" s="1"/>
  <c r="I31" i="14"/>
  <c r="AF31" i="14" s="1"/>
  <c r="I52" i="14"/>
  <c r="Z52" i="14" s="1"/>
  <c r="I73" i="14"/>
  <c r="AA73" i="14" s="1"/>
  <c r="I125" i="14"/>
  <c r="H21" i="17"/>
  <c r="W21" i="17" s="1"/>
  <c r="X21" i="17" s="1"/>
  <c r="H20" i="17"/>
  <c r="Y20" i="17" s="1"/>
  <c r="Z24" i="17"/>
  <c r="H19" i="17"/>
  <c r="AB19" i="17" s="1"/>
  <c r="H11" i="17"/>
  <c r="W11" i="17" s="1"/>
  <c r="X11" i="17" s="1"/>
  <c r="H18" i="17"/>
  <c r="AB18" i="17" s="1"/>
  <c r="U9" i="17"/>
  <c r="V9" i="17" s="1"/>
  <c r="Y26" i="17"/>
  <c r="W26" i="17"/>
  <c r="X26" i="17" s="1"/>
  <c r="W10" i="17"/>
  <c r="X10" i="17" s="1"/>
  <c r="Z10" i="17"/>
  <c r="AB12" i="17"/>
  <c r="Z16" i="17"/>
  <c r="AB16" i="17"/>
  <c r="Y16" i="17"/>
  <c r="W22" i="17"/>
  <c r="X22" i="17" s="1"/>
  <c r="Y22" i="17"/>
  <c r="AB22" i="17"/>
  <c r="U23" i="17"/>
  <c r="V23" i="17" s="1"/>
  <c r="Y23" i="17"/>
  <c r="AB23" i="17"/>
  <c r="Z17" i="17"/>
  <c r="Y17" i="17"/>
  <c r="W24" i="17"/>
  <c r="X24" i="17" s="1"/>
  <c r="Z22" i="17"/>
  <c r="U17" i="17"/>
  <c r="V17" i="17" s="1"/>
  <c r="U15" i="17"/>
  <c r="V15" i="17" s="1"/>
  <c r="U16" i="17"/>
  <c r="V16" i="17" s="1"/>
  <c r="U10" i="17"/>
  <c r="V10" i="17" s="1"/>
  <c r="U24" i="17"/>
  <c r="V24" i="17" s="1"/>
  <c r="W23" i="17"/>
  <c r="X23" i="17" s="1"/>
  <c r="U22" i="17"/>
  <c r="V22" i="17" s="1"/>
  <c r="W17" i="17"/>
  <c r="X17" i="17" s="1"/>
  <c r="Y10" i="17"/>
  <c r="AB10" i="17"/>
  <c r="W16" i="17"/>
  <c r="X16" i="17" s="1"/>
  <c r="U14" i="17"/>
  <c r="V14" i="17" s="1"/>
  <c r="U13" i="17"/>
  <c r="V13" i="17" s="1"/>
  <c r="AB26" i="17"/>
  <c r="Z12" i="17"/>
  <c r="AB17" i="17"/>
  <c r="Y24" i="17"/>
  <c r="Z23" i="17"/>
  <c r="Y15" i="17"/>
  <c r="AB25" i="17"/>
  <c r="U12" i="17"/>
  <c r="V12" i="17" s="1"/>
  <c r="Z13" i="17"/>
  <c r="U25" i="17"/>
  <c r="V25" i="17" s="1"/>
  <c r="Z14" i="17"/>
  <c r="W15" i="17"/>
  <c r="X15" i="17" s="1"/>
  <c r="Z15" i="17"/>
  <c r="W9" i="17"/>
  <c r="X9" i="17" s="1"/>
  <c r="Y13" i="17"/>
  <c r="U26" i="17"/>
  <c r="V26" i="17" s="1"/>
  <c r="Y25" i="17"/>
  <c r="Z9" i="17"/>
  <c r="Y14" i="17"/>
  <c r="Y12" i="17"/>
  <c r="AB14" i="17"/>
  <c r="W13" i="17"/>
  <c r="X13" i="17" s="1"/>
  <c r="Z26" i="17"/>
  <c r="Z25" i="17"/>
  <c r="Y9" i="17"/>
  <c r="N40" i="17"/>
  <c r="J40" i="17"/>
  <c r="O40" i="17"/>
  <c r="J79" i="17"/>
  <c r="O79" i="17"/>
  <c r="N79" i="17"/>
  <c r="N100" i="17"/>
  <c r="O100" i="17"/>
  <c r="N37" i="17"/>
  <c r="O37" i="17"/>
  <c r="J37" i="17"/>
  <c r="O76" i="17"/>
  <c r="J76" i="17"/>
  <c r="O72" i="17"/>
  <c r="N72" i="17"/>
  <c r="J72" i="17"/>
  <c r="N101" i="17"/>
  <c r="O101" i="17"/>
  <c r="J112" i="17"/>
  <c r="N112" i="17"/>
  <c r="O112" i="17"/>
  <c r="N96" i="17"/>
  <c r="O96" i="17"/>
  <c r="N80" i="17"/>
  <c r="O80" i="17"/>
  <c r="O84" i="17"/>
  <c r="P84" i="17" s="1"/>
  <c r="S84" i="17" s="1"/>
  <c r="AF84" i="17" s="1"/>
  <c r="AG84" i="17" s="1"/>
  <c r="J44" i="17"/>
  <c r="N97" i="17"/>
  <c r="J97" i="17"/>
  <c r="O97" i="17"/>
  <c r="O66" i="17"/>
  <c r="N66" i="17"/>
  <c r="J66" i="17"/>
  <c r="O109" i="17"/>
  <c r="N109" i="17"/>
  <c r="J109" i="17"/>
  <c r="O104" i="17"/>
  <c r="N104" i="17"/>
  <c r="J104" i="17"/>
  <c r="O92" i="17"/>
  <c r="N92" i="17"/>
  <c r="J92" i="17"/>
  <c r="J75" i="17"/>
  <c r="O75" i="17"/>
  <c r="N75" i="17"/>
  <c r="O93" i="17"/>
  <c r="N93" i="17"/>
  <c r="J93" i="17"/>
  <c r="O108" i="17"/>
  <c r="N108" i="17"/>
  <c r="J108" i="17"/>
  <c r="O88" i="17"/>
  <c r="N88" i="17"/>
  <c r="J88" i="17"/>
  <c r="N89" i="17"/>
  <c r="J89" i="17"/>
  <c r="O89" i="17"/>
  <c r="N87" i="17"/>
  <c r="O87" i="17"/>
  <c r="J87" i="17"/>
  <c r="N113" i="17"/>
  <c r="J113" i="17"/>
  <c r="O113" i="17"/>
  <c r="N105" i="17"/>
  <c r="J105" i="17"/>
  <c r="O105" i="17"/>
  <c r="J83" i="17"/>
  <c r="O83" i="17"/>
  <c r="N83" i="17"/>
  <c r="J101" i="17"/>
  <c r="J96" i="17"/>
  <c r="N71" i="17"/>
  <c r="J100" i="17"/>
  <c r="J84" i="17"/>
  <c r="N76" i="17"/>
  <c r="J80" i="17"/>
  <c r="O71" i="17"/>
  <c r="O44" i="17"/>
  <c r="P44" i="17" s="1"/>
  <c r="S44" i="17" s="1"/>
  <c r="AF44" i="17" s="1"/>
  <c r="AG44" i="17" s="1"/>
  <c r="J59" i="17"/>
  <c r="O59" i="17"/>
  <c r="N59" i="17"/>
  <c r="J30" i="17"/>
  <c r="O30" i="17"/>
  <c r="N30" i="17"/>
  <c r="J42" i="17"/>
  <c r="O42" i="17"/>
  <c r="N42" i="17"/>
  <c r="J46" i="17"/>
  <c r="O46" i="17"/>
  <c r="N46" i="17"/>
  <c r="J63" i="17"/>
  <c r="O63" i="17"/>
  <c r="N63" i="17"/>
  <c r="J55" i="17"/>
  <c r="O55" i="17"/>
  <c r="N55" i="17"/>
  <c r="J34" i="17"/>
  <c r="O34" i="17"/>
  <c r="N34" i="17"/>
  <c r="J38" i="17"/>
  <c r="O38" i="17"/>
  <c r="N38" i="17"/>
  <c r="O107" i="17"/>
  <c r="N107" i="17"/>
  <c r="J107" i="17"/>
  <c r="O91" i="17"/>
  <c r="N91" i="17"/>
  <c r="J91" i="17"/>
  <c r="O82" i="17"/>
  <c r="N82" i="17"/>
  <c r="J82" i="17"/>
  <c r="O67" i="17"/>
  <c r="J67" i="17"/>
  <c r="N67" i="17"/>
  <c r="O81" i="17"/>
  <c r="N81" i="17"/>
  <c r="J81" i="17"/>
  <c r="J48" i="17"/>
  <c r="O48" i="17"/>
  <c r="N48" i="17"/>
  <c r="O65" i="17"/>
  <c r="N65" i="17"/>
  <c r="J65" i="17"/>
  <c r="J57" i="17"/>
  <c r="O57" i="17"/>
  <c r="N57" i="17"/>
  <c r="J60" i="17"/>
  <c r="O60" i="17"/>
  <c r="N60" i="17"/>
  <c r="J51" i="17"/>
  <c r="O51" i="17"/>
  <c r="N51" i="17"/>
  <c r="J41" i="17"/>
  <c r="O41" i="17"/>
  <c r="N41" i="17"/>
  <c r="J32" i="17"/>
  <c r="O32" i="17"/>
  <c r="N32" i="17"/>
  <c r="J53" i="17"/>
  <c r="O53" i="17"/>
  <c r="N53" i="17"/>
  <c r="V28" i="17"/>
  <c r="AD28" i="17" s="1"/>
  <c r="I28" i="17" s="1"/>
  <c r="V29" i="17"/>
  <c r="AD29" i="17" s="1"/>
  <c r="I29" i="17" s="1"/>
  <c r="AD27" i="17"/>
  <c r="I27" i="17" s="1"/>
  <c r="O103" i="17"/>
  <c r="N103" i="17"/>
  <c r="J103" i="17"/>
  <c r="O114" i="17"/>
  <c r="N114" i="17"/>
  <c r="J114" i="17"/>
  <c r="O106" i="17"/>
  <c r="N106" i="17"/>
  <c r="J106" i="17"/>
  <c r="O98" i="17"/>
  <c r="N98" i="17"/>
  <c r="J98" i="17"/>
  <c r="O90" i="17"/>
  <c r="N90" i="17"/>
  <c r="J90" i="17"/>
  <c r="O78" i="17"/>
  <c r="N78" i="17"/>
  <c r="J78" i="17"/>
  <c r="O77" i="17"/>
  <c r="N77" i="17"/>
  <c r="J77" i="17"/>
  <c r="J62" i="17"/>
  <c r="O62" i="17"/>
  <c r="N62" i="17"/>
  <c r="J54" i="17"/>
  <c r="O54" i="17"/>
  <c r="N54" i="17"/>
  <c r="J56" i="17"/>
  <c r="O56" i="17"/>
  <c r="N56" i="17"/>
  <c r="J47" i="17"/>
  <c r="O47" i="17"/>
  <c r="N47" i="17"/>
  <c r="J33" i="17"/>
  <c r="O33" i="17"/>
  <c r="N33" i="17"/>
  <c r="J49" i="17"/>
  <c r="O49" i="17"/>
  <c r="N49" i="17"/>
  <c r="J35" i="17"/>
  <c r="O35" i="17"/>
  <c r="N35" i="17"/>
  <c r="O99" i="17"/>
  <c r="N99" i="17"/>
  <c r="J99" i="17"/>
  <c r="O68" i="17"/>
  <c r="N68" i="17"/>
  <c r="J68" i="17"/>
  <c r="O74" i="17"/>
  <c r="N74" i="17"/>
  <c r="J74" i="17"/>
  <c r="O73" i="17"/>
  <c r="N73" i="17"/>
  <c r="J73" i="17"/>
  <c r="J52" i="17"/>
  <c r="O52" i="17"/>
  <c r="N52" i="17"/>
  <c r="J61" i="17"/>
  <c r="O61" i="17"/>
  <c r="N61" i="17"/>
  <c r="J45" i="17"/>
  <c r="O45" i="17"/>
  <c r="N45" i="17"/>
  <c r="J43" i="17"/>
  <c r="O43" i="17"/>
  <c r="N43" i="17"/>
  <c r="O111" i="17"/>
  <c r="N111" i="17"/>
  <c r="J111" i="17"/>
  <c r="O95" i="17"/>
  <c r="N95" i="17"/>
  <c r="J95" i="17"/>
  <c r="O110" i="17"/>
  <c r="N110" i="17"/>
  <c r="J110" i="17"/>
  <c r="O102" i="17"/>
  <c r="N102" i="17"/>
  <c r="J102" i="17"/>
  <c r="O94" i="17"/>
  <c r="N94" i="17"/>
  <c r="J94" i="17"/>
  <c r="O64" i="17"/>
  <c r="N64" i="17"/>
  <c r="J64" i="17"/>
  <c r="O86" i="17"/>
  <c r="N86" i="17"/>
  <c r="J86" i="17"/>
  <c r="O70" i="17"/>
  <c r="N70" i="17"/>
  <c r="J70" i="17"/>
  <c r="O85" i="17"/>
  <c r="N85" i="17"/>
  <c r="J85" i="17"/>
  <c r="O69" i="17"/>
  <c r="N69" i="17"/>
  <c r="J69" i="17"/>
  <c r="J58" i="17"/>
  <c r="O58" i="17"/>
  <c r="N58" i="17"/>
  <c r="J50" i="17"/>
  <c r="O50" i="17"/>
  <c r="N50" i="17"/>
  <c r="J36" i="17"/>
  <c r="O36" i="17"/>
  <c r="N36" i="17"/>
  <c r="J39" i="17"/>
  <c r="O39" i="17"/>
  <c r="N39" i="17"/>
  <c r="J31" i="17"/>
  <c r="O31" i="17"/>
  <c r="N31" i="17"/>
  <c r="I9" i="14"/>
  <c r="H126" i="6"/>
  <c r="H74" i="6"/>
  <c r="H73" i="6"/>
  <c r="H84" i="6"/>
  <c r="H108" i="6"/>
  <c r="H163" i="6"/>
  <c r="H71" i="6"/>
  <c r="H86" i="6"/>
  <c r="H110" i="6"/>
  <c r="H161" i="6"/>
  <c r="M101" i="6" a="1"/>
  <c r="M101" i="6" s="1"/>
  <c r="M117" i="6" a="1"/>
  <c r="M117" i="6" s="1"/>
  <c r="M113" i="6" a="1"/>
  <c r="M113" i="6" s="1"/>
  <c r="M102" i="6" a="1"/>
  <c r="M102" i="6" s="1"/>
  <c r="M53" i="6" a="1"/>
  <c r="M53" i="6" s="1"/>
  <c r="M138" i="6" a="1"/>
  <c r="M138" i="6" s="1"/>
  <c r="M62" i="6" a="1"/>
  <c r="M62" i="6" s="1"/>
  <c r="M16" i="6" a="1"/>
  <c r="M16" i="6" s="1"/>
  <c r="M52" i="6" a="1"/>
  <c r="M52" i="6" s="1"/>
  <c r="M19" i="6" a="1"/>
  <c r="M19" i="6" s="1"/>
  <c r="M103" i="6" a="1"/>
  <c r="M103" i="6" s="1"/>
  <c r="M15" i="6" a="1"/>
  <c r="M15" i="6" s="1"/>
  <c r="M136" i="6" a="1"/>
  <c r="M136" i="6" s="1"/>
  <c r="M114" i="6" a="1"/>
  <c r="M114" i="6" s="1"/>
  <c r="M38" i="6" a="1"/>
  <c r="M38" i="6" s="1"/>
  <c r="M30" i="6" a="1"/>
  <c r="M30" i="6" s="1"/>
  <c r="M104" i="6" a="1"/>
  <c r="M104" i="6" s="1"/>
  <c r="M36" i="6" a="1"/>
  <c r="M36" i="6" s="1"/>
  <c r="M137" i="6" a="1"/>
  <c r="M137" i="6" s="1"/>
  <c r="M83" i="6" a="1"/>
  <c r="M83" i="6" s="1"/>
  <c r="M32" i="6" a="1"/>
  <c r="M32" i="6" s="1"/>
  <c r="M24" i="6" a="1"/>
  <c r="M24" i="6" s="1"/>
  <c r="M37" i="6" a="1"/>
  <c r="M37" i="6" s="1"/>
  <c r="M82" i="6" a="1"/>
  <c r="M82" i="6" s="1"/>
  <c r="M26" i="6" a="1"/>
  <c r="M26" i="6" s="1"/>
  <c r="M28" i="6" a="1"/>
  <c r="M28" i="6" s="1"/>
  <c r="M25" i="6" a="1"/>
  <c r="M25" i="6" s="1"/>
  <c r="M81" i="6" a="1"/>
  <c r="M81" i="6" s="1"/>
  <c r="M29" i="6" a="1"/>
  <c r="M29" i="6" s="1"/>
  <c r="M116" i="6" a="1"/>
  <c r="M116" i="6" s="1"/>
  <c r="M97" i="6" a="1"/>
  <c r="M97" i="6" s="1"/>
  <c r="M13" i="6" a="1"/>
  <c r="M13" i="6" s="1"/>
  <c r="I10" i="2"/>
  <c r="M10" i="2" s="1"/>
  <c r="S40" i="2" s="1"/>
  <c r="I14" i="2"/>
  <c r="Q44" i="2" s="1"/>
  <c r="I12" i="2"/>
  <c r="Q42" i="2" s="1"/>
  <c r="I13" i="2"/>
  <c r="Q43" i="2" s="1"/>
  <c r="I30" i="2"/>
  <c r="J30" i="2" s="1"/>
  <c r="M20" i="2"/>
  <c r="N20" i="2" s="1"/>
  <c r="O20" i="2" s="1"/>
  <c r="J28" i="2"/>
  <c r="J25" i="2"/>
  <c r="M25" i="2"/>
  <c r="N25" i="2" s="1"/>
  <c r="O25" i="2" s="1"/>
  <c r="M22" i="2"/>
  <c r="N22" i="2" s="1"/>
  <c r="O22" i="2" s="1"/>
  <c r="J22" i="2"/>
  <c r="M24" i="2"/>
  <c r="N24" i="2" s="1"/>
  <c r="O24" i="2" s="1"/>
  <c r="J24" i="2"/>
  <c r="I9" i="2"/>
  <c r="Q39" i="2" s="1"/>
  <c r="I19" i="2"/>
  <c r="I33" i="2"/>
  <c r="M33" i="2" s="1"/>
  <c r="N33" i="2" s="1"/>
  <c r="O33" i="2" s="1"/>
  <c r="I11" i="2"/>
  <c r="M11" i="2" s="1"/>
  <c r="J16" i="2"/>
  <c r="M16" i="2"/>
  <c r="N16" i="2" s="1"/>
  <c r="O16" i="2" s="1"/>
  <c r="J15" i="2"/>
  <c r="M15" i="2"/>
  <c r="N15" i="2" s="1"/>
  <c r="O15" i="2" s="1"/>
  <c r="J32" i="2"/>
  <c r="M26" i="2"/>
  <c r="N26" i="2" s="1"/>
  <c r="O26" i="2" s="1"/>
  <c r="I17" i="2"/>
  <c r="M17" i="2" s="1"/>
  <c r="N17" i="2" s="1"/>
  <c r="O17" i="2" s="1"/>
  <c r="J23" i="2"/>
  <c r="M23" i="2"/>
  <c r="N23" i="2" s="1"/>
  <c r="O23" i="2" s="1"/>
  <c r="J31" i="2"/>
  <c r="M31" i="2"/>
  <c r="N31" i="2" s="1"/>
  <c r="O31" i="2" s="1"/>
  <c r="J29" i="2"/>
  <c r="M29" i="2"/>
  <c r="N29" i="2" s="1"/>
  <c r="O29" i="2" s="1"/>
  <c r="M21" i="2"/>
  <c r="N21" i="2" s="1"/>
  <c r="O21" i="2" s="1"/>
  <c r="J21" i="2"/>
  <c r="M18" i="2"/>
  <c r="N18" i="2" s="1"/>
  <c r="O18" i="2" s="1"/>
  <c r="J18" i="2"/>
  <c r="M27" i="2"/>
  <c r="N27" i="2" s="1"/>
  <c r="O27" i="2" s="1"/>
  <c r="J27" i="2"/>
  <c r="Q153" i="20" l="1"/>
  <c r="R153" i="20" s="1"/>
  <c r="T153" i="20" s="1"/>
  <c r="U153" i="20" s="1"/>
  <c r="B149" i="21" s="1"/>
  <c r="D149" i="21" s="1"/>
  <c r="E149" i="21" s="1"/>
  <c r="Q152" i="20"/>
  <c r="R152" i="20" s="1"/>
  <c r="T152" i="20" s="1"/>
  <c r="AI152" i="20" s="1"/>
  <c r="K152" i="20" s="1"/>
  <c r="Q155" i="20"/>
  <c r="R155" i="20" s="1"/>
  <c r="T155" i="20" s="1"/>
  <c r="AI155" i="20" s="1"/>
  <c r="K155" i="20" s="1"/>
  <c r="AD152" i="14"/>
  <c r="AE152" i="14" s="1"/>
  <c r="AF152" i="14"/>
  <c r="Z152" i="14"/>
  <c r="X152" i="14"/>
  <c r="V152" i="14"/>
  <c r="AA152" i="14"/>
  <c r="U152" i="20"/>
  <c r="B148" i="21" s="1"/>
  <c r="D148" i="21" s="1"/>
  <c r="E148" i="21" s="1"/>
  <c r="AF153" i="14"/>
  <c r="AD153" i="14"/>
  <c r="AE153" i="14" s="1"/>
  <c r="X153" i="14"/>
  <c r="Z153" i="14"/>
  <c r="AA153" i="14"/>
  <c r="V153" i="14"/>
  <c r="W153" i="14" s="1"/>
  <c r="V154" i="14"/>
  <c r="W154" i="14" s="1"/>
  <c r="AF154" i="14"/>
  <c r="AD154" i="14"/>
  <c r="AE154" i="14" s="1"/>
  <c r="X154" i="14"/>
  <c r="Z154" i="14"/>
  <c r="AA154" i="14"/>
  <c r="Q154" i="20"/>
  <c r="R154" i="20" s="1"/>
  <c r="T154" i="20" s="1"/>
  <c r="Z155" i="14"/>
  <c r="AA155" i="14"/>
  <c r="V155" i="14"/>
  <c r="W155" i="14" s="1"/>
  <c r="AF155" i="14"/>
  <c r="AD155" i="14"/>
  <c r="AE155" i="14" s="1"/>
  <c r="X155" i="14"/>
  <c r="Q151" i="20"/>
  <c r="R151" i="20" s="1"/>
  <c r="T151" i="20" s="1"/>
  <c r="U151" i="20" s="1"/>
  <c r="B147" i="21" s="1"/>
  <c r="D147" i="21" s="1"/>
  <c r="E147" i="21" s="1"/>
  <c r="Q144" i="20"/>
  <c r="R144" i="20" s="1"/>
  <c r="T144" i="20" s="1"/>
  <c r="U144" i="20" s="1"/>
  <c r="B140" i="21" s="1"/>
  <c r="D140" i="21" s="1"/>
  <c r="E140" i="21" s="1"/>
  <c r="Q145" i="20"/>
  <c r="R145" i="20" s="1"/>
  <c r="T145" i="20" s="1"/>
  <c r="AI145" i="20" s="1"/>
  <c r="K145" i="20" s="1"/>
  <c r="P149" i="20"/>
  <c r="O149" i="20"/>
  <c r="L149" i="20"/>
  <c r="P148" i="20"/>
  <c r="O148" i="20"/>
  <c r="L148" i="20"/>
  <c r="AF149" i="14"/>
  <c r="V149" i="14"/>
  <c r="AD149" i="14"/>
  <c r="AE149" i="14" s="1"/>
  <c r="X149" i="14"/>
  <c r="Z149" i="14"/>
  <c r="AA149" i="14"/>
  <c r="AD148" i="14"/>
  <c r="AE148" i="14" s="1"/>
  <c r="X148" i="14"/>
  <c r="V148" i="14"/>
  <c r="AF148" i="14"/>
  <c r="Z148" i="14"/>
  <c r="AA148" i="14"/>
  <c r="V146" i="14"/>
  <c r="W146" i="14" s="1"/>
  <c r="AD146" i="14"/>
  <c r="AE146" i="14" s="1"/>
  <c r="Z146" i="14"/>
  <c r="AA146" i="14"/>
  <c r="AF146" i="14"/>
  <c r="X146" i="14"/>
  <c r="AD144" i="14"/>
  <c r="AE144" i="14" s="1"/>
  <c r="X144" i="14"/>
  <c r="V144" i="14"/>
  <c r="W144" i="14" s="1"/>
  <c r="Z144" i="14"/>
  <c r="AA144" i="14"/>
  <c r="AF144" i="14"/>
  <c r="J150" i="20"/>
  <c r="Q147" i="20"/>
  <c r="R147" i="20" s="1"/>
  <c r="T147" i="20" s="1"/>
  <c r="AD150" i="14"/>
  <c r="AE150" i="14" s="1"/>
  <c r="X150" i="14"/>
  <c r="Z150" i="14"/>
  <c r="AA150" i="14"/>
  <c r="AF150" i="14"/>
  <c r="V150" i="14"/>
  <c r="V151" i="14"/>
  <c r="W151" i="14" s="1"/>
  <c r="AD151" i="14"/>
  <c r="AE151" i="14" s="1"/>
  <c r="AA151" i="14"/>
  <c r="AF151" i="14"/>
  <c r="X151" i="14"/>
  <c r="Z151" i="14"/>
  <c r="AF145" i="14"/>
  <c r="Z145" i="14"/>
  <c r="AD145" i="14"/>
  <c r="AE145" i="14" s="1"/>
  <c r="X145" i="14"/>
  <c r="AA145" i="14"/>
  <c r="V145" i="14"/>
  <c r="W145" i="14" s="1"/>
  <c r="Q146" i="20"/>
  <c r="R146" i="20" s="1"/>
  <c r="T146" i="20" s="1"/>
  <c r="Z147" i="14"/>
  <c r="X147" i="14"/>
  <c r="V147" i="14"/>
  <c r="W147" i="14" s="1"/>
  <c r="AA147" i="14"/>
  <c r="AD147" i="14"/>
  <c r="AE147" i="14" s="1"/>
  <c r="AF147" i="14"/>
  <c r="Q135" i="20"/>
  <c r="R135" i="20" s="1"/>
  <c r="T135" i="20" s="1"/>
  <c r="Q140" i="20"/>
  <c r="R140" i="20" s="1"/>
  <c r="T140" i="20" s="1"/>
  <c r="Q138" i="20"/>
  <c r="R138" i="20" s="1"/>
  <c r="T138" i="20" s="1"/>
  <c r="U138" i="20" s="1"/>
  <c r="B134" i="21" s="1"/>
  <c r="Q141" i="20"/>
  <c r="R141" i="20" s="1"/>
  <c r="T141" i="20" s="1"/>
  <c r="U141" i="20" s="1"/>
  <c r="B137" i="21" s="1"/>
  <c r="Q143" i="20"/>
  <c r="R143" i="20" s="1"/>
  <c r="T143" i="20" s="1"/>
  <c r="AI143" i="20" s="1"/>
  <c r="K143" i="20" s="1"/>
  <c r="Q132" i="20"/>
  <c r="R132" i="20" s="1"/>
  <c r="T132" i="20" s="1"/>
  <c r="AI132" i="20" s="1"/>
  <c r="K132" i="20" s="1"/>
  <c r="Q142" i="20"/>
  <c r="R142" i="20" s="1"/>
  <c r="T142" i="20" s="1"/>
  <c r="U142" i="20" s="1"/>
  <c r="B138" i="21" s="1"/>
  <c r="Q128" i="20"/>
  <c r="R128" i="20" s="1"/>
  <c r="T128" i="20" s="1"/>
  <c r="U128" i="20" s="1"/>
  <c r="B124" i="21" s="1"/>
  <c r="V137" i="14"/>
  <c r="W137" i="14" s="1"/>
  <c r="Z137" i="14"/>
  <c r="AF137" i="14"/>
  <c r="AA137" i="14"/>
  <c r="AD137" i="14"/>
  <c r="AE137" i="14" s="1"/>
  <c r="X137" i="14"/>
  <c r="Z138" i="14"/>
  <c r="AA138" i="14"/>
  <c r="V138" i="14"/>
  <c r="AD138" i="14"/>
  <c r="AE138" i="14" s="1"/>
  <c r="AF138" i="14"/>
  <c r="X138" i="14"/>
  <c r="V141" i="14"/>
  <c r="W141" i="14" s="1"/>
  <c r="AF141" i="14"/>
  <c r="Z141" i="14"/>
  <c r="AD141" i="14"/>
  <c r="AE141" i="14" s="1"/>
  <c r="X141" i="14"/>
  <c r="AA141" i="14"/>
  <c r="Q136" i="20"/>
  <c r="R136" i="20" s="1"/>
  <c r="T136" i="20" s="1"/>
  <c r="AA135" i="14"/>
  <c r="V135" i="14"/>
  <c r="W135" i="14" s="1"/>
  <c r="AD135" i="14"/>
  <c r="AE135" i="14" s="1"/>
  <c r="AF135" i="14"/>
  <c r="Z135" i="14"/>
  <c r="X135" i="14"/>
  <c r="Z143" i="14"/>
  <c r="AA143" i="14"/>
  <c r="V143" i="14"/>
  <c r="W143" i="14" s="1"/>
  <c r="AD143" i="14"/>
  <c r="AE143" i="14" s="1"/>
  <c r="AF143" i="14"/>
  <c r="X143" i="14"/>
  <c r="Q139" i="20"/>
  <c r="R139" i="20" s="1"/>
  <c r="T139" i="20" s="1"/>
  <c r="AA133" i="14"/>
  <c r="AD133" i="14"/>
  <c r="AE133" i="14" s="1"/>
  <c r="AF133" i="14"/>
  <c r="V133" i="14"/>
  <c r="W133" i="14" s="1"/>
  <c r="Z133" i="14"/>
  <c r="X133" i="14"/>
  <c r="AD132" i="14"/>
  <c r="AE132" i="14" s="1"/>
  <c r="AA132" i="14"/>
  <c r="X132" i="14"/>
  <c r="AF132" i="14"/>
  <c r="V132" i="14"/>
  <c r="W132" i="14" s="1"/>
  <c r="Z132" i="14"/>
  <c r="Q129" i="20"/>
  <c r="Z139" i="14"/>
  <c r="AA139" i="14"/>
  <c r="AD139" i="14"/>
  <c r="AE139" i="14" s="1"/>
  <c r="V139" i="14"/>
  <c r="W139" i="14" s="1"/>
  <c r="X139" i="14"/>
  <c r="AF139" i="14"/>
  <c r="AD134" i="14"/>
  <c r="AE134" i="14" s="1"/>
  <c r="X134" i="14"/>
  <c r="Z134" i="14"/>
  <c r="AA134" i="14"/>
  <c r="V134" i="14"/>
  <c r="W134" i="14" s="1"/>
  <c r="AF134" i="14"/>
  <c r="Q133" i="20"/>
  <c r="Q137" i="20"/>
  <c r="R137" i="20" s="1"/>
  <c r="T137" i="20" s="1"/>
  <c r="Q130" i="20"/>
  <c r="R130" i="20" s="1"/>
  <c r="T130" i="20" s="1"/>
  <c r="AD142" i="14"/>
  <c r="AE142" i="14" s="1"/>
  <c r="AA142" i="14"/>
  <c r="V142" i="14"/>
  <c r="W142" i="14" s="1"/>
  <c r="X142" i="14"/>
  <c r="Z142" i="14"/>
  <c r="AF142" i="14"/>
  <c r="Q134" i="20"/>
  <c r="AF140" i="14"/>
  <c r="AD140" i="14"/>
  <c r="AE140" i="14" s="1"/>
  <c r="X140" i="14"/>
  <c r="V140" i="14"/>
  <c r="Z140" i="14"/>
  <c r="AA140" i="14"/>
  <c r="AD136" i="14"/>
  <c r="AE136" i="14" s="1"/>
  <c r="AA136" i="14"/>
  <c r="Z136" i="14"/>
  <c r="X136" i="14"/>
  <c r="AF136" i="14"/>
  <c r="V136" i="14"/>
  <c r="Q131" i="20"/>
  <c r="R131" i="20" s="1"/>
  <c r="T131" i="20" s="1"/>
  <c r="AD131" i="14"/>
  <c r="AE131" i="14" s="1"/>
  <c r="X131" i="14"/>
  <c r="AF131" i="14"/>
  <c r="Z131" i="14"/>
  <c r="AA131" i="14"/>
  <c r="V131" i="14"/>
  <c r="W131" i="14" s="1"/>
  <c r="Z128" i="14"/>
  <c r="AD128" i="14"/>
  <c r="AE128" i="14" s="1"/>
  <c r="V128" i="14"/>
  <c r="X128" i="14"/>
  <c r="AA128" i="14"/>
  <c r="AF128" i="14"/>
  <c r="AF129" i="14"/>
  <c r="X129" i="14"/>
  <c r="AD129" i="14"/>
  <c r="AE129" i="14" s="1"/>
  <c r="AA129" i="14"/>
  <c r="V129" i="14"/>
  <c r="W129" i="14" s="1"/>
  <c r="Z129" i="14"/>
  <c r="Z130" i="14"/>
  <c r="AD130" i="14"/>
  <c r="AE130" i="14" s="1"/>
  <c r="AA130" i="14"/>
  <c r="AF130" i="14"/>
  <c r="V130" i="14"/>
  <c r="W130" i="14" s="1"/>
  <c r="X130" i="14"/>
  <c r="Q101" i="20"/>
  <c r="R101" i="20" s="1"/>
  <c r="T101" i="20" s="1"/>
  <c r="U101" i="20" s="1"/>
  <c r="B97" i="21" s="1"/>
  <c r="J74" i="20"/>
  <c r="P74" i="20" s="1"/>
  <c r="J12" i="20"/>
  <c r="L12" i="20" s="1"/>
  <c r="O5" i="20" s="1"/>
  <c r="Q38" i="20"/>
  <c r="R38" i="20" s="1"/>
  <c r="T38" i="20" s="1"/>
  <c r="U38" i="20" s="1"/>
  <c r="B34" i="21" s="1"/>
  <c r="Q55" i="20"/>
  <c r="R55" i="20" s="1"/>
  <c r="T55" i="20" s="1"/>
  <c r="AI55" i="20" s="1"/>
  <c r="K55" i="20" s="1"/>
  <c r="Q124" i="20"/>
  <c r="R124" i="20" s="1"/>
  <c r="T124" i="20" s="1"/>
  <c r="U124" i="20" s="1"/>
  <c r="B120" i="21" s="1"/>
  <c r="Q123" i="20"/>
  <c r="R123" i="20" s="1"/>
  <c r="T123" i="20" s="1"/>
  <c r="U123" i="20" s="1"/>
  <c r="B119" i="21" s="1"/>
  <c r="Q53" i="20"/>
  <c r="R53" i="20" s="1"/>
  <c r="T53" i="20" s="1"/>
  <c r="U53" i="20" s="1"/>
  <c r="B49" i="21" s="1"/>
  <c r="J50" i="20"/>
  <c r="L50" i="20" s="1"/>
  <c r="Q22" i="20"/>
  <c r="R22" i="20" s="1"/>
  <c r="T22" i="20" s="1"/>
  <c r="U22" i="20" s="1"/>
  <c r="B18" i="21" s="1"/>
  <c r="Q28" i="20"/>
  <c r="R28" i="20" s="1"/>
  <c r="T28" i="20" s="1"/>
  <c r="U28" i="20" s="1"/>
  <c r="B24" i="21" s="1"/>
  <c r="Q87" i="20"/>
  <c r="R87" i="20" s="1"/>
  <c r="T87" i="20" s="1"/>
  <c r="AI87" i="20" s="1"/>
  <c r="K87" i="20" s="1"/>
  <c r="Q31" i="20"/>
  <c r="R31" i="20" s="1"/>
  <c r="T31" i="20" s="1"/>
  <c r="AI31" i="20" s="1"/>
  <c r="K31" i="20" s="1"/>
  <c r="J70" i="20"/>
  <c r="P70" i="20" s="1"/>
  <c r="J66" i="20"/>
  <c r="P66" i="20" s="1"/>
  <c r="J78" i="20"/>
  <c r="L78" i="20" s="1"/>
  <c r="Q36" i="20"/>
  <c r="R36" i="20" s="1"/>
  <c r="T36" i="20" s="1"/>
  <c r="U36" i="20" s="1"/>
  <c r="B32" i="21" s="1"/>
  <c r="Q88" i="20"/>
  <c r="R88" i="20" s="1"/>
  <c r="Q67" i="20"/>
  <c r="R67" i="20" s="1"/>
  <c r="T67" i="20" s="1"/>
  <c r="U67" i="20" s="1"/>
  <c r="B63" i="21" s="1"/>
  <c r="Q42" i="20"/>
  <c r="R42" i="20" s="1"/>
  <c r="T42" i="20" s="1"/>
  <c r="AI42" i="20" s="1"/>
  <c r="K42" i="20" s="1"/>
  <c r="Q80" i="20"/>
  <c r="R80" i="20" s="1"/>
  <c r="T80" i="20" s="1"/>
  <c r="AI80" i="20" s="1"/>
  <c r="Q64" i="20"/>
  <c r="R64" i="20" s="1"/>
  <c r="T64" i="20" s="1"/>
  <c r="AI64" i="20" s="1"/>
  <c r="K64" i="20" s="1"/>
  <c r="Q17" i="20"/>
  <c r="R17" i="20" s="1"/>
  <c r="T17" i="20" s="1"/>
  <c r="AI17" i="20" s="1"/>
  <c r="K17" i="20" s="1"/>
  <c r="Q107" i="20"/>
  <c r="R107" i="20" s="1"/>
  <c r="T107" i="20" s="1"/>
  <c r="Q126" i="20"/>
  <c r="R126" i="20" s="1"/>
  <c r="T126" i="20" s="1"/>
  <c r="U126" i="20" s="1"/>
  <c r="B122" i="21" s="1"/>
  <c r="Q125" i="20"/>
  <c r="R125" i="20" s="1"/>
  <c r="T125" i="20" s="1"/>
  <c r="AI125" i="20" s="1"/>
  <c r="K125" i="20" s="1"/>
  <c r="Q118" i="20"/>
  <c r="R118" i="20" s="1"/>
  <c r="T118" i="20" s="1"/>
  <c r="AI118" i="20" s="1"/>
  <c r="K118" i="20" s="1"/>
  <c r="Q96" i="20"/>
  <c r="R96" i="20" s="1"/>
  <c r="T96" i="20" s="1"/>
  <c r="AI96" i="20" s="1"/>
  <c r="K96" i="20" s="1"/>
  <c r="Q75" i="20"/>
  <c r="R75" i="20" s="1"/>
  <c r="T75" i="20" s="1"/>
  <c r="U75" i="20" s="1"/>
  <c r="B71" i="21" s="1"/>
  <c r="Q34" i="20"/>
  <c r="R34" i="20" s="1"/>
  <c r="T34" i="20" s="1"/>
  <c r="U34" i="20" s="1"/>
  <c r="B30" i="21" s="1"/>
  <c r="J62" i="20"/>
  <c r="O62" i="20" s="1"/>
  <c r="Q104" i="20"/>
  <c r="R104" i="20" s="1"/>
  <c r="T104" i="20" s="1"/>
  <c r="U104" i="20" s="1"/>
  <c r="B100" i="21" s="1"/>
  <c r="J58" i="20"/>
  <c r="L58" i="20" s="1"/>
  <c r="Q26" i="20"/>
  <c r="R26" i="20" s="1"/>
  <c r="T26" i="20" s="1"/>
  <c r="AI26" i="20" s="1"/>
  <c r="K26" i="20" s="1"/>
  <c r="J54" i="20"/>
  <c r="O54" i="20" s="1"/>
  <c r="Q89" i="20"/>
  <c r="R89" i="20" s="1"/>
  <c r="T89" i="20" s="1"/>
  <c r="U89" i="20" s="1"/>
  <c r="B85" i="21" s="1"/>
  <c r="J82" i="20"/>
  <c r="O82" i="20" s="1"/>
  <c r="Q52" i="20"/>
  <c r="R52" i="20" s="1"/>
  <c r="T52" i="20" s="1"/>
  <c r="U52" i="20" s="1"/>
  <c r="B48" i="21" s="1"/>
  <c r="Q18" i="20"/>
  <c r="R18" i="20" s="1"/>
  <c r="T18" i="20" s="1"/>
  <c r="AI18" i="20" s="1"/>
  <c r="K18" i="20" s="1"/>
  <c r="Q86" i="20"/>
  <c r="R86" i="20" s="1"/>
  <c r="T86" i="20" s="1"/>
  <c r="Q51" i="20"/>
  <c r="R51" i="20" s="1"/>
  <c r="T51" i="20" s="1"/>
  <c r="AI51" i="20" s="1"/>
  <c r="K51" i="20" s="1"/>
  <c r="Q83" i="20"/>
  <c r="R83" i="20" s="1"/>
  <c r="T83" i="20" s="1"/>
  <c r="AI83" i="20" s="1"/>
  <c r="K83" i="20" s="1"/>
  <c r="Q71" i="20"/>
  <c r="R71" i="20" s="1"/>
  <c r="T71" i="20" s="1"/>
  <c r="AI71" i="20" s="1"/>
  <c r="Q98" i="20"/>
  <c r="R98" i="20" s="1"/>
  <c r="T98" i="20" s="1"/>
  <c r="U98" i="20" s="1"/>
  <c r="B94" i="21" s="1"/>
  <c r="Q21" i="20"/>
  <c r="R21" i="20" s="1"/>
  <c r="T21" i="20" s="1"/>
  <c r="U21" i="20" s="1"/>
  <c r="B17" i="21" s="1"/>
  <c r="Q69" i="20"/>
  <c r="R69" i="20" s="1"/>
  <c r="T69" i="20" s="1"/>
  <c r="Q47" i="20"/>
  <c r="R47" i="20" s="1"/>
  <c r="T47" i="20" s="1"/>
  <c r="U47" i="20" s="1"/>
  <c r="B43" i="21" s="1"/>
  <c r="Q115" i="20"/>
  <c r="R115" i="20" s="1"/>
  <c r="T115" i="20" s="1"/>
  <c r="AI115" i="20" s="1"/>
  <c r="Q92" i="20"/>
  <c r="R92" i="20" s="1"/>
  <c r="T92" i="20" s="1"/>
  <c r="AI92" i="20" s="1"/>
  <c r="K92" i="20" s="1"/>
  <c r="Q95" i="20"/>
  <c r="R95" i="20" s="1"/>
  <c r="T95" i="20" s="1"/>
  <c r="U95" i="20" s="1"/>
  <c r="B91" i="21" s="1"/>
  <c r="Q105" i="20"/>
  <c r="R105" i="20" s="1"/>
  <c r="T105" i="20" s="1"/>
  <c r="U105" i="20" s="1"/>
  <c r="B101" i="21" s="1"/>
  <c r="Q65" i="20"/>
  <c r="R65" i="20" s="1"/>
  <c r="T65" i="20" s="1"/>
  <c r="AI65" i="20" s="1"/>
  <c r="K65" i="20" s="1"/>
  <c r="L116" i="20"/>
  <c r="O116" i="20"/>
  <c r="P116" i="20"/>
  <c r="P23" i="20"/>
  <c r="O23" i="20"/>
  <c r="L23" i="20"/>
  <c r="P27" i="20"/>
  <c r="O27" i="20"/>
  <c r="L27" i="20"/>
  <c r="P39" i="20"/>
  <c r="O39" i="20"/>
  <c r="L39" i="20"/>
  <c r="P19" i="20"/>
  <c r="O19" i="20"/>
  <c r="L19" i="20"/>
  <c r="Q103" i="20"/>
  <c r="R103" i="20" s="1"/>
  <c r="T103" i="20" s="1"/>
  <c r="J20" i="20"/>
  <c r="Q76" i="20"/>
  <c r="R76" i="20" s="1"/>
  <c r="T76" i="20" s="1"/>
  <c r="Q93" i="20"/>
  <c r="R93" i="20" s="1"/>
  <c r="T93" i="20" s="1"/>
  <c r="Q15" i="20"/>
  <c r="R15" i="20" s="1"/>
  <c r="T15" i="20" s="1"/>
  <c r="AA64" i="19"/>
  <c r="AF64" i="19"/>
  <c r="V64" i="19"/>
  <c r="AD64" i="19"/>
  <c r="AE64" i="19" s="1"/>
  <c r="X64" i="19"/>
  <c r="Z64" i="19"/>
  <c r="AD62" i="19"/>
  <c r="AE62" i="19" s="1"/>
  <c r="X62" i="19"/>
  <c r="Z62" i="19"/>
  <c r="V62" i="19"/>
  <c r="W62" i="19" s="1"/>
  <c r="AA62" i="19"/>
  <c r="AF62" i="19"/>
  <c r="V81" i="19"/>
  <c r="W81" i="19" s="1"/>
  <c r="X81" i="19"/>
  <c r="AF81" i="19"/>
  <c r="AA81" i="19"/>
  <c r="AD81" i="19"/>
  <c r="AE81" i="19" s="1"/>
  <c r="Z81" i="19"/>
  <c r="X31" i="19"/>
  <c r="V31" i="19"/>
  <c r="AF31" i="19"/>
  <c r="AA31" i="19"/>
  <c r="Z31" i="19"/>
  <c r="AD31" i="19"/>
  <c r="AE31" i="19" s="1"/>
  <c r="Q114" i="20"/>
  <c r="R114" i="20" s="1"/>
  <c r="T114" i="20" s="1"/>
  <c r="AD117" i="19"/>
  <c r="AE117" i="19" s="1"/>
  <c r="V117" i="19"/>
  <c r="AA117" i="19"/>
  <c r="X117" i="19"/>
  <c r="AF117" i="19"/>
  <c r="Z117" i="19"/>
  <c r="AD119" i="19"/>
  <c r="AE119" i="19" s="1"/>
  <c r="AF119" i="19"/>
  <c r="AA119" i="19"/>
  <c r="X119" i="19"/>
  <c r="V119" i="19"/>
  <c r="W119" i="19" s="1"/>
  <c r="Z119" i="19"/>
  <c r="Q68" i="20"/>
  <c r="R68" i="20" s="1"/>
  <c r="T68" i="20" s="1"/>
  <c r="Q44" i="20"/>
  <c r="R44" i="20" s="1"/>
  <c r="T44" i="20" s="1"/>
  <c r="Q102" i="20"/>
  <c r="R102" i="20" s="1"/>
  <c r="T102" i="20" s="1"/>
  <c r="Q73" i="20"/>
  <c r="R73" i="20" s="1"/>
  <c r="T73" i="20" s="1"/>
  <c r="Q57" i="20"/>
  <c r="R57" i="20" s="1"/>
  <c r="T57" i="20" s="1"/>
  <c r="AA93" i="19"/>
  <c r="Z93" i="19"/>
  <c r="AD93" i="19"/>
  <c r="AE93" i="19" s="1"/>
  <c r="V93" i="19"/>
  <c r="W93" i="19" s="1"/>
  <c r="AF93" i="19"/>
  <c r="X93" i="19"/>
  <c r="AA87" i="19"/>
  <c r="AD87" i="19"/>
  <c r="AE87" i="19" s="1"/>
  <c r="AF87" i="19"/>
  <c r="V87" i="19"/>
  <c r="W87" i="19" s="1"/>
  <c r="Z87" i="19"/>
  <c r="X87" i="19"/>
  <c r="V20" i="19"/>
  <c r="W20" i="19" s="1"/>
  <c r="AD20" i="19"/>
  <c r="AE20" i="19" s="1"/>
  <c r="AF20" i="19"/>
  <c r="Z20" i="19"/>
  <c r="AA20" i="19"/>
  <c r="X20" i="19"/>
  <c r="X40" i="19"/>
  <c r="Z40" i="19"/>
  <c r="AF40" i="19"/>
  <c r="AD40" i="19"/>
  <c r="AE40" i="19" s="1"/>
  <c r="V40" i="19"/>
  <c r="W40" i="19" s="1"/>
  <c r="AA40" i="19"/>
  <c r="V105" i="19"/>
  <c r="W105" i="19" s="1"/>
  <c r="AA105" i="19"/>
  <c r="AF105" i="19"/>
  <c r="X105" i="19"/>
  <c r="AD105" i="19"/>
  <c r="AE105" i="19" s="1"/>
  <c r="Z105" i="19"/>
  <c r="AA22" i="19"/>
  <c r="AD22" i="19"/>
  <c r="AE22" i="19" s="1"/>
  <c r="X22" i="19"/>
  <c r="Z22" i="19"/>
  <c r="V22" i="19"/>
  <c r="W22" i="19" s="1"/>
  <c r="AF22" i="19"/>
  <c r="Q120" i="20"/>
  <c r="R120" i="20" s="1"/>
  <c r="T120" i="20" s="1"/>
  <c r="Q108" i="20"/>
  <c r="R108" i="20" s="1"/>
  <c r="T108" i="20" s="1"/>
  <c r="Q97" i="20"/>
  <c r="R97" i="20" s="1"/>
  <c r="T97" i="20" s="1"/>
  <c r="Q81" i="20"/>
  <c r="R81" i="20" s="1"/>
  <c r="T81" i="20" s="1"/>
  <c r="AA28" i="19"/>
  <c r="AD28" i="19"/>
  <c r="AE28" i="19" s="1"/>
  <c r="V28" i="19"/>
  <c r="W28" i="19" s="1"/>
  <c r="Z28" i="19"/>
  <c r="AF28" i="19"/>
  <c r="X28" i="19"/>
  <c r="X34" i="19"/>
  <c r="V34" i="19"/>
  <c r="AA34" i="19"/>
  <c r="Z34" i="19"/>
  <c r="AF34" i="19"/>
  <c r="AD34" i="19"/>
  <c r="AE34" i="19" s="1"/>
  <c r="V44" i="19"/>
  <c r="AA44" i="19"/>
  <c r="AF44" i="19"/>
  <c r="X44" i="19"/>
  <c r="AD44" i="19"/>
  <c r="AE44" i="19" s="1"/>
  <c r="Z44" i="19"/>
  <c r="Z32" i="19"/>
  <c r="AD32" i="19"/>
  <c r="AE32" i="19" s="1"/>
  <c r="AF32" i="19"/>
  <c r="X32" i="19"/>
  <c r="V32" i="19"/>
  <c r="W32" i="19" s="1"/>
  <c r="AA32" i="19"/>
  <c r="V97" i="19"/>
  <c r="W97" i="19" s="1"/>
  <c r="AA97" i="19"/>
  <c r="AF97" i="19"/>
  <c r="X97" i="19"/>
  <c r="AD97" i="19"/>
  <c r="AE97" i="19" s="1"/>
  <c r="Z97" i="19"/>
  <c r="V15" i="19"/>
  <c r="AD15" i="19"/>
  <c r="AE15" i="19" s="1"/>
  <c r="X15" i="19"/>
  <c r="AA15" i="19"/>
  <c r="AF15" i="19"/>
  <c r="Z15" i="19"/>
  <c r="Z86" i="19"/>
  <c r="AF86" i="19"/>
  <c r="AA86" i="19"/>
  <c r="X86" i="19"/>
  <c r="AD86" i="19"/>
  <c r="AE86" i="19" s="1"/>
  <c r="V86" i="19"/>
  <c r="AA94" i="19"/>
  <c r="X94" i="19"/>
  <c r="AD94" i="19"/>
  <c r="AE94" i="19" s="1"/>
  <c r="V94" i="19"/>
  <c r="W94" i="19" s="1"/>
  <c r="Z94" i="19"/>
  <c r="AF94" i="19"/>
  <c r="AD51" i="19"/>
  <c r="AE51" i="19" s="1"/>
  <c r="AA51" i="19"/>
  <c r="AF51" i="19"/>
  <c r="V51" i="19"/>
  <c r="X51" i="19"/>
  <c r="Z51" i="19"/>
  <c r="Z121" i="19"/>
  <c r="X121" i="19"/>
  <c r="AA121" i="19"/>
  <c r="AF121" i="19"/>
  <c r="AD121" i="19"/>
  <c r="AE121" i="19" s="1"/>
  <c r="V121" i="19"/>
  <c r="Q117" i="20"/>
  <c r="R117" i="20" s="1"/>
  <c r="T117" i="20" s="1"/>
  <c r="Q41" i="20"/>
  <c r="Q11" i="20"/>
  <c r="R11" i="20" s="1"/>
  <c r="T11" i="20" s="1"/>
  <c r="Q79" i="20"/>
  <c r="R79" i="20" s="1"/>
  <c r="T79" i="20" s="1"/>
  <c r="Q30" i="20"/>
  <c r="R30" i="20" s="1"/>
  <c r="T30" i="20" s="1"/>
  <c r="Q59" i="20"/>
  <c r="R59" i="20" s="1"/>
  <c r="T59" i="20" s="1"/>
  <c r="Q94" i="20"/>
  <c r="R94" i="20" s="1"/>
  <c r="T94" i="20" s="1"/>
  <c r="Q77" i="20"/>
  <c r="R77" i="20" s="1"/>
  <c r="T77" i="20" s="1"/>
  <c r="Q99" i="20"/>
  <c r="R99" i="20" s="1"/>
  <c r="T99" i="20" s="1"/>
  <c r="X21" i="19"/>
  <c r="Z21" i="19"/>
  <c r="AD21" i="19"/>
  <c r="AE21" i="19" s="1"/>
  <c r="AA21" i="19"/>
  <c r="AF21" i="19"/>
  <c r="V21" i="19"/>
  <c r="Z92" i="19"/>
  <c r="AD92" i="19"/>
  <c r="AE92" i="19" s="1"/>
  <c r="AA92" i="19"/>
  <c r="AF92" i="19"/>
  <c r="X92" i="19"/>
  <c r="V92" i="19"/>
  <c r="W92" i="19" s="1"/>
  <c r="X23" i="19"/>
  <c r="Z23" i="19"/>
  <c r="AA23" i="19"/>
  <c r="AD23" i="19"/>
  <c r="AE23" i="19" s="1"/>
  <c r="AF23" i="19"/>
  <c r="V23" i="19"/>
  <c r="Z13" i="19"/>
  <c r="AA13" i="19"/>
  <c r="V13" i="19"/>
  <c r="W13" i="19" s="1"/>
  <c r="AF13" i="19"/>
  <c r="AD13" i="19"/>
  <c r="AE13" i="19" s="1"/>
  <c r="X13" i="19"/>
  <c r="AD112" i="19"/>
  <c r="AE112" i="19" s="1"/>
  <c r="Z112" i="19"/>
  <c r="AA112" i="19"/>
  <c r="V112" i="19"/>
  <c r="W112" i="19" s="1"/>
  <c r="AF112" i="19"/>
  <c r="X112" i="19"/>
  <c r="V113" i="19"/>
  <c r="W113" i="19" s="1"/>
  <c r="Z113" i="19"/>
  <c r="X113" i="19"/>
  <c r="AF113" i="19"/>
  <c r="AD113" i="19"/>
  <c r="AE113" i="19" s="1"/>
  <c r="AA113" i="19"/>
  <c r="Q119" i="20"/>
  <c r="R119" i="20" s="1"/>
  <c r="T119" i="20" s="1"/>
  <c r="Q91" i="20"/>
  <c r="Q29" i="20"/>
  <c r="R29" i="20" s="1"/>
  <c r="T29" i="20" s="1"/>
  <c r="Q37" i="20"/>
  <c r="R37" i="20" s="1"/>
  <c r="T37" i="20" s="1"/>
  <c r="AF98" i="19"/>
  <c r="Z98" i="19"/>
  <c r="AA98" i="19"/>
  <c r="AD98" i="19"/>
  <c r="AE98" i="19" s="1"/>
  <c r="X98" i="19"/>
  <c r="V98" i="19"/>
  <c r="W98" i="19" s="1"/>
  <c r="X102" i="19"/>
  <c r="Z102" i="19"/>
  <c r="V102" i="19"/>
  <c r="W102" i="19" s="1"/>
  <c r="AD102" i="19"/>
  <c r="AE102" i="19" s="1"/>
  <c r="AF102" i="19"/>
  <c r="AA102" i="19"/>
  <c r="V25" i="19"/>
  <c r="AF25" i="19"/>
  <c r="Z25" i="19"/>
  <c r="AD25" i="19"/>
  <c r="AE25" i="19" s="1"/>
  <c r="AA25" i="19"/>
  <c r="X25" i="19"/>
  <c r="AF56" i="19"/>
  <c r="AA56" i="19"/>
  <c r="AD56" i="19"/>
  <c r="AE56" i="19" s="1"/>
  <c r="X56" i="19"/>
  <c r="V56" i="19"/>
  <c r="Z56" i="19"/>
  <c r="X85" i="19"/>
  <c r="Z85" i="19"/>
  <c r="AD85" i="19"/>
  <c r="AE85" i="19" s="1"/>
  <c r="AA85" i="19"/>
  <c r="AF85" i="19"/>
  <c r="V85" i="19"/>
  <c r="Z123" i="19"/>
  <c r="AA123" i="19"/>
  <c r="X123" i="19"/>
  <c r="V123" i="19"/>
  <c r="W123" i="19" s="1"/>
  <c r="AD123" i="19"/>
  <c r="AE123" i="19" s="1"/>
  <c r="AF123" i="19"/>
  <c r="X115" i="19"/>
  <c r="Z115" i="19"/>
  <c r="AD115" i="19"/>
  <c r="AE115" i="19" s="1"/>
  <c r="AF115" i="19"/>
  <c r="AA115" i="19"/>
  <c r="V115" i="19"/>
  <c r="AH16" i="20"/>
  <c r="J16" i="20" s="1"/>
  <c r="Q40" i="20"/>
  <c r="R40" i="20" s="1"/>
  <c r="T40" i="20" s="1"/>
  <c r="Q56" i="20"/>
  <c r="R56" i="20" s="1"/>
  <c r="T56" i="20" s="1"/>
  <c r="Q60" i="20"/>
  <c r="R60" i="20" s="1"/>
  <c r="T60" i="20" s="1"/>
  <c r="Q9" i="20"/>
  <c r="R9" i="20" s="1"/>
  <c r="Q49" i="20"/>
  <c r="R49" i="20" s="1"/>
  <c r="T49" i="20" s="1"/>
  <c r="AA63" i="19"/>
  <c r="AF63" i="19"/>
  <c r="Z63" i="19"/>
  <c r="AD63" i="19"/>
  <c r="AE63" i="19" s="1"/>
  <c r="X63" i="19"/>
  <c r="V63" i="19"/>
  <c r="W63" i="19" s="1"/>
  <c r="AD71" i="19"/>
  <c r="AE71" i="19" s="1"/>
  <c r="AF71" i="19"/>
  <c r="AA71" i="19"/>
  <c r="V71" i="19"/>
  <c r="Z71" i="19"/>
  <c r="X71" i="19"/>
  <c r="Z18" i="19"/>
  <c r="V18" i="19"/>
  <c r="W18" i="19" s="1"/>
  <c r="AD18" i="19"/>
  <c r="AE18" i="19" s="1"/>
  <c r="AF18" i="19"/>
  <c r="X18" i="19"/>
  <c r="AA18" i="19"/>
  <c r="V78" i="19"/>
  <c r="W78" i="19" s="1"/>
  <c r="X78" i="19"/>
  <c r="AF78" i="19"/>
  <c r="Z78" i="19"/>
  <c r="AA78" i="19"/>
  <c r="AD78" i="19"/>
  <c r="AE78" i="19" s="1"/>
  <c r="V54" i="19"/>
  <c r="W54" i="19" s="1"/>
  <c r="X54" i="19"/>
  <c r="AD54" i="19"/>
  <c r="AE54" i="19" s="1"/>
  <c r="Z54" i="19"/>
  <c r="AF54" i="19"/>
  <c r="AA54" i="19"/>
  <c r="Q109" i="20"/>
  <c r="R109" i="20" s="1"/>
  <c r="T109" i="20" s="1"/>
  <c r="X109" i="19"/>
  <c r="AF109" i="19"/>
  <c r="AD109" i="19"/>
  <c r="AE109" i="19" s="1"/>
  <c r="V109" i="19"/>
  <c r="W109" i="19" s="1"/>
  <c r="Z109" i="19"/>
  <c r="AA109" i="19"/>
  <c r="Q61" i="20"/>
  <c r="R61" i="20" s="1"/>
  <c r="T61" i="20" s="1"/>
  <c r="Q13" i="20"/>
  <c r="R13" i="20" s="1"/>
  <c r="T13" i="20" s="1"/>
  <c r="Q63" i="20"/>
  <c r="R63" i="20" s="1"/>
  <c r="T63" i="20" s="1"/>
  <c r="Q72" i="20"/>
  <c r="R72" i="20" s="1"/>
  <c r="T72" i="20" s="1"/>
  <c r="Q106" i="20"/>
  <c r="R106" i="20" s="1"/>
  <c r="T106" i="20" s="1"/>
  <c r="Q32" i="20"/>
  <c r="R32" i="20" s="1"/>
  <c r="T32" i="20" s="1"/>
  <c r="V33" i="19"/>
  <c r="X33" i="19"/>
  <c r="AF33" i="19"/>
  <c r="AA33" i="19"/>
  <c r="Z33" i="19"/>
  <c r="AD33" i="19"/>
  <c r="AE33" i="19" s="1"/>
  <c r="Q127" i="20"/>
  <c r="R127" i="20" s="1"/>
  <c r="T127" i="20" s="1"/>
  <c r="Q24" i="20"/>
  <c r="R24" i="20" s="1"/>
  <c r="T24" i="20" s="1"/>
  <c r="Q35" i="20"/>
  <c r="R35" i="20" s="1"/>
  <c r="T35" i="20" s="1"/>
  <c r="Q33" i="20"/>
  <c r="R33" i="20" s="1"/>
  <c r="T33" i="20" s="1"/>
  <c r="Q45" i="20"/>
  <c r="R45" i="20" s="1"/>
  <c r="T45" i="20" s="1"/>
  <c r="V10" i="19"/>
  <c r="W10" i="19" s="1"/>
  <c r="AF10" i="19"/>
  <c r="AA10" i="19"/>
  <c r="AD10" i="19"/>
  <c r="AE10" i="19" s="1"/>
  <c r="Z10" i="19"/>
  <c r="X10" i="19"/>
  <c r="Z60" i="19"/>
  <c r="X60" i="19"/>
  <c r="AD60" i="19"/>
  <c r="AE60" i="19" s="1"/>
  <c r="AF60" i="19"/>
  <c r="V60" i="19"/>
  <c r="AA60" i="19"/>
  <c r="AD29" i="19"/>
  <c r="AE29" i="19" s="1"/>
  <c r="AF29" i="19"/>
  <c r="V29" i="19"/>
  <c r="Z29" i="19"/>
  <c r="X29" i="19"/>
  <c r="AA29" i="19"/>
  <c r="V17" i="19"/>
  <c r="Z17" i="19"/>
  <c r="AF17" i="19"/>
  <c r="AA17" i="19"/>
  <c r="X17" i="19"/>
  <c r="AD17" i="19"/>
  <c r="AE17" i="19" s="1"/>
  <c r="Q110" i="20"/>
  <c r="Q113" i="20"/>
  <c r="R113" i="20" s="1"/>
  <c r="T113" i="20" s="1"/>
  <c r="AF108" i="19"/>
  <c r="Z108" i="19"/>
  <c r="V108" i="19"/>
  <c r="X108" i="19"/>
  <c r="AA108" i="19"/>
  <c r="AD108" i="19"/>
  <c r="AE108" i="19" s="1"/>
  <c r="Q10" i="20"/>
  <c r="R10" i="20" s="1"/>
  <c r="T10" i="20" s="1"/>
  <c r="Q48" i="20"/>
  <c r="R48" i="20" s="1"/>
  <c r="T48" i="20" s="1"/>
  <c r="Z82" i="19"/>
  <c r="AD82" i="19"/>
  <c r="AE82" i="19" s="1"/>
  <c r="AF82" i="19"/>
  <c r="V82" i="19"/>
  <c r="W82" i="19" s="1"/>
  <c r="X82" i="19"/>
  <c r="AA82" i="19"/>
  <c r="AF101" i="19"/>
  <c r="X101" i="19"/>
  <c r="AA101" i="19"/>
  <c r="AD101" i="19"/>
  <c r="AE101" i="19" s="1"/>
  <c r="Z101" i="19"/>
  <c r="V101" i="19"/>
  <c r="W101" i="19" s="1"/>
  <c r="AF70" i="19"/>
  <c r="Z70" i="19"/>
  <c r="AD70" i="19"/>
  <c r="AE70" i="19" s="1"/>
  <c r="X70" i="19"/>
  <c r="AA70" i="19"/>
  <c r="V70" i="19"/>
  <c r="W70" i="19" s="1"/>
  <c r="AA74" i="19"/>
  <c r="Z74" i="19"/>
  <c r="AD74" i="19"/>
  <c r="AE74" i="19" s="1"/>
  <c r="X74" i="19"/>
  <c r="AF74" i="19"/>
  <c r="V74" i="19"/>
  <c r="AD89" i="19"/>
  <c r="AE89" i="19" s="1"/>
  <c r="X89" i="19"/>
  <c r="V89" i="19"/>
  <c r="W89" i="19" s="1"/>
  <c r="AA89" i="19"/>
  <c r="AF89" i="19"/>
  <c r="Z89" i="19"/>
  <c r="AA128" i="19"/>
  <c r="X128" i="19"/>
  <c r="AD128" i="19"/>
  <c r="AE128" i="19" s="1"/>
  <c r="Z128" i="19"/>
  <c r="AF128" i="19"/>
  <c r="V128" i="19"/>
  <c r="W128" i="19" s="1"/>
  <c r="Q121" i="20"/>
  <c r="R121" i="20" s="1"/>
  <c r="T121" i="20" s="1"/>
  <c r="AA122" i="19"/>
  <c r="AF122" i="19"/>
  <c r="V122" i="19"/>
  <c r="W122" i="19" s="1"/>
  <c r="AD122" i="19"/>
  <c r="AE122" i="19" s="1"/>
  <c r="Z122" i="19"/>
  <c r="X122" i="19"/>
  <c r="AD118" i="19"/>
  <c r="AE118" i="19" s="1"/>
  <c r="X118" i="19"/>
  <c r="AF118" i="19"/>
  <c r="Z118" i="19"/>
  <c r="AA118" i="19"/>
  <c r="V118" i="19"/>
  <c r="W118" i="19" s="1"/>
  <c r="AE14" i="20"/>
  <c r="AH14" i="20" s="1"/>
  <c r="J14" i="20" s="1"/>
  <c r="AF45" i="19"/>
  <c r="X45" i="19"/>
  <c r="AD45" i="19"/>
  <c r="AE45" i="19" s="1"/>
  <c r="Z45" i="19"/>
  <c r="V45" i="19"/>
  <c r="W45" i="19" s="1"/>
  <c r="AA45" i="19"/>
  <c r="AA46" i="19"/>
  <c r="X46" i="19"/>
  <c r="V46" i="19"/>
  <c r="W46" i="19" s="1"/>
  <c r="AD46" i="19"/>
  <c r="AE46" i="19" s="1"/>
  <c r="Z46" i="19"/>
  <c r="AF46" i="19"/>
  <c r="AD30" i="19"/>
  <c r="AE30" i="19" s="1"/>
  <c r="AF30" i="19"/>
  <c r="X30" i="19"/>
  <c r="V30" i="19"/>
  <c r="W30" i="19" s="1"/>
  <c r="AA30" i="19"/>
  <c r="Z30" i="19"/>
  <c r="AA100" i="19"/>
  <c r="AF100" i="19"/>
  <c r="X100" i="19"/>
  <c r="V100" i="19"/>
  <c r="W100" i="19" s="1"/>
  <c r="Z100" i="19"/>
  <c r="AD100" i="19"/>
  <c r="AE100" i="19" s="1"/>
  <c r="AA24" i="19"/>
  <c r="X24" i="19"/>
  <c r="AD24" i="19"/>
  <c r="AE24" i="19" s="1"/>
  <c r="AF24" i="19"/>
  <c r="Z24" i="19"/>
  <c r="V24" i="19"/>
  <c r="W24" i="19" s="1"/>
  <c r="AA52" i="19"/>
  <c r="X52" i="19"/>
  <c r="V52" i="19"/>
  <c r="W52" i="19" s="1"/>
  <c r="Z52" i="19"/>
  <c r="AD52" i="19"/>
  <c r="AE52" i="19" s="1"/>
  <c r="AF52" i="19"/>
  <c r="AD68" i="19"/>
  <c r="AE68" i="19" s="1"/>
  <c r="AA68" i="19"/>
  <c r="AF68" i="19"/>
  <c r="X68" i="19"/>
  <c r="V68" i="19"/>
  <c r="W68" i="19" s="1"/>
  <c r="Z68" i="19"/>
  <c r="AA107" i="19"/>
  <c r="AF107" i="19"/>
  <c r="X107" i="19"/>
  <c r="V107" i="19"/>
  <c r="AD107" i="19"/>
  <c r="AE107" i="19" s="1"/>
  <c r="Z107" i="19"/>
  <c r="AD59" i="19"/>
  <c r="AE59" i="19" s="1"/>
  <c r="AF59" i="19"/>
  <c r="AA59" i="19"/>
  <c r="X59" i="19"/>
  <c r="V59" i="19"/>
  <c r="W59" i="19" s="1"/>
  <c r="Z59" i="19"/>
  <c r="Q85" i="20"/>
  <c r="R85" i="20" s="1"/>
  <c r="T85" i="20" s="1"/>
  <c r="AH84" i="20"/>
  <c r="J84" i="20" s="1"/>
  <c r="AH46" i="20"/>
  <c r="J46" i="20" s="1"/>
  <c r="Q100" i="20"/>
  <c r="Q25" i="20"/>
  <c r="R25" i="20" s="1"/>
  <c r="T25" i="20" s="1"/>
  <c r="AD106" i="19"/>
  <c r="AE106" i="19" s="1"/>
  <c r="V106" i="19"/>
  <c r="W106" i="19" s="1"/>
  <c r="AF106" i="19"/>
  <c r="X106" i="19"/>
  <c r="AA106" i="19"/>
  <c r="Z106" i="19"/>
  <c r="AA61" i="19"/>
  <c r="AD61" i="19"/>
  <c r="AE61" i="19" s="1"/>
  <c r="X61" i="19"/>
  <c r="Z61" i="19"/>
  <c r="V61" i="19"/>
  <c r="W61" i="19" s="1"/>
  <c r="AF61" i="19"/>
  <c r="AF66" i="19"/>
  <c r="AD66" i="19"/>
  <c r="AE66" i="19" s="1"/>
  <c r="X66" i="19"/>
  <c r="V66" i="19"/>
  <c r="W66" i="19" s="1"/>
  <c r="AA66" i="19"/>
  <c r="Z66" i="19"/>
  <c r="V88" i="19"/>
  <c r="W88" i="19" s="1"/>
  <c r="Z88" i="19"/>
  <c r="AA88" i="19"/>
  <c r="AD88" i="19"/>
  <c r="AE88" i="19" s="1"/>
  <c r="X88" i="19"/>
  <c r="AF88" i="19"/>
  <c r="AA48" i="19"/>
  <c r="Z48" i="19"/>
  <c r="X48" i="19"/>
  <c r="V48" i="19"/>
  <c r="W48" i="19" s="1"/>
  <c r="AD48" i="19"/>
  <c r="AE48" i="19" s="1"/>
  <c r="AF48" i="19"/>
  <c r="AA38" i="19"/>
  <c r="Z38" i="19"/>
  <c r="V38" i="19"/>
  <c r="W38" i="19" s="1"/>
  <c r="AF38" i="19"/>
  <c r="AD38" i="19"/>
  <c r="AE38" i="19" s="1"/>
  <c r="X38" i="19"/>
  <c r="AA84" i="19"/>
  <c r="X84" i="19"/>
  <c r="V84" i="19"/>
  <c r="W84" i="19" s="1"/>
  <c r="Z84" i="19"/>
  <c r="AD84" i="19"/>
  <c r="AE84" i="19" s="1"/>
  <c r="AF84" i="19"/>
  <c r="AF19" i="19"/>
  <c r="AA19" i="19"/>
  <c r="V19" i="19"/>
  <c r="X19" i="19"/>
  <c r="AD19" i="19"/>
  <c r="AE19" i="19" s="1"/>
  <c r="Z19" i="19"/>
  <c r="AF90" i="19"/>
  <c r="Z90" i="19"/>
  <c r="X90" i="19"/>
  <c r="AA90" i="19"/>
  <c r="V90" i="19"/>
  <c r="AD90" i="19"/>
  <c r="AE90" i="19" s="1"/>
  <c r="AF91" i="19"/>
  <c r="AD91" i="19"/>
  <c r="AE91" i="19" s="1"/>
  <c r="Z91" i="19"/>
  <c r="V91" i="19"/>
  <c r="AA91" i="19"/>
  <c r="X91" i="19"/>
  <c r="AD53" i="19"/>
  <c r="AE53" i="19" s="1"/>
  <c r="X53" i="19"/>
  <c r="AF53" i="19"/>
  <c r="AA53" i="19"/>
  <c r="Z53" i="19"/>
  <c r="V53" i="19"/>
  <c r="W53" i="19" s="1"/>
  <c r="V120" i="19"/>
  <c r="X120" i="19"/>
  <c r="AA120" i="19"/>
  <c r="AF120" i="19"/>
  <c r="Z120" i="19"/>
  <c r="AD120" i="19"/>
  <c r="AE120" i="19" s="1"/>
  <c r="Q112" i="20"/>
  <c r="R112" i="20" s="1"/>
  <c r="T112" i="20" s="1"/>
  <c r="AA57" i="19"/>
  <c r="Z57" i="19"/>
  <c r="AF57" i="19"/>
  <c r="X57" i="19"/>
  <c r="V57" i="19"/>
  <c r="W57" i="19" s="1"/>
  <c r="AD57" i="19"/>
  <c r="AE57" i="19" s="1"/>
  <c r="AD55" i="19"/>
  <c r="AE55" i="19" s="1"/>
  <c r="Z55" i="19"/>
  <c r="X55" i="19"/>
  <c r="AA55" i="19"/>
  <c r="V55" i="19"/>
  <c r="W55" i="19" s="1"/>
  <c r="AF55" i="19"/>
  <c r="AF11" i="19"/>
  <c r="AA11" i="19"/>
  <c r="V11" i="19"/>
  <c r="W11" i="19" s="1"/>
  <c r="Z11" i="19"/>
  <c r="X11" i="19"/>
  <c r="AD11" i="19"/>
  <c r="AE11" i="19" s="1"/>
  <c r="Z67" i="19"/>
  <c r="AF67" i="19"/>
  <c r="X67" i="19"/>
  <c r="V67" i="19"/>
  <c r="AD67" i="19"/>
  <c r="AE67" i="19" s="1"/>
  <c r="AA67" i="19"/>
  <c r="V36" i="19"/>
  <c r="W36" i="19" s="1"/>
  <c r="AF36" i="19"/>
  <c r="Z36" i="19"/>
  <c r="AD36" i="19"/>
  <c r="AE36" i="19" s="1"/>
  <c r="X36" i="19"/>
  <c r="AA36" i="19"/>
  <c r="AD75" i="19"/>
  <c r="AE75" i="19" s="1"/>
  <c r="Z75" i="19"/>
  <c r="X75" i="19"/>
  <c r="AF75" i="19"/>
  <c r="V75" i="19"/>
  <c r="AA75" i="19"/>
  <c r="AF39" i="19"/>
  <c r="AA39" i="19"/>
  <c r="V39" i="19"/>
  <c r="W39" i="19" s="1"/>
  <c r="X39" i="19"/>
  <c r="AD39" i="19"/>
  <c r="AE39" i="19" s="1"/>
  <c r="Z39" i="19"/>
  <c r="X73" i="19"/>
  <c r="AD73" i="19"/>
  <c r="AE73" i="19" s="1"/>
  <c r="V73" i="19"/>
  <c r="W73" i="19" s="1"/>
  <c r="Z73" i="19"/>
  <c r="AF73" i="19"/>
  <c r="AA73" i="19"/>
  <c r="X43" i="19"/>
  <c r="AF43" i="19"/>
  <c r="V43" i="19"/>
  <c r="W43" i="19" s="1"/>
  <c r="Z43" i="19"/>
  <c r="AA43" i="19"/>
  <c r="AD43" i="19"/>
  <c r="AE43" i="19" s="1"/>
  <c r="Q111" i="20"/>
  <c r="R111" i="20" s="1"/>
  <c r="T111" i="20" s="1"/>
  <c r="AA124" i="19"/>
  <c r="AD124" i="19"/>
  <c r="AE124" i="19" s="1"/>
  <c r="AF124" i="19"/>
  <c r="V124" i="19"/>
  <c r="W124" i="19" s="1"/>
  <c r="Z124" i="19"/>
  <c r="X124" i="19"/>
  <c r="Z58" i="19"/>
  <c r="AD58" i="19"/>
  <c r="AE58" i="19" s="1"/>
  <c r="AA58" i="19"/>
  <c r="X58" i="19"/>
  <c r="V58" i="19"/>
  <c r="W58" i="19" s="1"/>
  <c r="AF58" i="19"/>
  <c r="Q122" i="20"/>
  <c r="R122" i="20" s="1"/>
  <c r="T122" i="20" s="1"/>
  <c r="V114" i="19"/>
  <c r="AD114" i="19"/>
  <c r="AE114" i="19" s="1"/>
  <c r="AA114" i="19"/>
  <c r="Z114" i="19"/>
  <c r="AF114" i="19"/>
  <c r="X114" i="19"/>
  <c r="P90" i="20"/>
  <c r="O90" i="20"/>
  <c r="L90" i="20"/>
  <c r="AF96" i="19"/>
  <c r="Z96" i="19"/>
  <c r="AD96" i="19"/>
  <c r="AE96" i="19" s="1"/>
  <c r="V96" i="19"/>
  <c r="W96" i="19" s="1"/>
  <c r="AA96" i="19"/>
  <c r="X96" i="19"/>
  <c r="AF26" i="19"/>
  <c r="AD26" i="19"/>
  <c r="AE26" i="19" s="1"/>
  <c r="AA26" i="19"/>
  <c r="X26" i="19"/>
  <c r="V26" i="19"/>
  <c r="W26" i="19" s="1"/>
  <c r="Z26" i="19"/>
  <c r="AF27" i="19"/>
  <c r="Z27" i="19"/>
  <c r="X27" i="19"/>
  <c r="AD27" i="19"/>
  <c r="AE27" i="19" s="1"/>
  <c r="V27" i="19"/>
  <c r="W27" i="19" s="1"/>
  <c r="AA27" i="19"/>
  <c r="Z14" i="19"/>
  <c r="AA14" i="19"/>
  <c r="V14" i="19"/>
  <c r="W14" i="19" s="1"/>
  <c r="AD14" i="19"/>
  <c r="AE14" i="19" s="1"/>
  <c r="AF14" i="19"/>
  <c r="X14" i="19"/>
  <c r="X37" i="19"/>
  <c r="Z37" i="19"/>
  <c r="AF37" i="19"/>
  <c r="V37" i="19"/>
  <c r="W37" i="19" s="1"/>
  <c r="AA37" i="19"/>
  <c r="AD37" i="19"/>
  <c r="AE37" i="19" s="1"/>
  <c r="AD104" i="19"/>
  <c r="AE104" i="19" s="1"/>
  <c r="AF104" i="19"/>
  <c r="V104" i="19"/>
  <c r="Z104" i="19"/>
  <c r="AA104" i="19"/>
  <c r="X104" i="19"/>
  <c r="Z50" i="19"/>
  <c r="AD50" i="19"/>
  <c r="AE50" i="19" s="1"/>
  <c r="AF50" i="19"/>
  <c r="X50" i="19"/>
  <c r="AA50" i="19"/>
  <c r="V50" i="19"/>
  <c r="W50" i="19" s="1"/>
  <c r="AA80" i="19"/>
  <c r="AF80" i="19"/>
  <c r="V80" i="19"/>
  <c r="W80" i="19" s="1"/>
  <c r="Z80" i="19"/>
  <c r="X80" i="19"/>
  <c r="AD80" i="19"/>
  <c r="AE80" i="19" s="1"/>
  <c r="X110" i="19"/>
  <c r="Z110" i="19"/>
  <c r="V110" i="19"/>
  <c r="W110" i="19" s="1"/>
  <c r="AF110" i="19"/>
  <c r="AD110" i="19"/>
  <c r="AE110" i="19" s="1"/>
  <c r="AA110" i="19"/>
  <c r="AD12" i="19"/>
  <c r="AE12" i="19" s="1"/>
  <c r="AF12" i="19"/>
  <c r="Z12" i="19"/>
  <c r="V12" i="19"/>
  <c r="W12" i="19" s="1"/>
  <c r="AA12" i="19"/>
  <c r="X12" i="19"/>
  <c r="AF16" i="19"/>
  <c r="X16" i="19"/>
  <c r="Z16" i="19"/>
  <c r="V16" i="19"/>
  <c r="AD16" i="19"/>
  <c r="AE16" i="19" s="1"/>
  <c r="AA16" i="19"/>
  <c r="V76" i="19"/>
  <c r="X76" i="19"/>
  <c r="Z76" i="19"/>
  <c r="AA76" i="19"/>
  <c r="AD76" i="19"/>
  <c r="AE76" i="19" s="1"/>
  <c r="AF76" i="19"/>
  <c r="AA103" i="19"/>
  <c r="AF103" i="19"/>
  <c r="X103" i="19"/>
  <c r="Z103" i="19"/>
  <c r="V103" i="19"/>
  <c r="AD103" i="19"/>
  <c r="AE103" i="19" s="1"/>
  <c r="X95" i="19"/>
  <c r="Z95" i="19"/>
  <c r="AF95" i="19"/>
  <c r="V95" i="19"/>
  <c r="W95" i="19" s="1"/>
  <c r="AA95" i="19"/>
  <c r="AD95" i="19"/>
  <c r="AE95" i="19" s="1"/>
  <c r="Z49" i="19"/>
  <c r="AD49" i="19"/>
  <c r="AE49" i="19" s="1"/>
  <c r="AA49" i="19"/>
  <c r="V49" i="19"/>
  <c r="W49" i="19" s="1"/>
  <c r="AF49" i="19"/>
  <c r="X49" i="19"/>
  <c r="V116" i="19"/>
  <c r="Z116" i="19"/>
  <c r="X116" i="19"/>
  <c r="AF116" i="19"/>
  <c r="AD116" i="19"/>
  <c r="AE116" i="19" s="1"/>
  <c r="AA116" i="19"/>
  <c r="AA125" i="19"/>
  <c r="Z125" i="19"/>
  <c r="V125" i="19"/>
  <c r="W125" i="19" s="1"/>
  <c r="X125" i="19"/>
  <c r="AF125" i="19"/>
  <c r="AD125" i="19"/>
  <c r="AE125" i="19" s="1"/>
  <c r="O43" i="20"/>
  <c r="P43" i="20"/>
  <c r="L43" i="20"/>
  <c r="Z79" i="19"/>
  <c r="AD79" i="19"/>
  <c r="AE79" i="19" s="1"/>
  <c r="X79" i="19"/>
  <c r="V79" i="19"/>
  <c r="W79" i="19" s="1"/>
  <c r="AA79" i="19"/>
  <c r="AF79" i="19"/>
  <c r="V41" i="19"/>
  <c r="Z41" i="19"/>
  <c r="AA41" i="19"/>
  <c r="AF41" i="19"/>
  <c r="X41" i="19"/>
  <c r="AD41" i="19"/>
  <c r="AE41" i="19" s="1"/>
  <c r="AA35" i="19"/>
  <c r="V35" i="19"/>
  <c r="W35" i="19" s="1"/>
  <c r="X35" i="19"/>
  <c r="AD35" i="19"/>
  <c r="AE35" i="19" s="1"/>
  <c r="AF35" i="19"/>
  <c r="Z35" i="19"/>
  <c r="V111" i="19"/>
  <c r="W111" i="19" s="1"/>
  <c r="AA111" i="19"/>
  <c r="AD111" i="19"/>
  <c r="AE111" i="19" s="1"/>
  <c r="AF111" i="19"/>
  <c r="Z111" i="19"/>
  <c r="X111" i="19"/>
  <c r="AD77" i="19"/>
  <c r="AE77" i="19" s="1"/>
  <c r="Z77" i="19"/>
  <c r="AA77" i="19"/>
  <c r="X77" i="19"/>
  <c r="AF77" i="19"/>
  <c r="V77" i="19"/>
  <c r="W77" i="19" s="1"/>
  <c r="AF83" i="19"/>
  <c r="X83" i="19"/>
  <c r="AD83" i="19"/>
  <c r="AE83" i="19" s="1"/>
  <c r="V83" i="19"/>
  <c r="W83" i="19" s="1"/>
  <c r="AA83" i="19"/>
  <c r="Z83" i="19"/>
  <c r="AD9" i="19"/>
  <c r="AE9" i="19" s="1"/>
  <c r="X9" i="19"/>
  <c r="AA9" i="19"/>
  <c r="AF9" i="19"/>
  <c r="Z9" i="19"/>
  <c r="V9" i="19"/>
  <c r="W9" i="19" s="1"/>
  <c r="AA65" i="19"/>
  <c r="X65" i="19"/>
  <c r="AD65" i="19"/>
  <c r="AE65" i="19" s="1"/>
  <c r="AF65" i="19"/>
  <c r="V65" i="19"/>
  <c r="Z65" i="19"/>
  <c r="Z69" i="19"/>
  <c r="AD69" i="19"/>
  <c r="AE69" i="19" s="1"/>
  <c r="AA69" i="19"/>
  <c r="X69" i="19"/>
  <c r="AF69" i="19"/>
  <c r="V69" i="19"/>
  <c r="W69" i="19" s="1"/>
  <c r="Z42" i="19"/>
  <c r="X42" i="19"/>
  <c r="AA42" i="19"/>
  <c r="V42" i="19"/>
  <c r="AD42" i="19"/>
  <c r="AE42" i="19" s="1"/>
  <c r="AF42" i="19"/>
  <c r="Z47" i="19"/>
  <c r="AF47" i="19"/>
  <c r="X47" i="19"/>
  <c r="AA47" i="19"/>
  <c r="AD47" i="19"/>
  <c r="AE47" i="19" s="1"/>
  <c r="V47" i="19"/>
  <c r="W47" i="19" s="1"/>
  <c r="AD99" i="19"/>
  <c r="AE99" i="19" s="1"/>
  <c r="Z99" i="19"/>
  <c r="V99" i="19"/>
  <c r="W99" i="19" s="1"/>
  <c r="X99" i="19"/>
  <c r="AA99" i="19"/>
  <c r="AF99" i="19"/>
  <c r="K127" i="19"/>
  <c r="AK127" i="19"/>
  <c r="AM127" i="19" s="1"/>
  <c r="U127" i="19"/>
  <c r="R72" i="19"/>
  <c r="T72" i="19" s="1"/>
  <c r="U126" i="19"/>
  <c r="T133" i="19" s="1"/>
  <c r="AJ126" i="19"/>
  <c r="K126" i="19" s="1"/>
  <c r="AA60" i="14"/>
  <c r="AF60" i="14"/>
  <c r="X60" i="14"/>
  <c r="AD60" i="14"/>
  <c r="AE60" i="14" s="1"/>
  <c r="Z60" i="14"/>
  <c r="V60" i="14"/>
  <c r="W60" i="14" s="1"/>
  <c r="AD59" i="14"/>
  <c r="AE59" i="14" s="1"/>
  <c r="AA59" i="14"/>
  <c r="X59" i="14"/>
  <c r="V59" i="14"/>
  <c r="W59" i="14" s="1"/>
  <c r="Z59" i="14"/>
  <c r="AF59" i="14"/>
  <c r="Z58" i="14"/>
  <c r="AF58" i="14"/>
  <c r="V58" i="14"/>
  <c r="AA58" i="14"/>
  <c r="X58" i="14"/>
  <c r="AD58" i="14"/>
  <c r="AE58" i="14" s="1"/>
  <c r="AF57" i="14"/>
  <c r="V57" i="14"/>
  <c r="W57" i="14" s="1"/>
  <c r="Z57" i="14"/>
  <c r="AA57" i="14"/>
  <c r="AD57" i="14"/>
  <c r="AE57" i="14" s="1"/>
  <c r="X57" i="14"/>
  <c r="V61" i="14"/>
  <c r="W61" i="14" s="1"/>
  <c r="AD61" i="14"/>
  <c r="AE61" i="14" s="1"/>
  <c r="X61" i="14"/>
  <c r="AF61" i="14"/>
  <c r="AA61" i="14"/>
  <c r="Z61" i="14"/>
  <c r="AA119" i="14"/>
  <c r="AF119" i="14"/>
  <c r="AD119" i="14"/>
  <c r="AE119" i="14" s="1"/>
  <c r="AD116" i="14"/>
  <c r="AE116" i="14" s="1"/>
  <c r="AF116" i="14"/>
  <c r="V116" i="14"/>
  <c r="X116" i="14"/>
  <c r="Z116" i="14"/>
  <c r="AA116" i="14"/>
  <c r="AF123" i="14"/>
  <c r="AD123" i="14"/>
  <c r="AE123" i="14" s="1"/>
  <c r="AD117" i="14"/>
  <c r="AE117" i="14" s="1"/>
  <c r="AF117" i="14"/>
  <c r="X122" i="14"/>
  <c r="AD122" i="14"/>
  <c r="AE122" i="14" s="1"/>
  <c r="AF122" i="14"/>
  <c r="AD114" i="14"/>
  <c r="AE114" i="14" s="1"/>
  <c r="X114" i="14"/>
  <c r="AF114" i="14"/>
  <c r="Z114" i="14"/>
  <c r="AA114" i="14"/>
  <c r="V114" i="14"/>
  <c r="AD125" i="14"/>
  <c r="AE125" i="14" s="1"/>
  <c r="AF125" i="14"/>
  <c r="Z118" i="14"/>
  <c r="AD118" i="14"/>
  <c r="AE118" i="14" s="1"/>
  <c r="AF118" i="14"/>
  <c r="Z115" i="14"/>
  <c r="V115" i="14"/>
  <c r="AD115" i="14"/>
  <c r="AE115" i="14" s="1"/>
  <c r="X115" i="14"/>
  <c r="AF115" i="14"/>
  <c r="AA115" i="14"/>
  <c r="AD121" i="14"/>
  <c r="AE121" i="14" s="1"/>
  <c r="AF121" i="14"/>
  <c r="AD126" i="14"/>
  <c r="AE126" i="14" s="1"/>
  <c r="AF126" i="14"/>
  <c r="AF127" i="14"/>
  <c r="AD127" i="14"/>
  <c r="AE127" i="14" s="1"/>
  <c r="AD124" i="14"/>
  <c r="AE124" i="14" s="1"/>
  <c r="AF124" i="14"/>
  <c r="AF113" i="14"/>
  <c r="V113" i="14"/>
  <c r="AD113" i="14"/>
  <c r="AE113" i="14" s="1"/>
  <c r="X113" i="14"/>
  <c r="Z113" i="14"/>
  <c r="AA113" i="14"/>
  <c r="AA120" i="14"/>
  <c r="AD120" i="14"/>
  <c r="AE120" i="14" s="1"/>
  <c r="AF120" i="14"/>
  <c r="AF82" i="14"/>
  <c r="X34" i="14"/>
  <c r="AD34" i="14"/>
  <c r="AE34" i="14" s="1"/>
  <c r="Z34" i="14"/>
  <c r="AF34" i="14"/>
  <c r="AA34" i="14"/>
  <c r="V34" i="14"/>
  <c r="W34" i="14" s="1"/>
  <c r="AD35" i="14"/>
  <c r="AE35" i="14" s="1"/>
  <c r="Z35" i="14"/>
  <c r="AF35" i="14"/>
  <c r="AA35" i="14"/>
  <c r="V35" i="14"/>
  <c r="W35" i="14" s="1"/>
  <c r="X35" i="14"/>
  <c r="V33" i="14"/>
  <c r="X33" i="14"/>
  <c r="AD33" i="14"/>
  <c r="AE33" i="14" s="1"/>
  <c r="Z33" i="14"/>
  <c r="AF33" i="14"/>
  <c r="AA33" i="14"/>
  <c r="AA36" i="14"/>
  <c r="V36" i="14"/>
  <c r="AF36" i="14"/>
  <c r="Z36" i="14"/>
  <c r="X36" i="14"/>
  <c r="AD36" i="14"/>
  <c r="AE36" i="14" s="1"/>
  <c r="AF87" i="14"/>
  <c r="AA87" i="14"/>
  <c r="X87" i="14"/>
  <c r="AD87" i="14"/>
  <c r="AE87" i="14" s="1"/>
  <c r="Z87" i="14"/>
  <c r="V87" i="14"/>
  <c r="AF89" i="14"/>
  <c r="AD89" i="14"/>
  <c r="AE89" i="14" s="1"/>
  <c r="AF88" i="14"/>
  <c r="AA88" i="14"/>
  <c r="AD88" i="14"/>
  <c r="AE88" i="14" s="1"/>
  <c r="Z88" i="14"/>
  <c r="X88" i="14"/>
  <c r="V88" i="14"/>
  <c r="AD85" i="14"/>
  <c r="AE85" i="14" s="1"/>
  <c r="Z85" i="14"/>
  <c r="X85" i="14"/>
  <c r="V85" i="14"/>
  <c r="AF85" i="14"/>
  <c r="AA85" i="14"/>
  <c r="AD86" i="14"/>
  <c r="AE86" i="14" s="1"/>
  <c r="Z86" i="14"/>
  <c r="X86" i="14"/>
  <c r="V86" i="14"/>
  <c r="AF86" i="14"/>
  <c r="AA86" i="14"/>
  <c r="Z108" i="14"/>
  <c r="Z53" i="14"/>
  <c r="V117" i="14"/>
  <c r="X29" i="14"/>
  <c r="Y29" i="14" s="1"/>
  <c r="AD63" i="14"/>
  <c r="AE63" i="14" s="1"/>
  <c r="V92" i="14"/>
  <c r="W92" i="14" s="1"/>
  <c r="AA93" i="14"/>
  <c r="AF83" i="14"/>
  <c r="X30" i="14"/>
  <c r="Y30" i="14" s="1"/>
  <c r="V123" i="14"/>
  <c r="AA56" i="14"/>
  <c r="V40" i="14"/>
  <c r="W40" i="14" s="1"/>
  <c r="V99" i="14"/>
  <c r="W99" i="14" s="1"/>
  <c r="Z47" i="14"/>
  <c r="X24" i="14"/>
  <c r="Y24" i="14" s="1"/>
  <c r="AC24" i="14" s="1"/>
  <c r="AD14" i="14"/>
  <c r="AE14" i="14" s="1"/>
  <c r="X94" i="14"/>
  <c r="Y94" i="14" s="1"/>
  <c r="X100" i="14"/>
  <c r="Y100" i="14" s="1"/>
  <c r="X117" i="14"/>
  <c r="AD24" i="14"/>
  <c r="AE24" i="14" s="1"/>
  <c r="AA66" i="14"/>
  <c r="AF14" i="14"/>
  <c r="AA94" i="14"/>
  <c r="V49" i="14"/>
  <c r="W49" i="14" s="1"/>
  <c r="AA40" i="14"/>
  <c r="V62" i="14"/>
  <c r="W62" i="14" s="1"/>
  <c r="X70" i="14"/>
  <c r="Y70" i="14" s="1"/>
  <c r="AB70" i="14" s="1"/>
  <c r="X56" i="14"/>
  <c r="Y56" i="14" s="1"/>
  <c r="AC56" i="14" s="1"/>
  <c r="Z100" i="14"/>
  <c r="AF109" i="14"/>
  <c r="AA81" i="14"/>
  <c r="Z122" i="14"/>
  <c r="Z96" i="14"/>
  <c r="AF79" i="14"/>
  <c r="X62" i="14"/>
  <c r="Y62" i="14" s="1"/>
  <c r="AD47" i="14"/>
  <c r="AE47" i="14" s="1"/>
  <c r="X49" i="14"/>
  <c r="Y49" i="14" s="1"/>
  <c r="Z109" i="14"/>
  <c r="AD81" i="14"/>
  <c r="AE81" i="14" s="1"/>
  <c r="AA90" i="14"/>
  <c r="AA67" i="14"/>
  <c r="Z66" i="14"/>
  <c r="X79" i="14"/>
  <c r="Y79" i="14" s="1"/>
  <c r="X44" i="14"/>
  <c r="Y44" i="14" s="1"/>
  <c r="AD30" i="14"/>
  <c r="AE30" i="14" s="1"/>
  <c r="AA54" i="14"/>
  <c r="V95" i="14"/>
  <c r="W95" i="14" s="1"/>
  <c r="AA31" i="14"/>
  <c r="X103" i="14"/>
  <c r="Y103" i="14" s="1"/>
  <c r="V14" i="14"/>
  <c r="W14" i="14" s="1"/>
  <c r="AA53" i="14"/>
  <c r="AD97" i="14"/>
  <c r="AE97" i="14" s="1"/>
  <c r="V94" i="14"/>
  <c r="W94" i="14" s="1"/>
  <c r="AD62" i="14"/>
  <c r="AE62" i="14" s="1"/>
  <c r="AF62" i="14"/>
  <c r="AF27" i="14"/>
  <c r="Z123" i="14"/>
  <c r="AD56" i="14"/>
  <c r="AE56" i="14" s="1"/>
  <c r="AD100" i="14"/>
  <c r="AE100" i="14" s="1"/>
  <c r="Z49" i="14"/>
  <c r="X38" i="14"/>
  <c r="Y38" i="14" s="1"/>
  <c r="AB38" i="14" s="1"/>
  <c r="AA117" i="14"/>
  <c r="AA43" i="14"/>
  <c r="AA122" i="14"/>
  <c r="X90" i="14"/>
  <c r="Y90" i="14" s="1"/>
  <c r="AD29" i="14"/>
  <c r="AE29" i="14" s="1"/>
  <c r="AF96" i="14"/>
  <c r="X46" i="14"/>
  <c r="Y46" i="14" s="1"/>
  <c r="Z14" i="14"/>
  <c r="AA14" i="14"/>
  <c r="AD52" i="14"/>
  <c r="AE52" i="14" s="1"/>
  <c r="Z97" i="14"/>
  <c r="AD94" i="14"/>
  <c r="AE94" i="14" s="1"/>
  <c r="Z62" i="14"/>
  <c r="V91" i="14"/>
  <c r="W91" i="14" s="1"/>
  <c r="V56" i="14"/>
  <c r="W56" i="14" s="1"/>
  <c r="AF47" i="14"/>
  <c r="AA100" i="14"/>
  <c r="AF49" i="14"/>
  <c r="X109" i="14"/>
  <c r="Y109" i="14" s="1"/>
  <c r="AF38" i="14"/>
  <c r="V81" i="14"/>
  <c r="W81" i="14" s="1"/>
  <c r="Z43" i="14"/>
  <c r="V122" i="14"/>
  <c r="Z90" i="14"/>
  <c r="X67" i="14"/>
  <c r="Y67" i="14" s="1"/>
  <c r="AA99" i="14"/>
  <c r="AA96" i="14"/>
  <c r="X111" i="14"/>
  <c r="Y111" i="14" s="1"/>
  <c r="X66" i="14"/>
  <c r="Y66" i="14" s="1"/>
  <c r="Z111" i="14"/>
  <c r="AD79" i="14"/>
  <c r="AE79" i="14" s="1"/>
  <c r="AD46" i="14"/>
  <c r="AE46" i="14" s="1"/>
  <c r="Z73" i="14"/>
  <c r="AF72" i="14"/>
  <c r="AA108" i="14"/>
  <c r="AF41" i="14"/>
  <c r="AD106" i="14"/>
  <c r="AE106" i="14" s="1"/>
  <c r="Z89" i="14"/>
  <c r="X45" i="14"/>
  <c r="Y45" i="14" s="1"/>
  <c r="Z93" i="14"/>
  <c r="X71" i="14"/>
  <c r="Y71" i="14" s="1"/>
  <c r="X102" i="14"/>
  <c r="Y102" i="14" s="1"/>
  <c r="AD77" i="14"/>
  <c r="AE77" i="14" s="1"/>
  <c r="AD84" i="14"/>
  <c r="AE84" i="14" s="1"/>
  <c r="X78" i="14"/>
  <c r="Y78" i="14" s="1"/>
  <c r="AB78" i="14" s="1"/>
  <c r="Z72" i="14"/>
  <c r="X124" i="14"/>
  <c r="V121" i="14"/>
  <c r="AA89" i="14"/>
  <c r="V105" i="14"/>
  <c r="W105" i="14" s="1"/>
  <c r="Z102" i="14"/>
  <c r="Z98" i="14"/>
  <c r="AF74" i="14"/>
  <c r="AD64" i="14"/>
  <c r="AE64" i="14" s="1"/>
  <c r="AF42" i="14"/>
  <c r="AA51" i="14"/>
  <c r="Z25" i="14"/>
  <c r="AD112" i="14"/>
  <c r="AE112" i="14" s="1"/>
  <c r="V125" i="14"/>
  <c r="V31" i="14"/>
  <c r="W31" i="14" s="1"/>
  <c r="AF95" i="14"/>
  <c r="X110" i="14"/>
  <c r="Y110" i="14" s="1"/>
  <c r="V44" i="14"/>
  <c r="W44" i="14" s="1"/>
  <c r="Z127" i="14"/>
  <c r="Z94" i="14"/>
  <c r="AA124" i="14"/>
  <c r="X121" i="14"/>
  <c r="AA48" i="14"/>
  <c r="V126" i="14"/>
  <c r="AD32" i="14"/>
  <c r="AE32" i="14" s="1"/>
  <c r="X105" i="14"/>
  <c r="Y105" i="14" s="1"/>
  <c r="X37" i="14"/>
  <c r="Y37" i="14" s="1"/>
  <c r="AF56" i="14"/>
  <c r="AD28" i="14"/>
  <c r="AE28" i="14" s="1"/>
  <c r="X47" i="14"/>
  <c r="Y47" i="14" s="1"/>
  <c r="V100" i="14"/>
  <c r="W100" i="14" s="1"/>
  <c r="AA98" i="14"/>
  <c r="V109" i="14"/>
  <c r="W109" i="14" s="1"/>
  <c r="Z117" i="14"/>
  <c r="AF65" i="14"/>
  <c r="X40" i="14"/>
  <c r="Y40" i="14" s="1"/>
  <c r="AF104" i="14"/>
  <c r="X119" i="14"/>
  <c r="X50" i="14"/>
  <c r="Y50" i="14" s="1"/>
  <c r="X99" i="14"/>
  <c r="Y99" i="14" s="1"/>
  <c r="V96" i="14"/>
  <c r="W96" i="14" s="1"/>
  <c r="AA39" i="14"/>
  <c r="V118" i="14"/>
  <c r="AA111" i="14"/>
  <c r="Z46" i="14"/>
  <c r="AA25" i="14"/>
  <c r="V9" i="14"/>
  <c r="AA125" i="14"/>
  <c r="V52" i="14"/>
  <c r="W52" i="14" s="1"/>
  <c r="AF30" i="14"/>
  <c r="AF97" i="14"/>
  <c r="AA44" i="14"/>
  <c r="Z75" i="14"/>
  <c r="AF107" i="14"/>
  <c r="X123" i="14"/>
  <c r="AF91" i="14"/>
  <c r="X54" i="14"/>
  <c r="Y54" i="14" s="1"/>
  <c r="AB54" i="14" s="1"/>
  <c r="V120" i="14"/>
  <c r="AA68" i="14"/>
  <c r="V47" i="14"/>
  <c r="W47" i="14" s="1"/>
  <c r="AD49" i="14"/>
  <c r="AE49" i="14" s="1"/>
  <c r="AD109" i="14"/>
  <c r="AE109" i="14" s="1"/>
  <c r="AA38" i="14"/>
  <c r="V38" i="14"/>
  <c r="W38" i="14" s="1"/>
  <c r="Z81" i="14"/>
  <c r="AF43" i="14"/>
  <c r="X43" i="14"/>
  <c r="Y43" i="14" s="1"/>
  <c r="AF40" i="14"/>
  <c r="Z40" i="14"/>
  <c r="AF90" i="14"/>
  <c r="AF24" i="14"/>
  <c r="V24" i="14"/>
  <c r="W24" i="14" s="1"/>
  <c r="X101" i="14"/>
  <c r="Y101" i="14" s="1"/>
  <c r="AF67" i="14"/>
  <c r="Z29" i="14"/>
  <c r="AF29" i="14"/>
  <c r="AF99" i="14"/>
  <c r="Z99" i="14"/>
  <c r="X96" i="14"/>
  <c r="Y96" i="14" s="1"/>
  <c r="AD66" i="14"/>
  <c r="AE66" i="14" s="1"/>
  <c r="AD111" i="14"/>
  <c r="AE111" i="14" s="1"/>
  <c r="Z79" i="14"/>
  <c r="AA79" i="14"/>
  <c r="AF46" i="14"/>
  <c r="Z125" i="14"/>
  <c r="X52" i="14"/>
  <c r="Y52" i="14" s="1"/>
  <c r="AB52" i="14" s="1"/>
  <c r="AD53" i="14"/>
  <c r="AE53" i="14" s="1"/>
  <c r="X69" i="14"/>
  <c r="Y69" i="14" s="1"/>
  <c r="AD76" i="14"/>
  <c r="AE76" i="14" s="1"/>
  <c r="AD55" i="14"/>
  <c r="AE55" i="14" s="1"/>
  <c r="AA91" i="14"/>
  <c r="AF54" i="14"/>
  <c r="Z120" i="14"/>
  <c r="AD68" i="14"/>
  <c r="AE68" i="14" s="1"/>
  <c r="AD38" i="14"/>
  <c r="AE38" i="14" s="1"/>
  <c r="X81" i="14"/>
  <c r="Y81" i="14" s="1"/>
  <c r="V43" i="14"/>
  <c r="W43" i="14" s="1"/>
  <c r="AD90" i="14"/>
  <c r="AE90" i="14" s="1"/>
  <c r="AA24" i="14"/>
  <c r="AD101" i="14"/>
  <c r="AE101" i="14" s="1"/>
  <c r="Z67" i="14"/>
  <c r="V29" i="14"/>
  <c r="W29" i="14" s="1"/>
  <c r="V66" i="14"/>
  <c r="W66" i="14" s="1"/>
  <c r="V111" i="14"/>
  <c r="W111" i="14" s="1"/>
  <c r="AA46" i="14"/>
  <c r="W102" i="14"/>
  <c r="W93" i="14"/>
  <c r="W28" i="14"/>
  <c r="AD73" i="14"/>
  <c r="AE73" i="14" s="1"/>
  <c r="X31" i="14"/>
  <c r="Y31" i="14" s="1"/>
  <c r="X95" i="14"/>
  <c r="Y95" i="14" s="1"/>
  <c r="Z95" i="14"/>
  <c r="AD110" i="14"/>
  <c r="AE110" i="14" s="1"/>
  <c r="V110" i="14"/>
  <c r="AF78" i="14"/>
  <c r="AD72" i="14"/>
  <c r="AE72" i="14" s="1"/>
  <c r="X127" i="14"/>
  <c r="AA127" i="14"/>
  <c r="X108" i="14"/>
  <c r="Y108" i="14" s="1"/>
  <c r="AD41" i="14"/>
  <c r="AE41" i="14" s="1"/>
  <c r="Z124" i="14"/>
  <c r="AA106" i="14"/>
  <c r="Z121" i="14"/>
  <c r="AA121" i="14"/>
  <c r="X89" i="14"/>
  <c r="Z48" i="14"/>
  <c r="Z45" i="14"/>
  <c r="AD45" i="14"/>
  <c r="AE45" i="14" s="1"/>
  <c r="AA126" i="14"/>
  <c r="Z126" i="14"/>
  <c r="AF93" i="14"/>
  <c r="X32" i="14"/>
  <c r="Y32" i="14" s="1"/>
  <c r="AB32" i="14" s="1"/>
  <c r="Z105" i="14"/>
  <c r="AA105" i="14"/>
  <c r="V71" i="14"/>
  <c r="W71" i="14" s="1"/>
  <c r="AF71" i="14"/>
  <c r="AD37" i="14"/>
  <c r="AE37" i="14" s="1"/>
  <c r="AD102" i="14"/>
  <c r="AE102" i="14" s="1"/>
  <c r="V77" i="14"/>
  <c r="AF77" i="14"/>
  <c r="Z28" i="14"/>
  <c r="X28" i="14"/>
  <c r="Y28" i="14" s="1"/>
  <c r="X84" i="14"/>
  <c r="Y84" i="14" s="1"/>
  <c r="AB84" i="14" s="1"/>
  <c r="AF84" i="14"/>
  <c r="X98" i="14"/>
  <c r="Y98" i="14" s="1"/>
  <c r="AF63" i="14"/>
  <c r="X63" i="14"/>
  <c r="Y63" i="14" s="1"/>
  <c r="AC63" i="14" s="1"/>
  <c r="AA65" i="14"/>
  <c r="V65" i="14"/>
  <c r="X74" i="14"/>
  <c r="Y74" i="14" s="1"/>
  <c r="AD74" i="14"/>
  <c r="AE74" i="14" s="1"/>
  <c r="Z64" i="14"/>
  <c r="AF64" i="14"/>
  <c r="AA104" i="14"/>
  <c r="V104" i="14"/>
  <c r="W104" i="14" s="1"/>
  <c r="AA42" i="14"/>
  <c r="V42" i="14"/>
  <c r="V83" i="14"/>
  <c r="AA50" i="14"/>
  <c r="AA112" i="14"/>
  <c r="AF51" i="14"/>
  <c r="Z39" i="14"/>
  <c r="Z82" i="14"/>
  <c r="V82" i="14"/>
  <c r="V25" i="14"/>
  <c r="X92" i="14"/>
  <c r="Y92" i="14" s="1"/>
  <c r="AB92" i="14" s="1"/>
  <c r="W124" i="14"/>
  <c r="X73" i="14"/>
  <c r="Y73" i="14" s="1"/>
  <c r="AF73" i="14"/>
  <c r="AD31" i="14"/>
  <c r="AE31" i="14" s="1"/>
  <c r="AD95" i="14"/>
  <c r="AE95" i="14" s="1"/>
  <c r="AA110" i="14"/>
  <c r="Z110" i="14"/>
  <c r="AA78" i="14"/>
  <c r="V78" i="14"/>
  <c r="X72" i="14"/>
  <c r="Y72" i="14" s="1"/>
  <c r="V127" i="14"/>
  <c r="AD108" i="14"/>
  <c r="AE108" i="14" s="1"/>
  <c r="Z41" i="14"/>
  <c r="X41" i="14"/>
  <c r="Y41" i="14" s="1"/>
  <c r="X106" i="14"/>
  <c r="Y106" i="14" s="1"/>
  <c r="AB106" i="14" s="1"/>
  <c r="V106" i="14"/>
  <c r="V48" i="14"/>
  <c r="X48" i="14"/>
  <c r="Y48" i="14" s="1"/>
  <c r="V45" i="14"/>
  <c r="AF45" i="14"/>
  <c r="X126" i="14"/>
  <c r="X93" i="14"/>
  <c r="Y93" i="14" s="1"/>
  <c r="V32" i="14"/>
  <c r="AA32" i="14"/>
  <c r="AF105" i="14"/>
  <c r="Z71" i="14"/>
  <c r="AA71" i="14"/>
  <c r="Z37" i="14"/>
  <c r="AF37" i="14"/>
  <c r="AA102" i="14"/>
  <c r="Z77" i="14"/>
  <c r="AA77" i="14"/>
  <c r="AA28" i="14"/>
  <c r="AF28" i="14"/>
  <c r="AA84" i="14"/>
  <c r="V84" i="14"/>
  <c r="AD98" i="14"/>
  <c r="AE98" i="14" s="1"/>
  <c r="AA63" i="14"/>
  <c r="V63" i="14"/>
  <c r="AD65" i="14"/>
  <c r="AE65" i="14" s="1"/>
  <c r="Z65" i="14"/>
  <c r="Z74" i="14"/>
  <c r="V74" i="14"/>
  <c r="V64" i="14"/>
  <c r="AA64" i="14"/>
  <c r="AD104" i="14"/>
  <c r="AE104" i="14" s="1"/>
  <c r="Z104" i="14"/>
  <c r="AD42" i="14"/>
  <c r="AE42" i="14" s="1"/>
  <c r="Z42" i="14"/>
  <c r="X83" i="14"/>
  <c r="Y83" i="14" s="1"/>
  <c r="V50" i="14"/>
  <c r="V112" i="14"/>
  <c r="AD51" i="14"/>
  <c r="AE51" i="14" s="1"/>
  <c r="AF39" i="14"/>
  <c r="X118" i="14"/>
  <c r="AD82" i="14"/>
  <c r="AE82" i="14" s="1"/>
  <c r="W79" i="14"/>
  <c r="W46" i="14"/>
  <c r="X25" i="14"/>
  <c r="Y25" i="14" s="1"/>
  <c r="AD92" i="14"/>
  <c r="AE92" i="14" s="1"/>
  <c r="W30" i="14"/>
  <c r="W55" i="14"/>
  <c r="W67" i="14"/>
  <c r="V73" i="14"/>
  <c r="Z31" i="14"/>
  <c r="AD78" i="14"/>
  <c r="AE78" i="14" s="1"/>
  <c r="V72" i="14"/>
  <c r="V108" i="14"/>
  <c r="V41" i="14"/>
  <c r="AF106" i="14"/>
  <c r="V89" i="14"/>
  <c r="AF48" i="14"/>
  <c r="AD93" i="14"/>
  <c r="AE93" i="14" s="1"/>
  <c r="AF32" i="14"/>
  <c r="V37" i="14"/>
  <c r="AF102" i="14"/>
  <c r="V98" i="14"/>
  <c r="W90" i="14"/>
  <c r="V119" i="14"/>
  <c r="AD83" i="14"/>
  <c r="AE83" i="14" s="1"/>
  <c r="Z50" i="14"/>
  <c r="AF112" i="14"/>
  <c r="X51" i="14"/>
  <c r="Y51" i="14" s="1"/>
  <c r="X39" i="14"/>
  <c r="Y39" i="14" s="1"/>
  <c r="AA82" i="14"/>
  <c r="AF25" i="14"/>
  <c r="AA92" i="14"/>
  <c r="W51" i="14"/>
  <c r="V68" i="14"/>
  <c r="AD80" i="14"/>
  <c r="AE80" i="14" s="1"/>
  <c r="AF52" i="14"/>
  <c r="V53" i="14"/>
  <c r="AA30" i="14"/>
  <c r="V97" i="14"/>
  <c r="AD44" i="14"/>
  <c r="AE44" i="14" s="1"/>
  <c r="AD75" i="14"/>
  <c r="AE75" i="14" s="1"/>
  <c r="AD103" i="14"/>
  <c r="AE103" i="14" s="1"/>
  <c r="V69" i="14"/>
  <c r="AD27" i="14"/>
  <c r="AE27" i="14" s="1"/>
  <c r="AA76" i="14"/>
  <c r="X107" i="14"/>
  <c r="Y107" i="14" s="1"/>
  <c r="AB107" i="14" s="1"/>
  <c r="AA70" i="14"/>
  <c r="AF55" i="14"/>
  <c r="AA123" i="14"/>
  <c r="Z91" i="14"/>
  <c r="AD54" i="14"/>
  <c r="AE54" i="14" s="1"/>
  <c r="X120" i="14"/>
  <c r="Z68" i="14"/>
  <c r="AA80" i="14"/>
  <c r="X125" i="14"/>
  <c r="AA52" i="14"/>
  <c r="AF53" i="14"/>
  <c r="Z30" i="14"/>
  <c r="AA97" i="14"/>
  <c r="Z44" i="14"/>
  <c r="AF75" i="14"/>
  <c r="X75" i="14"/>
  <c r="Y75" i="14" s="1"/>
  <c r="V103" i="14"/>
  <c r="AF103" i="14"/>
  <c r="Z69" i="14"/>
  <c r="AF69" i="14"/>
  <c r="Z27" i="14"/>
  <c r="X27" i="14"/>
  <c r="Y27" i="14" s="1"/>
  <c r="AF76" i="14"/>
  <c r="V76" i="14"/>
  <c r="AD107" i="14"/>
  <c r="AE107" i="14" s="1"/>
  <c r="V107" i="14"/>
  <c r="AD70" i="14"/>
  <c r="AE70" i="14" s="1"/>
  <c r="AF70" i="14"/>
  <c r="X55" i="14"/>
  <c r="Y55" i="14" s="1"/>
  <c r="AA55" i="14"/>
  <c r="X91" i="14"/>
  <c r="Y91" i="14" s="1"/>
  <c r="V54" i="14"/>
  <c r="AF68" i="14"/>
  <c r="V101" i="14"/>
  <c r="AF101" i="14"/>
  <c r="AD67" i="14"/>
  <c r="AE67" i="14" s="1"/>
  <c r="X80" i="14"/>
  <c r="Y80" i="14" s="1"/>
  <c r="AB80" i="14" s="1"/>
  <c r="V80" i="14"/>
  <c r="V75" i="14"/>
  <c r="Z103" i="14"/>
  <c r="AD69" i="14"/>
  <c r="AE69" i="14" s="1"/>
  <c r="V27" i="14"/>
  <c r="X76" i="14"/>
  <c r="Y76" i="14" s="1"/>
  <c r="AB76" i="14" s="1"/>
  <c r="AA107" i="14"/>
  <c r="V70" i="14"/>
  <c r="Z55" i="14"/>
  <c r="Z101" i="14"/>
  <c r="AF80" i="14"/>
  <c r="I15" i="14"/>
  <c r="AA15" i="14" s="1"/>
  <c r="I20" i="14"/>
  <c r="AD20" i="14" s="1"/>
  <c r="AE20" i="14" s="1"/>
  <c r="I16" i="14"/>
  <c r="V16" i="14" s="1"/>
  <c r="I18" i="14"/>
  <c r="AA18" i="14" s="1"/>
  <c r="I12" i="14"/>
  <c r="AA12" i="14" s="1"/>
  <c r="I21" i="14"/>
  <c r="Z21" i="14" s="1"/>
  <c r="I10" i="14"/>
  <c r="AF10" i="14" s="1"/>
  <c r="I19" i="14"/>
  <c r="AF19" i="14" s="1"/>
  <c r="I11" i="14"/>
  <c r="V11" i="14" s="1"/>
  <c r="I17" i="14"/>
  <c r="V17" i="14" s="1"/>
  <c r="Z119" i="14"/>
  <c r="Z83" i="14"/>
  <c r="AF50" i="14"/>
  <c r="X112" i="14"/>
  <c r="Y112" i="14" s="1"/>
  <c r="AB112" i="14" s="1"/>
  <c r="Z51" i="14"/>
  <c r="V39" i="14"/>
  <c r="AA118" i="14"/>
  <c r="AF92" i="14"/>
  <c r="I23" i="14"/>
  <c r="AF23" i="14" s="1"/>
  <c r="I13" i="14"/>
  <c r="X13" i="14" s="1"/>
  <c r="Y65" i="14"/>
  <c r="Y64" i="14"/>
  <c r="Y104" i="14"/>
  <c r="Y53" i="14"/>
  <c r="Y97" i="14"/>
  <c r="Y77" i="14"/>
  <c r="Y42" i="14"/>
  <c r="Y68" i="14"/>
  <c r="Y82" i="14"/>
  <c r="Y14" i="14"/>
  <c r="AD9" i="14"/>
  <c r="AE9" i="14" s="1"/>
  <c r="AA9" i="14"/>
  <c r="U21" i="17"/>
  <c r="V21" i="17" s="1"/>
  <c r="Y11" i="17"/>
  <c r="Y21" i="17"/>
  <c r="Z21" i="17"/>
  <c r="AB21" i="17"/>
  <c r="Y19" i="17"/>
  <c r="Z20" i="17"/>
  <c r="AB20" i="17"/>
  <c r="U20" i="17"/>
  <c r="V20" i="17" s="1"/>
  <c r="W20" i="17"/>
  <c r="X20" i="17" s="1"/>
  <c r="Z18" i="17"/>
  <c r="U11" i="17"/>
  <c r="V11" i="17" s="1"/>
  <c r="Z11" i="17"/>
  <c r="AB11" i="17"/>
  <c r="Y18" i="17"/>
  <c r="U19" i="17"/>
  <c r="V19" i="17" s="1"/>
  <c r="Z19" i="17"/>
  <c r="W19" i="17"/>
  <c r="X19" i="17" s="1"/>
  <c r="U18" i="17"/>
  <c r="V18" i="17" s="1"/>
  <c r="W18" i="17"/>
  <c r="X18" i="17" s="1"/>
  <c r="AD23" i="17"/>
  <c r="I23" i="17" s="1"/>
  <c r="N23" i="17" s="1"/>
  <c r="AD10" i="17"/>
  <c r="I10" i="17" s="1"/>
  <c r="AD16" i="17"/>
  <c r="I16" i="17" s="1"/>
  <c r="AD22" i="17"/>
  <c r="I22" i="17" s="1"/>
  <c r="AD17" i="17"/>
  <c r="I17" i="17" s="1"/>
  <c r="AD24" i="17"/>
  <c r="I24" i="17" s="1"/>
  <c r="AD25" i="17"/>
  <c r="I25" i="17" s="1"/>
  <c r="AD26" i="17"/>
  <c r="I26" i="17" s="1"/>
  <c r="AD15" i="17"/>
  <c r="I15" i="17" s="1"/>
  <c r="AD14" i="17"/>
  <c r="I14" i="17" s="1"/>
  <c r="AD13" i="17"/>
  <c r="I13" i="17" s="1"/>
  <c r="AD9" i="17"/>
  <c r="I9" i="17" s="1"/>
  <c r="P83" i="17"/>
  <c r="S83" i="17" s="1"/>
  <c r="AF83" i="17" s="1"/>
  <c r="AG83" i="17" s="1"/>
  <c r="AD12" i="17"/>
  <c r="I12" i="17" s="1"/>
  <c r="P75" i="17"/>
  <c r="S75" i="17" s="1"/>
  <c r="AF75" i="17" s="1"/>
  <c r="AG75" i="17" s="1"/>
  <c r="P92" i="17"/>
  <c r="S92" i="17" s="1"/>
  <c r="AF92" i="17" s="1"/>
  <c r="AG92" i="17" s="1"/>
  <c r="P80" i="17"/>
  <c r="S80" i="17" s="1"/>
  <c r="AF80" i="17" s="1"/>
  <c r="AG80" i="17" s="1"/>
  <c r="P112" i="17"/>
  <c r="S112" i="17" s="1"/>
  <c r="AF112" i="17" s="1"/>
  <c r="AG112" i="17" s="1"/>
  <c r="P113" i="17"/>
  <c r="S113" i="17" s="1"/>
  <c r="AF113" i="17" s="1"/>
  <c r="AG113" i="17" s="1"/>
  <c r="P40" i="17"/>
  <c r="S40" i="17" s="1"/>
  <c r="AF40" i="17" s="1"/>
  <c r="AG40" i="17" s="1"/>
  <c r="P108" i="17"/>
  <c r="S108" i="17" s="1"/>
  <c r="AF108" i="17" s="1"/>
  <c r="AG108" i="17" s="1"/>
  <c r="P104" i="17"/>
  <c r="S104" i="17" s="1"/>
  <c r="AF104" i="17" s="1"/>
  <c r="AG104" i="17" s="1"/>
  <c r="P101" i="17"/>
  <c r="S101" i="17" s="1"/>
  <c r="AF101" i="17" s="1"/>
  <c r="AG101" i="17" s="1"/>
  <c r="P37" i="17"/>
  <c r="S37" i="17" s="1"/>
  <c r="AF37" i="17" s="1"/>
  <c r="AG37" i="17" s="1"/>
  <c r="P100" i="17"/>
  <c r="S100" i="17" s="1"/>
  <c r="AF100" i="17" s="1"/>
  <c r="AG100" i="17" s="1"/>
  <c r="P34" i="17"/>
  <c r="S34" i="17" s="1"/>
  <c r="AF34" i="17" s="1"/>
  <c r="AG34" i="17" s="1"/>
  <c r="P42" i="17"/>
  <c r="S42" i="17" s="1"/>
  <c r="AF42" i="17" s="1"/>
  <c r="AG42" i="17" s="1"/>
  <c r="P93" i="17"/>
  <c r="S93" i="17" s="1"/>
  <c r="AF93" i="17" s="1"/>
  <c r="AG93" i="17" s="1"/>
  <c r="P72" i="17"/>
  <c r="S72" i="17" s="1"/>
  <c r="AF72" i="17" s="1"/>
  <c r="AG72" i="17" s="1"/>
  <c r="P79" i="17"/>
  <c r="S79" i="17" s="1"/>
  <c r="AF79" i="17" s="1"/>
  <c r="AG79" i="17" s="1"/>
  <c r="P76" i="17"/>
  <c r="S76" i="17" s="1"/>
  <c r="AF76" i="17" s="1"/>
  <c r="AG76" i="17" s="1"/>
  <c r="P66" i="17"/>
  <c r="S66" i="17" s="1"/>
  <c r="AF66" i="17" s="1"/>
  <c r="AG66" i="17" s="1"/>
  <c r="P87" i="17"/>
  <c r="S87" i="17" s="1"/>
  <c r="AF87" i="17" s="1"/>
  <c r="AG87" i="17" s="1"/>
  <c r="P96" i="17"/>
  <c r="S96" i="17" s="1"/>
  <c r="AF96" i="17" s="1"/>
  <c r="AG96" i="17" s="1"/>
  <c r="P59" i="17"/>
  <c r="S59" i="17" s="1"/>
  <c r="AF59" i="17" s="1"/>
  <c r="AG59" i="17" s="1"/>
  <c r="P86" i="17"/>
  <c r="S86" i="17" s="1"/>
  <c r="AF86" i="17" s="1"/>
  <c r="AG86" i="17" s="1"/>
  <c r="P35" i="17"/>
  <c r="S35" i="17" s="1"/>
  <c r="AF35" i="17" s="1"/>
  <c r="AG35" i="17" s="1"/>
  <c r="P51" i="17"/>
  <c r="S51" i="17" s="1"/>
  <c r="AF51" i="17" s="1"/>
  <c r="AG51" i="17" s="1"/>
  <c r="P48" i="17"/>
  <c r="S48" i="17" s="1"/>
  <c r="AF48" i="17" s="1"/>
  <c r="AG48" i="17" s="1"/>
  <c r="P81" i="17"/>
  <c r="S81" i="17" s="1"/>
  <c r="AF81" i="17" s="1"/>
  <c r="AG81" i="17" s="1"/>
  <c r="P107" i="17"/>
  <c r="S107" i="17" s="1"/>
  <c r="AF107" i="17" s="1"/>
  <c r="AG107" i="17" s="1"/>
  <c r="P38" i="17"/>
  <c r="S38" i="17" s="1"/>
  <c r="AF38" i="17" s="1"/>
  <c r="AG38" i="17" s="1"/>
  <c r="P109" i="17"/>
  <c r="S109" i="17" s="1"/>
  <c r="AF109" i="17" s="1"/>
  <c r="AG109" i="17" s="1"/>
  <c r="P56" i="17"/>
  <c r="S56" i="17" s="1"/>
  <c r="AF56" i="17" s="1"/>
  <c r="AG56" i="17" s="1"/>
  <c r="P90" i="17"/>
  <c r="S90" i="17" s="1"/>
  <c r="AF90" i="17" s="1"/>
  <c r="AG90" i="17" s="1"/>
  <c r="P103" i="17"/>
  <c r="S103" i="17" s="1"/>
  <c r="AF103" i="17" s="1"/>
  <c r="AG103" i="17" s="1"/>
  <c r="P102" i="17"/>
  <c r="S102" i="17" s="1"/>
  <c r="AF102" i="17" s="1"/>
  <c r="AG102" i="17" s="1"/>
  <c r="P74" i="17"/>
  <c r="S74" i="17" s="1"/>
  <c r="AF74" i="17" s="1"/>
  <c r="AG74" i="17" s="1"/>
  <c r="P99" i="17"/>
  <c r="S99" i="17" s="1"/>
  <c r="AF99" i="17" s="1"/>
  <c r="AG99" i="17" s="1"/>
  <c r="P88" i="17"/>
  <c r="S88" i="17" s="1"/>
  <c r="AF88" i="17" s="1"/>
  <c r="AG88" i="17" s="1"/>
  <c r="P36" i="17"/>
  <c r="S36" i="17" s="1"/>
  <c r="AF36" i="17" s="1"/>
  <c r="AG36" i="17" s="1"/>
  <c r="P31" i="17"/>
  <c r="S31" i="17" s="1"/>
  <c r="AF31" i="17" s="1"/>
  <c r="AG31" i="17" s="1"/>
  <c r="P43" i="17"/>
  <c r="S43" i="17" s="1"/>
  <c r="AF43" i="17" s="1"/>
  <c r="AG43" i="17" s="1"/>
  <c r="P33" i="17"/>
  <c r="S33" i="17" s="1"/>
  <c r="AF33" i="17" s="1"/>
  <c r="AG33" i="17" s="1"/>
  <c r="P62" i="17"/>
  <c r="S62" i="17" s="1"/>
  <c r="AF62" i="17" s="1"/>
  <c r="AG62" i="17" s="1"/>
  <c r="P77" i="17"/>
  <c r="S77" i="17" s="1"/>
  <c r="AF77" i="17" s="1"/>
  <c r="AG77" i="17" s="1"/>
  <c r="P106" i="17"/>
  <c r="S106" i="17" s="1"/>
  <c r="AF106" i="17" s="1"/>
  <c r="AG106" i="17" s="1"/>
  <c r="P63" i="17"/>
  <c r="S63" i="17" s="1"/>
  <c r="AF63" i="17" s="1"/>
  <c r="AG63" i="17" s="1"/>
  <c r="P71" i="17"/>
  <c r="S71" i="17" s="1"/>
  <c r="AF71" i="17" s="1"/>
  <c r="AG71" i="17" s="1"/>
  <c r="P105" i="17"/>
  <c r="S105" i="17" s="1"/>
  <c r="AF105" i="17" s="1"/>
  <c r="AG105" i="17" s="1"/>
  <c r="P89" i="17"/>
  <c r="S89" i="17" s="1"/>
  <c r="AF89" i="17" s="1"/>
  <c r="AG89" i="17" s="1"/>
  <c r="P97" i="17"/>
  <c r="S97" i="17" s="1"/>
  <c r="AF97" i="17" s="1"/>
  <c r="AG97" i="17" s="1"/>
  <c r="P58" i="17"/>
  <c r="S58" i="17" s="1"/>
  <c r="AF58" i="17" s="1"/>
  <c r="AG58" i="17" s="1"/>
  <c r="P69" i="17"/>
  <c r="S69" i="17" s="1"/>
  <c r="AF69" i="17" s="1"/>
  <c r="AG69" i="17" s="1"/>
  <c r="P95" i="17"/>
  <c r="S95" i="17" s="1"/>
  <c r="AF95" i="17" s="1"/>
  <c r="AG95" i="17" s="1"/>
  <c r="P45" i="17"/>
  <c r="S45" i="17" s="1"/>
  <c r="AF45" i="17" s="1"/>
  <c r="AG45" i="17" s="1"/>
  <c r="P61" i="17"/>
  <c r="S61" i="17" s="1"/>
  <c r="AF61" i="17" s="1"/>
  <c r="AG61" i="17" s="1"/>
  <c r="P32" i="17"/>
  <c r="S32" i="17" s="1"/>
  <c r="AF32" i="17" s="1"/>
  <c r="AG32" i="17" s="1"/>
  <c r="P57" i="17"/>
  <c r="S57" i="17" s="1"/>
  <c r="AF57" i="17" s="1"/>
  <c r="AG57" i="17" s="1"/>
  <c r="P65" i="17"/>
  <c r="S65" i="17" s="1"/>
  <c r="AF65" i="17" s="1"/>
  <c r="AG65" i="17" s="1"/>
  <c r="P82" i="17"/>
  <c r="S82" i="17" s="1"/>
  <c r="AF82" i="17" s="1"/>
  <c r="AG82" i="17" s="1"/>
  <c r="K29" i="17"/>
  <c r="O29" i="17"/>
  <c r="N29" i="17"/>
  <c r="N28" i="17"/>
  <c r="K28" i="17"/>
  <c r="O28" i="17"/>
  <c r="P50" i="17"/>
  <c r="S50" i="17" s="1"/>
  <c r="AF50" i="17" s="1"/>
  <c r="AG50" i="17" s="1"/>
  <c r="P64" i="17"/>
  <c r="S64" i="17" s="1"/>
  <c r="AF64" i="17" s="1"/>
  <c r="AG64" i="17" s="1"/>
  <c r="P110" i="17"/>
  <c r="S110" i="17" s="1"/>
  <c r="AF110" i="17" s="1"/>
  <c r="AG110" i="17" s="1"/>
  <c r="P52" i="17"/>
  <c r="S52" i="17" s="1"/>
  <c r="AF52" i="17" s="1"/>
  <c r="AG52" i="17" s="1"/>
  <c r="P73" i="17"/>
  <c r="S73" i="17" s="1"/>
  <c r="AF73" i="17" s="1"/>
  <c r="AG73" i="17" s="1"/>
  <c r="P49" i="17"/>
  <c r="S49" i="17" s="1"/>
  <c r="AF49" i="17" s="1"/>
  <c r="AG49" i="17" s="1"/>
  <c r="P47" i="17"/>
  <c r="S47" i="17" s="1"/>
  <c r="AF47" i="17" s="1"/>
  <c r="AG47" i="17" s="1"/>
  <c r="P78" i="17"/>
  <c r="S78" i="17" s="1"/>
  <c r="AF78" i="17" s="1"/>
  <c r="AG78" i="17" s="1"/>
  <c r="P114" i="17"/>
  <c r="S114" i="17" s="1"/>
  <c r="AF114" i="17" s="1"/>
  <c r="AG114" i="17" s="1"/>
  <c r="O27" i="17"/>
  <c r="N27" i="17"/>
  <c r="K27" i="17"/>
  <c r="P60" i="17"/>
  <c r="S60" i="17" s="1"/>
  <c r="AF60" i="17" s="1"/>
  <c r="AG60" i="17" s="1"/>
  <c r="P67" i="17"/>
  <c r="S67" i="17" s="1"/>
  <c r="AF67" i="17" s="1"/>
  <c r="AG67" i="17" s="1"/>
  <c r="P46" i="17"/>
  <c r="S46" i="17" s="1"/>
  <c r="AF46" i="17" s="1"/>
  <c r="AG46" i="17" s="1"/>
  <c r="P39" i="17"/>
  <c r="S39" i="17" s="1"/>
  <c r="AF39" i="17" s="1"/>
  <c r="AG39" i="17" s="1"/>
  <c r="P85" i="17"/>
  <c r="S85" i="17" s="1"/>
  <c r="AF85" i="17" s="1"/>
  <c r="AG85" i="17" s="1"/>
  <c r="P70" i="17"/>
  <c r="S70" i="17" s="1"/>
  <c r="AF70" i="17" s="1"/>
  <c r="AG70" i="17" s="1"/>
  <c r="P94" i="17"/>
  <c r="S94" i="17" s="1"/>
  <c r="AF94" i="17" s="1"/>
  <c r="AG94" i="17" s="1"/>
  <c r="P111" i="17"/>
  <c r="S111" i="17" s="1"/>
  <c r="AF111" i="17" s="1"/>
  <c r="AG111" i="17" s="1"/>
  <c r="P68" i="17"/>
  <c r="S68" i="17" s="1"/>
  <c r="AF68" i="17" s="1"/>
  <c r="AG68" i="17" s="1"/>
  <c r="P54" i="17"/>
  <c r="S54" i="17" s="1"/>
  <c r="AF54" i="17" s="1"/>
  <c r="AG54" i="17" s="1"/>
  <c r="P98" i="17"/>
  <c r="S98" i="17" s="1"/>
  <c r="AF98" i="17" s="1"/>
  <c r="AG98" i="17" s="1"/>
  <c r="P53" i="17"/>
  <c r="S53" i="17" s="1"/>
  <c r="AF53" i="17" s="1"/>
  <c r="AG53" i="17" s="1"/>
  <c r="P41" i="17"/>
  <c r="S41" i="17" s="1"/>
  <c r="AF41" i="17" s="1"/>
  <c r="AG41" i="17" s="1"/>
  <c r="P91" i="17"/>
  <c r="S91" i="17" s="1"/>
  <c r="AF91" i="17" s="1"/>
  <c r="AG91" i="17" s="1"/>
  <c r="P55" i="17"/>
  <c r="S55" i="17" s="1"/>
  <c r="AF55" i="17" s="1"/>
  <c r="AG55" i="17" s="1"/>
  <c r="P30" i="17"/>
  <c r="S30" i="17" s="1"/>
  <c r="AF30" i="17" s="1"/>
  <c r="AG30" i="17" s="1"/>
  <c r="AF9" i="14"/>
  <c r="X9" i="14"/>
  <c r="Z9" i="14"/>
  <c r="M12" i="2"/>
  <c r="S42" i="2" s="1"/>
  <c r="M14" i="2"/>
  <c r="S44" i="2" s="1"/>
  <c r="M13" i="2"/>
  <c r="N13" i="2" s="1"/>
  <c r="O13" i="2" s="1"/>
  <c r="Q40" i="2"/>
  <c r="Q41" i="2"/>
  <c r="J33" i="2"/>
  <c r="M30" i="2"/>
  <c r="N30" i="2" s="1"/>
  <c r="O30" i="2" s="1"/>
  <c r="J17" i="2"/>
  <c r="I2" i="2"/>
  <c r="J9" i="2"/>
  <c r="M9" i="2"/>
  <c r="N9" i="2" s="1"/>
  <c r="O9" i="2" s="1"/>
  <c r="M6" i="2" s="1"/>
  <c r="J19" i="2"/>
  <c r="M19" i="2"/>
  <c r="N19" i="2" s="1"/>
  <c r="O19" i="2" s="1"/>
  <c r="N10" i="2"/>
  <c r="O10" i="2" s="1"/>
  <c r="P10" i="2" s="1"/>
  <c r="S41" i="2"/>
  <c r="N11" i="2"/>
  <c r="O11" i="2" s="1"/>
  <c r="AI153" i="20" l="1"/>
  <c r="K153" i="20" s="1"/>
  <c r="U155" i="20"/>
  <c r="B151" i="21" s="1"/>
  <c r="D151" i="21" s="1"/>
  <c r="E151" i="21" s="1"/>
  <c r="AJ155" i="20"/>
  <c r="AK155" i="20" s="1"/>
  <c r="AJ153" i="20"/>
  <c r="AL153" i="20" s="1"/>
  <c r="C17" i="21"/>
  <c r="D17" i="21"/>
  <c r="E17" i="21" s="1"/>
  <c r="C71" i="21"/>
  <c r="D71" i="21"/>
  <c r="E71" i="21" s="1"/>
  <c r="C122" i="21"/>
  <c r="D122" i="21"/>
  <c r="E122" i="21" s="1"/>
  <c r="C32" i="21"/>
  <c r="D32" i="21"/>
  <c r="E32" i="21" s="1"/>
  <c r="C97" i="21"/>
  <c r="D97" i="21"/>
  <c r="E97" i="21" s="1"/>
  <c r="C94" i="21"/>
  <c r="D94" i="21"/>
  <c r="E94" i="21" s="1"/>
  <c r="C85" i="21"/>
  <c r="D85" i="21"/>
  <c r="E85" i="21" s="1"/>
  <c r="C100" i="21"/>
  <c r="D100" i="21"/>
  <c r="E100" i="21" s="1"/>
  <c r="C49" i="21"/>
  <c r="D49" i="21"/>
  <c r="E49" i="21" s="1"/>
  <c r="C34" i="21"/>
  <c r="D34" i="21"/>
  <c r="E34" i="21" s="1"/>
  <c r="C101" i="21"/>
  <c r="D101" i="21"/>
  <c r="E101" i="21" s="1"/>
  <c r="C43" i="21"/>
  <c r="D43" i="21"/>
  <c r="E43" i="21" s="1"/>
  <c r="C63" i="21"/>
  <c r="D63" i="21"/>
  <c r="E63" i="21" s="1"/>
  <c r="C24" i="21"/>
  <c r="D24" i="21"/>
  <c r="E24" i="21" s="1"/>
  <c r="C119" i="21"/>
  <c r="D119" i="21"/>
  <c r="E119" i="21" s="1"/>
  <c r="C124" i="21"/>
  <c r="D124" i="21"/>
  <c r="E124" i="21" s="1"/>
  <c r="C137" i="21"/>
  <c r="D137" i="21"/>
  <c r="E137" i="21" s="1"/>
  <c r="C91" i="21"/>
  <c r="D91" i="21"/>
  <c r="E91" i="21" s="1"/>
  <c r="C48" i="21"/>
  <c r="D48" i="21"/>
  <c r="E48" i="21" s="1"/>
  <c r="C30" i="21"/>
  <c r="D30" i="21"/>
  <c r="E30" i="21" s="1"/>
  <c r="C18" i="21"/>
  <c r="D18" i="21"/>
  <c r="E18" i="21" s="1"/>
  <c r="C120" i="21"/>
  <c r="D120" i="21"/>
  <c r="E120" i="21" s="1"/>
  <c r="C138" i="21"/>
  <c r="D138" i="21"/>
  <c r="E138" i="21" s="1"/>
  <c r="C134" i="21"/>
  <c r="D134" i="21"/>
  <c r="E134" i="21" s="1"/>
  <c r="Y153" i="14"/>
  <c r="AB153" i="14" s="1"/>
  <c r="Y152" i="14"/>
  <c r="AB152" i="14" s="1"/>
  <c r="Y154" i="14"/>
  <c r="AB154" i="14" s="1"/>
  <c r="C148" i="21"/>
  <c r="Y155" i="14"/>
  <c r="AB155" i="14" s="1"/>
  <c r="C149" i="21"/>
  <c r="U154" i="20"/>
  <c r="B150" i="21" s="1"/>
  <c r="D150" i="21" s="1"/>
  <c r="E150" i="21" s="1"/>
  <c r="AI154" i="20"/>
  <c r="K154" i="20" s="1"/>
  <c r="AJ152" i="20"/>
  <c r="W152" i="14"/>
  <c r="AI144" i="20"/>
  <c r="K144" i="20" s="1"/>
  <c r="AI151" i="20"/>
  <c r="K151" i="20" s="1"/>
  <c r="U145" i="20"/>
  <c r="B141" i="21" s="1"/>
  <c r="D141" i="21" s="1"/>
  <c r="E141" i="21" s="1"/>
  <c r="W150" i="14"/>
  <c r="Y150" i="14"/>
  <c r="AC150" i="14" s="1"/>
  <c r="Y144" i="14"/>
  <c r="AC144" i="14" s="1"/>
  <c r="C147" i="21"/>
  <c r="W149" i="14"/>
  <c r="Y146" i="14"/>
  <c r="AC146" i="14" s="1"/>
  <c r="W148" i="14"/>
  <c r="Y147" i="14"/>
  <c r="AC147" i="14" s="1"/>
  <c r="C140" i="21"/>
  <c r="Y145" i="14"/>
  <c r="AB145" i="14" s="1"/>
  <c r="U147" i="20"/>
  <c r="B143" i="21" s="1"/>
  <c r="D143" i="21" s="1"/>
  <c r="E143" i="21" s="1"/>
  <c r="AI147" i="20"/>
  <c r="K147" i="20" s="1"/>
  <c r="Y148" i="14"/>
  <c r="Y149" i="14"/>
  <c r="AC149" i="14" s="1"/>
  <c r="AI146" i="20"/>
  <c r="K146" i="20" s="1"/>
  <c r="U146" i="20"/>
  <c r="B142" i="21" s="1"/>
  <c r="D142" i="21" s="1"/>
  <c r="E142" i="21" s="1"/>
  <c r="Y151" i="14"/>
  <c r="AB151" i="14" s="1"/>
  <c r="O150" i="20"/>
  <c r="P150" i="20"/>
  <c r="L150" i="20"/>
  <c r="AJ145" i="20"/>
  <c r="Q148" i="20"/>
  <c r="R148" i="20" s="1"/>
  <c r="T148" i="20" s="1"/>
  <c r="Q149" i="20"/>
  <c r="R149" i="20" s="1"/>
  <c r="T149" i="20" s="1"/>
  <c r="AI142" i="20"/>
  <c r="K142" i="20" s="1"/>
  <c r="AI138" i="20"/>
  <c r="K138" i="20" s="1"/>
  <c r="AI123" i="20"/>
  <c r="K123" i="20" s="1"/>
  <c r="AI141" i="20"/>
  <c r="K141" i="20" s="1"/>
  <c r="U143" i="20"/>
  <c r="B139" i="21" s="1"/>
  <c r="U132" i="20"/>
  <c r="B128" i="21" s="1"/>
  <c r="U31" i="20"/>
  <c r="B27" i="21" s="1"/>
  <c r="D27" i="21" s="1"/>
  <c r="E27" i="21" s="1"/>
  <c r="AI128" i="20"/>
  <c r="K128" i="20" s="1"/>
  <c r="AJ143" i="20"/>
  <c r="AL143" i="20" s="1"/>
  <c r="U135" i="20"/>
  <c r="B131" i="21" s="1"/>
  <c r="AI135" i="20"/>
  <c r="K135" i="20" s="1"/>
  <c r="Y142" i="14"/>
  <c r="AB142" i="14" s="1"/>
  <c r="Y134" i="14"/>
  <c r="AB134" i="14" s="1"/>
  <c r="R129" i="20"/>
  <c r="T129" i="20" s="1"/>
  <c r="Y143" i="14"/>
  <c r="AC143" i="14" s="1"/>
  <c r="U136" i="20"/>
  <c r="B132" i="21" s="1"/>
  <c r="AI136" i="20"/>
  <c r="K136" i="20" s="1"/>
  <c r="W138" i="14"/>
  <c r="Y136" i="14"/>
  <c r="AC136" i="14" s="1"/>
  <c r="R133" i="20"/>
  <c r="T133" i="20" s="1"/>
  <c r="Y139" i="14"/>
  <c r="AB139" i="14" s="1"/>
  <c r="U139" i="20"/>
  <c r="B135" i="21" s="1"/>
  <c r="AI139" i="20"/>
  <c r="K139" i="20" s="1"/>
  <c r="Y137" i="14"/>
  <c r="AC137" i="14" s="1"/>
  <c r="AI131" i="20"/>
  <c r="K131" i="20" s="1"/>
  <c r="U131" i="20"/>
  <c r="B127" i="21" s="1"/>
  <c r="W136" i="14"/>
  <c r="W140" i="14"/>
  <c r="R134" i="20"/>
  <c r="T134" i="20" s="1"/>
  <c r="U130" i="20"/>
  <c r="B126" i="21" s="1"/>
  <c r="AI130" i="20"/>
  <c r="K130" i="20" s="1"/>
  <c r="Y133" i="14"/>
  <c r="AC133" i="14" s="1"/>
  <c r="Y138" i="14"/>
  <c r="AB138" i="14" s="1"/>
  <c r="AJ132" i="20"/>
  <c r="Y140" i="14"/>
  <c r="AB140" i="14" s="1"/>
  <c r="AI137" i="20"/>
  <c r="K137" i="20" s="1"/>
  <c r="U137" i="20"/>
  <c r="B133" i="21" s="1"/>
  <c r="U140" i="20"/>
  <c r="B136" i="21" s="1"/>
  <c r="AI140" i="20"/>
  <c r="K140" i="20" s="1"/>
  <c r="Y132" i="14"/>
  <c r="AC132" i="14" s="1"/>
  <c r="Y135" i="14"/>
  <c r="AC135" i="14" s="1"/>
  <c r="Y141" i="14"/>
  <c r="AC141" i="14" s="1"/>
  <c r="P12" i="20"/>
  <c r="O12" i="20"/>
  <c r="O66" i="20"/>
  <c r="Q66" i="20" s="1"/>
  <c r="R66" i="20" s="1"/>
  <c r="T66" i="20" s="1"/>
  <c r="AI66" i="20" s="1"/>
  <c r="K66" i="20" s="1"/>
  <c r="L74" i="20"/>
  <c r="AI101" i="20"/>
  <c r="K101" i="20" s="1"/>
  <c r="U51" i="20"/>
  <c r="B47" i="21" s="1"/>
  <c r="D47" i="21" s="1"/>
  <c r="E47" i="21" s="1"/>
  <c r="O74" i="20"/>
  <c r="Q74" i="20" s="1"/>
  <c r="R74" i="20" s="1"/>
  <c r="T74" i="20" s="1"/>
  <c r="Y129" i="14"/>
  <c r="AB129" i="14" s="1"/>
  <c r="Y130" i="14"/>
  <c r="AB130" i="14" s="1"/>
  <c r="Y128" i="14"/>
  <c r="AC128" i="14" s="1"/>
  <c r="Y131" i="14"/>
  <c r="AB131" i="14" s="1"/>
  <c r="W128" i="14"/>
  <c r="O58" i="20"/>
  <c r="AI21" i="20"/>
  <c r="K21" i="20" s="1"/>
  <c r="L82" i="20"/>
  <c r="P50" i="20"/>
  <c r="U55" i="20"/>
  <c r="B51" i="21" s="1"/>
  <c r="D51" i="21" s="1"/>
  <c r="E51" i="21" s="1"/>
  <c r="AI126" i="20"/>
  <c r="K126" i="20" s="1"/>
  <c r="P58" i="20"/>
  <c r="P82" i="20"/>
  <c r="Q82" i="20" s="1"/>
  <c r="R82" i="20" s="1"/>
  <c r="T82" i="20" s="1"/>
  <c r="U92" i="20"/>
  <c r="B88" i="21" s="1"/>
  <c r="AI36" i="20"/>
  <c r="K36" i="20" s="1"/>
  <c r="U80" i="20"/>
  <c r="B76" i="21" s="1"/>
  <c r="D76" i="21" s="1"/>
  <c r="E76" i="21" s="1"/>
  <c r="O50" i="20"/>
  <c r="AI75" i="20"/>
  <c r="K75" i="20" s="1"/>
  <c r="L70" i="20"/>
  <c r="AI38" i="20"/>
  <c r="K38" i="20" s="1"/>
  <c r="AI53" i="20"/>
  <c r="AJ53" i="20" s="1"/>
  <c r="U87" i="20"/>
  <c r="B83" i="21" s="1"/>
  <c r="AI124" i="20"/>
  <c r="AJ124" i="20" s="1"/>
  <c r="U96" i="20"/>
  <c r="B92" i="21" s="1"/>
  <c r="P78" i="20"/>
  <c r="AI22" i="20"/>
  <c r="K22" i="20" s="1"/>
  <c r="AI28" i="20"/>
  <c r="K28" i="20" s="1"/>
  <c r="AI95" i="20"/>
  <c r="AJ95" i="20" s="1"/>
  <c r="AI34" i="20"/>
  <c r="AJ34" i="20" s="1"/>
  <c r="T88" i="20"/>
  <c r="U88" i="20" s="1"/>
  <c r="B84" i="21" s="1"/>
  <c r="U64" i="20"/>
  <c r="B60" i="21" s="1"/>
  <c r="D60" i="21" s="1"/>
  <c r="E60" i="21" s="1"/>
  <c r="O70" i="20"/>
  <c r="AI52" i="20"/>
  <c r="K52" i="20" s="1"/>
  <c r="U26" i="20"/>
  <c r="B22" i="21" s="1"/>
  <c r="D22" i="21" s="1"/>
  <c r="E22" i="21" s="1"/>
  <c r="U125" i="20"/>
  <c r="B121" i="21" s="1"/>
  <c r="U83" i="20"/>
  <c r="B79" i="21" s="1"/>
  <c r="D79" i="21" s="1"/>
  <c r="E79" i="21" s="1"/>
  <c r="U42" i="20"/>
  <c r="B38" i="21" s="1"/>
  <c r="AI104" i="20"/>
  <c r="AJ104" i="20" s="1"/>
  <c r="L66" i="20"/>
  <c r="Q70" i="20"/>
  <c r="R70" i="20" s="1"/>
  <c r="T70" i="20" s="1"/>
  <c r="AI70" i="20" s="1"/>
  <c r="K70" i="20" s="1"/>
  <c r="O78" i="20"/>
  <c r="U118" i="20"/>
  <c r="B114" i="21" s="1"/>
  <c r="D114" i="21" s="1"/>
  <c r="E114" i="21" s="1"/>
  <c r="AI67" i="20"/>
  <c r="K67" i="20" s="1"/>
  <c r="U17" i="20"/>
  <c r="B13" i="21" s="1"/>
  <c r="U115" i="20"/>
  <c r="B111" i="21" s="1"/>
  <c r="D111" i="21" s="1"/>
  <c r="E111" i="21" s="1"/>
  <c r="AI89" i="20"/>
  <c r="K89" i="20" s="1"/>
  <c r="AJ87" i="20"/>
  <c r="AL87" i="20" s="1"/>
  <c r="U71" i="20"/>
  <c r="B67" i="21" s="1"/>
  <c r="D67" i="21" s="1"/>
  <c r="E67" i="21" s="1"/>
  <c r="L62" i="20"/>
  <c r="AJ17" i="20"/>
  <c r="AL17" i="20" s="1"/>
  <c r="P62" i="20"/>
  <c r="Q62" i="20" s="1"/>
  <c r="R62" i="20" s="1"/>
  <c r="T62" i="20" s="1"/>
  <c r="AI62" i="20" s="1"/>
  <c r="K62" i="20" s="1"/>
  <c r="AJ92" i="20"/>
  <c r="AL92" i="20" s="1"/>
  <c r="AJ55" i="20"/>
  <c r="AL55" i="20" s="1"/>
  <c r="P54" i="20"/>
  <c r="Q54" i="20" s="1"/>
  <c r="R54" i="20" s="1"/>
  <c r="T54" i="20" s="1"/>
  <c r="U107" i="20"/>
  <c r="B103" i="21" s="1"/>
  <c r="AI107" i="20"/>
  <c r="L54" i="20"/>
  <c r="U18" i="20"/>
  <c r="B14" i="21" s="1"/>
  <c r="AI105" i="20"/>
  <c r="K105" i="20" s="1"/>
  <c r="AI47" i="20"/>
  <c r="K47" i="20" s="1"/>
  <c r="U86" i="20"/>
  <c r="B82" i="21" s="1"/>
  <c r="AI86" i="20"/>
  <c r="K86" i="20" s="1"/>
  <c r="AI98" i="20"/>
  <c r="AJ18" i="20"/>
  <c r="AK18" i="20" s="1"/>
  <c r="U65" i="20"/>
  <c r="B61" i="21" s="1"/>
  <c r="AJ26" i="20"/>
  <c r="AL26" i="20" s="1"/>
  <c r="Q43" i="20"/>
  <c r="R43" i="20" s="1"/>
  <c r="T43" i="20" s="1"/>
  <c r="AI43" i="20" s="1"/>
  <c r="K43" i="20" s="1"/>
  <c r="AJ42" i="20"/>
  <c r="AL42" i="20" s="1"/>
  <c r="AJ51" i="20"/>
  <c r="AL51" i="20" s="1"/>
  <c r="U69" i="20"/>
  <c r="B65" i="21" s="1"/>
  <c r="AI69" i="20"/>
  <c r="Q39" i="20"/>
  <c r="R39" i="20" s="1"/>
  <c r="T39" i="20" s="1"/>
  <c r="U39" i="20" s="1"/>
  <c r="B35" i="21" s="1"/>
  <c r="P14" i="20"/>
  <c r="L14" i="20"/>
  <c r="O14" i="20"/>
  <c r="J2" i="20"/>
  <c r="Y47" i="19"/>
  <c r="AC47" i="19" s="1"/>
  <c r="W65" i="19"/>
  <c r="Y35" i="19"/>
  <c r="AC35" i="19" s="1"/>
  <c r="Y41" i="19"/>
  <c r="AC41" i="19" s="1"/>
  <c r="W41" i="19"/>
  <c r="Y79" i="19"/>
  <c r="AC79" i="19" s="1"/>
  <c r="AJ96" i="20"/>
  <c r="Y116" i="19"/>
  <c r="AC116" i="19" s="1"/>
  <c r="Y76" i="19"/>
  <c r="AC76" i="19" s="1"/>
  <c r="W16" i="19"/>
  <c r="Y12" i="19"/>
  <c r="AB12" i="19" s="1"/>
  <c r="Y80" i="19"/>
  <c r="AC80" i="19" s="1"/>
  <c r="Y27" i="19"/>
  <c r="AC27" i="19" s="1"/>
  <c r="Q90" i="20"/>
  <c r="R90" i="20" s="1"/>
  <c r="T90" i="20" s="1"/>
  <c r="Y114" i="19"/>
  <c r="AC114" i="19" s="1"/>
  <c r="W67" i="19"/>
  <c r="AJ83" i="20"/>
  <c r="Y91" i="19"/>
  <c r="AB91" i="19" s="1"/>
  <c r="Y38" i="19"/>
  <c r="AB38" i="19" s="1"/>
  <c r="Y106" i="19"/>
  <c r="AB106" i="19" s="1"/>
  <c r="AI25" i="20"/>
  <c r="K25" i="20" s="1"/>
  <c r="U25" i="20"/>
  <c r="B21" i="21" s="1"/>
  <c r="P46" i="20"/>
  <c r="O46" i="20"/>
  <c r="L46" i="20"/>
  <c r="O84" i="20"/>
  <c r="L84" i="20"/>
  <c r="P84" i="20"/>
  <c r="Y59" i="19"/>
  <c r="AB59" i="19" s="1"/>
  <c r="Y68" i="19"/>
  <c r="AB68" i="19" s="1"/>
  <c r="Y52" i="19"/>
  <c r="AC52" i="19" s="1"/>
  <c r="Y46" i="19"/>
  <c r="AC46" i="19" s="1"/>
  <c r="Y89" i="19"/>
  <c r="AC89" i="19" s="1"/>
  <c r="Y74" i="19"/>
  <c r="AB74" i="19" s="1"/>
  <c r="Y60" i="19"/>
  <c r="AC60" i="19" s="1"/>
  <c r="U45" i="20"/>
  <c r="B41" i="21" s="1"/>
  <c r="AI45" i="20"/>
  <c r="K45" i="20" s="1"/>
  <c r="Y33" i="19"/>
  <c r="AB33" i="19" s="1"/>
  <c r="U63" i="20"/>
  <c r="B59" i="21" s="1"/>
  <c r="AI63" i="20"/>
  <c r="K63" i="20" s="1"/>
  <c r="AI13" i="20"/>
  <c r="K13" i="20" s="1"/>
  <c r="U13" i="20"/>
  <c r="B9" i="21" s="1"/>
  <c r="D9" i="21" s="1"/>
  <c r="U109" i="20"/>
  <c r="B105" i="21" s="1"/>
  <c r="AI109" i="20"/>
  <c r="K109" i="20" s="1"/>
  <c r="T9" i="20"/>
  <c r="W115" i="19"/>
  <c r="W85" i="19"/>
  <c r="Y56" i="19"/>
  <c r="AB56" i="19" s="1"/>
  <c r="Y25" i="19"/>
  <c r="AC25" i="19" s="1"/>
  <c r="AJ31" i="20"/>
  <c r="AI119" i="20"/>
  <c r="K119" i="20" s="1"/>
  <c r="U119" i="20"/>
  <c r="B115" i="21" s="1"/>
  <c r="Y113" i="19"/>
  <c r="AC113" i="19" s="1"/>
  <c r="Y23" i="19"/>
  <c r="AB23" i="19" s="1"/>
  <c r="Y21" i="19"/>
  <c r="AC21" i="19" s="1"/>
  <c r="U59" i="20"/>
  <c r="B55" i="21" s="1"/>
  <c r="AI59" i="20"/>
  <c r="K59" i="20" s="1"/>
  <c r="R41" i="20"/>
  <c r="T41" i="20" s="1"/>
  <c r="W86" i="19"/>
  <c r="Y32" i="19"/>
  <c r="AB32" i="19" s="1"/>
  <c r="Y28" i="19"/>
  <c r="AB28" i="19" s="1"/>
  <c r="U108" i="20"/>
  <c r="B104" i="21" s="1"/>
  <c r="AI108" i="20"/>
  <c r="K108" i="20" s="1"/>
  <c r="Y20" i="19"/>
  <c r="AC20" i="19" s="1"/>
  <c r="Y93" i="19"/>
  <c r="AB93" i="19" s="1"/>
  <c r="U102" i="20"/>
  <c r="B98" i="21" s="1"/>
  <c r="AI102" i="20"/>
  <c r="W31" i="19"/>
  <c r="Y62" i="19"/>
  <c r="AC62" i="19" s="1"/>
  <c r="U15" i="20"/>
  <c r="B11" i="21" s="1"/>
  <c r="AI15" i="20"/>
  <c r="K15" i="20" s="1"/>
  <c r="AI103" i="20"/>
  <c r="K103" i="20" s="1"/>
  <c r="U103" i="20"/>
  <c r="B99" i="21" s="1"/>
  <c r="Q19" i="20"/>
  <c r="R19" i="20" s="1"/>
  <c r="T19" i="20" s="1"/>
  <c r="Q27" i="20"/>
  <c r="R27" i="20" s="1"/>
  <c r="T27" i="20" s="1"/>
  <c r="Q23" i="20"/>
  <c r="R23" i="20" s="1"/>
  <c r="T23" i="20" s="1"/>
  <c r="Y99" i="19"/>
  <c r="AC99" i="19" s="1"/>
  <c r="W42" i="19"/>
  <c r="Y9" i="19"/>
  <c r="AC9" i="19" s="1"/>
  <c r="AJ65" i="20"/>
  <c r="Y125" i="19"/>
  <c r="AB125" i="19" s="1"/>
  <c r="AJ125" i="20"/>
  <c r="Y95" i="19"/>
  <c r="AB95" i="19" s="1"/>
  <c r="Y103" i="19"/>
  <c r="AC103" i="19" s="1"/>
  <c r="W76" i="19"/>
  <c r="Y26" i="19"/>
  <c r="AC26" i="19" s="1"/>
  <c r="Y96" i="19"/>
  <c r="AC96" i="19" s="1"/>
  <c r="W114" i="19"/>
  <c r="Y58" i="19"/>
  <c r="AB58" i="19" s="1"/>
  <c r="Y124" i="19"/>
  <c r="AC124" i="19" s="1"/>
  <c r="Y43" i="19"/>
  <c r="AC43" i="19" s="1"/>
  <c r="Y75" i="19"/>
  <c r="AC75" i="19" s="1"/>
  <c r="Y36" i="19"/>
  <c r="AB36" i="19" s="1"/>
  <c r="Y67" i="19"/>
  <c r="AB67" i="19" s="1"/>
  <c r="Y11" i="19"/>
  <c r="AC11" i="19" s="1"/>
  <c r="Y55" i="19"/>
  <c r="AC55" i="19" s="1"/>
  <c r="Y57" i="19"/>
  <c r="AB57" i="19" s="1"/>
  <c r="AI112" i="20"/>
  <c r="K112" i="20" s="1"/>
  <c r="U112" i="20"/>
  <c r="B108" i="21" s="1"/>
  <c r="K115" i="20"/>
  <c r="AJ115" i="20"/>
  <c r="Y90" i="19"/>
  <c r="AB90" i="19" s="1"/>
  <c r="Y48" i="19"/>
  <c r="AC48" i="19" s="1"/>
  <c r="Y88" i="19"/>
  <c r="AB88" i="19" s="1"/>
  <c r="Y66" i="19"/>
  <c r="AC66" i="19" s="1"/>
  <c r="AI85" i="20"/>
  <c r="K85" i="20" s="1"/>
  <c r="U85" i="20"/>
  <c r="B81" i="21" s="1"/>
  <c r="Y30" i="19"/>
  <c r="AB30" i="19" s="1"/>
  <c r="Y118" i="19"/>
  <c r="AC118" i="19" s="1"/>
  <c r="AI121" i="20"/>
  <c r="K121" i="20" s="1"/>
  <c r="U121" i="20"/>
  <c r="B117" i="21" s="1"/>
  <c r="Y82" i="19"/>
  <c r="AC82" i="19" s="1"/>
  <c r="Y17" i="19"/>
  <c r="AB17" i="19" s="1"/>
  <c r="W17" i="19"/>
  <c r="W29" i="19"/>
  <c r="W60" i="19"/>
  <c r="AI33" i="20"/>
  <c r="K33" i="20" s="1"/>
  <c r="U33" i="20"/>
  <c r="B29" i="21" s="1"/>
  <c r="W33" i="19"/>
  <c r="U61" i="20"/>
  <c r="B57" i="21" s="1"/>
  <c r="AI61" i="20"/>
  <c r="K61" i="20" s="1"/>
  <c r="Y54" i="19"/>
  <c r="AC54" i="19" s="1"/>
  <c r="W71" i="19"/>
  <c r="U60" i="20"/>
  <c r="B56" i="21" s="1"/>
  <c r="AI60" i="20"/>
  <c r="K60" i="20" s="1"/>
  <c r="Y115" i="19"/>
  <c r="AC115" i="19" s="1"/>
  <c r="Y123" i="19"/>
  <c r="AB123" i="19" s="1"/>
  <c r="Y85" i="19"/>
  <c r="AB85" i="19" s="1"/>
  <c r="W25" i="19"/>
  <c r="Y98" i="19"/>
  <c r="AC98" i="19" s="1"/>
  <c r="Y13" i="19"/>
  <c r="AC13" i="19" s="1"/>
  <c r="AI99" i="20"/>
  <c r="K99" i="20" s="1"/>
  <c r="U99" i="20"/>
  <c r="B95" i="21" s="1"/>
  <c r="U30" i="20"/>
  <c r="B26" i="21" s="1"/>
  <c r="AI30" i="20"/>
  <c r="K30" i="20" s="1"/>
  <c r="AI117" i="20"/>
  <c r="K117" i="20" s="1"/>
  <c r="U117" i="20"/>
  <c r="B113" i="21" s="1"/>
  <c r="Y51" i="19"/>
  <c r="AB51" i="19" s="1"/>
  <c r="Y15" i="19"/>
  <c r="AB15" i="19" s="1"/>
  <c r="W44" i="19"/>
  <c r="U120" i="20"/>
  <c r="B116" i="21" s="1"/>
  <c r="AI120" i="20"/>
  <c r="Y22" i="19"/>
  <c r="AC22" i="19" s="1"/>
  <c r="AI44" i="20"/>
  <c r="U44" i="20"/>
  <c r="B40" i="21" s="1"/>
  <c r="Y119" i="19"/>
  <c r="AC119" i="19" s="1"/>
  <c r="W117" i="19"/>
  <c r="Y31" i="19"/>
  <c r="AC31" i="19" s="1"/>
  <c r="W64" i="19"/>
  <c r="U93" i="20"/>
  <c r="B89" i="21" s="1"/>
  <c r="AI93" i="20"/>
  <c r="K93" i="20" s="1"/>
  <c r="AJ118" i="20"/>
  <c r="Q116" i="20"/>
  <c r="R116" i="20" s="1"/>
  <c r="T116" i="20" s="1"/>
  <c r="Y111" i="19"/>
  <c r="AB111" i="19" s="1"/>
  <c r="W116" i="19"/>
  <c r="Y49" i="19"/>
  <c r="AB49" i="19" s="1"/>
  <c r="Y16" i="19"/>
  <c r="AC16" i="19" s="1"/>
  <c r="Y110" i="19"/>
  <c r="AC110" i="19" s="1"/>
  <c r="AB110" i="19"/>
  <c r="AI110" i="19" s="1"/>
  <c r="J110" i="19" s="1"/>
  <c r="W104" i="19"/>
  <c r="Y37" i="19"/>
  <c r="AB37" i="19" s="1"/>
  <c r="K80" i="20"/>
  <c r="AJ80" i="20"/>
  <c r="U122" i="20"/>
  <c r="B118" i="21" s="1"/>
  <c r="AI122" i="20"/>
  <c r="K122" i="20" s="1"/>
  <c r="Y39" i="19"/>
  <c r="AB39" i="19" s="1"/>
  <c r="Y120" i="19"/>
  <c r="AB120" i="19" s="1"/>
  <c r="Y53" i="19"/>
  <c r="AC53" i="19" s="1"/>
  <c r="W91" i="19"/>
  <c r="Y19" i="19"/>
  <c r="AB19" i="19" s="1"/>
  <c r="Y84" i="19"/>
  <c r="AC84" i="19" s="1"/>
  <c r="W107" i="19"/>
  <c r="AI107" i="19"/>
  <c r="J107" i="19" s="1"/>
  <c r="Y24" i="19"/>
  <c r="AB24" i="19" s="1"/>
  <c r="Y45" i="19"/>
  <c r="AB45" i="19" s="1"/>
  <c r="Y128" i="19"/>
  <c r="AC128" i="19" s="1"/>
  <c r="W74" i="19"/>
  <c r="Y70" i="19"/>
  <c r="AB70" i="19" s="1"/>
  <c r="Y101" i="19"/>
  <c r="AC101" i="19" s="1"/>
  <c r="AI48" i="20"/>
  <c r="K48" i="20" s="1"/>
  <c r="U48" i="20"/>
  <c r="B44" i="21" s="1"/>
  <c r="U10" i="20"/>
  <c r="B6" i="21" s="1"/>
  <c r="AI10" i="20"/>
  <c r="K10" i="20" s="1"/>
  <c r="AC108" i="19"/>
  <c r="Y108" i="19"/>
  <c r="AB108" i="19"/>
  <c r="U113" i="20"/>
  <c r="B109" i="21" s="1"/>
  <c r="AI113" i="20"/>
  <c r="Y10" i="19"/>
  <c r="AB10" i="19" s="1"/>
  <c r="U35" i="20"/>
  <c r="B31" i="21" s="1"/>
  <c r="AI35" i="20"/>
  <c r="K35" i="20" s="1"/>
  <c r="AI32" i="20"/>
  <c r="K32" i="20" s="1"/>
  <c r="U32" i="20"/>
  <c r="B28" i="21" s="1"/>
  <c r="Y18" i="19"/>
  <c r="AB18" i="19" s="1"/>
  <c r="Y63" i="19"/>
  <c r="AB63" i="19" s="1"/>
  <c r="U56" i="20"/>
  <c r="B52" i="21" s="1"/>
  <c r="AI56" i="20"/>
  <c r="K56" i="20" s="1"/>
  <c r="AI40" i="20"/>
  <c r="U40" i="20"/>
  <c r="B36" i="21" s="1"/>
  <c r="U37" i="20"/>
  <c r="B33" i="21" s="1"/>
  <c r="AI37" i="20"/>
  <c r="K37" i="20" s="1"/>
  <c r="Y92" i="19"/>
  <c r="AC92" i="19" s="1"/>
  <c r="AI77" i="20"/>
  <c r="K77" i="20" s="1"/>
  <c r="U77" i="20"/>
  <c r="B73" i="21" s="1"/>
  <c r="U79" i="20"/>
  <c r="B75" i="21" s="1"/>
  <c r="AI79" i="20"/>
  <c r="K79" i="20" s="1"/>
  <c r="W121" i="19"/>
  <c r="Y121" i="19"/>
  <c r="AC121" i="19" s="1"/>
  <c r="W51" i="19"/>
  <c r="Y94" i="19"/>
  <c r="AC94" i="19" s="1"/>
  <c r="Y86" i="19"/>
  <c r="AC86" i="19" s="1"/>
  <c r="Y97" i="19"/>
  <c r="AC97" i="19" s="1"/>
  <c r="Y44" i="19"/>
  <c r="AB44" i="19" s="1"/>
  <c r="W34" i="19"/>
  <c r="AI81" i="20"/>
  <c r="U81" i="20"/>
  <c r="B77" i="21" s="1"/>
  <c r="Y105" i="19"/>
  <c r="AC105" i="19" s="1"/>
  <c r="Y87" i="19"/>
  <c r="AC87" i="19" s="1"/>
  <c r="AI57" i="20"/>
  <c r="K57" i="20" s="1"/>
  <c r="U57" i="20"/>
  <c r="B53" i="21" s="1"/>
  <c r="AI68" i="20"/>
  <c r="K68" i="20" s="1"/>
  <c r="U68" i="20"/>
  <c r="B64" i="21" s="1"/>
  <c r="Y81" i="19"/>
  <c r="AC81" i="19" s="1"/>
  <c r="U76" i="20"/>
  <c r="B72" i="21" s="1"/>
  <c r="AI76" i="20"/>
  <c r="K76" i="20" s="1"/>
  <c r="AJ64" i="20"/>
  <c r="Y42" i="19"/>
  <c r="AC42" i="19" s="1"/>
  <c r="Y69" i="19"/>
  <c r="AC69" i="19" s="1"/>
  <c r="Y65" i="19"/>
  <c r="AC65" i="19" s="1"/>
  <c r="Y83" i="19"/>
  <c r="AC83" i="19" s="1"/>
  <c r="Y77" i="19"/>
  <c r="AC77" i="19" s="1"/>
  <c r="W103" i="19"/>
  <c r="Y50" i="19"/>
  <c r="AB50" i="19" s="1"/>
  <c r="Y104" i="19"/>
  <c r="AC104" i="19" s="1"/>
  <c r="Y14" i="19"/>
  <c r="AB14" i="19" s="1"/>
  <c r="U111" i="20"/>
  <c r="B107" i="21" s="1"/>
  <c r="AI111" i="20"/>
  <c r="K111" i="20" s="1"/>
  <c r="Y73" i="19"/>
  <c r="AC73" i="19" s="1"/>
  <c r="W75" i="19"/>
  <c r="K71" i="20"/>
  <c r="AJ71" i="20"/>
  <c r="W120" i="19"/>
  <c r="W90" i="19"/>
  <c r="W19" i="19"/>
  <c r="Y61" i="19"/>
  <c r="AB61" i="19" s="1"/>
  <c r="R100" i="20"/>
  <c r="T100" i="20" s="1"/>
  <c r="AC107" i="19"/>
  <c r="AB107" i="19"/>
  <c r="Y107" i="19"/>
  <c r="Y100" i="19"/>
  <c r="AC100" i="19" s="1"/>
  <c r="Y122" i="19"/>
  <c r="AB122" i="19" s="1"/>
  <c r="W108" i="19"/>
  <c r="AI108" i="19"/>
  <c r="J108" i="19" s="1"/>
  <c r="R110" i="20"/>
  <c r="T110" i="20" s="1"/>
  <c r="Y29" i="19"/>
  <c r="U24" i="20"/>
  <c r="B20" i="21" s="1"/>
  <c r="AI24" i="20"/>
  <c r="K24" i="20" s="1"/>
  <c r="U127" i="20"/>
  <c r="B123" i="21" s="1"/>
  <c r="AI127" i="20"/>
  <c r="K127" i="20" s="1"/>
  <c r="U106" i="20"/>
  <c r="B102" i="21" s="1"/>
  <c r="AI106" i="20"/>
  <c r="K106" i="20" s="1"/>
  <c r="U72" i="20"/>
  <c r="B68" i="21" s="1"/>
  <c r="AI72" i="20"/>
  <c r="K72" i="20" s="1"/>
  <c r="Y109" i="19"/>
  <c r="AC109" i="19"/>
  <c r="AB109" i="19"/>
  <c r="AI109" i="19" s="1"/>
  <c r="J109" i="19" s="1"/>
  <c r="Y78" i="19"/>
  <c r="AB78" i="19" s="1"/>
  <c r="Y71" i="19"/>
  <c r="AC71" i="19" s="1"/>
  <c r="AI49" i="20"/>
  <c r="U49" i="20"/>
  <c r="B45" i="21" s="1"/>
  <c r="L16" i="20"/>
  <c r="O16" i="20"/>
  <c r="P16" i="20"/>
  <c r="W56" i="19"/>
  <c r="Y102" i="19"/>
  <c r="AC102" i="19" s="1"/>
  <c r="AI29" i="20"/>
  <c r="K29" i="20" s="1"/>
  <c r="U29" i="20"/>
  <c r="B25" i="21" s="1"/>
  <c r="R91" i="20"/>
  <c r="T91" i="20" s="1"/>
  <c r="Y112" i="19"/>
  <c r="AC112" i="19" s="1"/>
  <c r="W23" i="19"/>
  <c r="W21" i="19"/>
  <c r="U94" i="20"/>
  <c r="B90" i="21" s="1"/>
  <c r="AI94" i="20"/>
  <c r="K94" i="20" s="1"/>
  <c r="U11" i="20"/>
  <c r="B7" i="21" s="1"/>
  <c r="AI11" i="20"/>
  <c r="K11" i="20" s="1"/>
  <c r="W15" i="19"/>
  <c r="Y34" i="19"/>
  <c r="AC34" i="19" s="1"/>
  <c r="U97" i="20"/>
  <c r="B93" i="21" s="1"/>
  <c r="AI97" i="20"/>
  <c r="K97" i="20" s="1"/>
  <c r="Y40" i="19"/>
  <c r="AB40" i="19" s="1"/>
  <c r="U73" i="20"/>
  <c r="B69" i="21" s="1"/>
  <c r="AI73" i="20"/>
  <c r="K73" i="20" s="1"/>
  <c r="Y117" i="19"/>
  <c r="AC117" i="19" s="1"/>
  <c r="AI114" i="20"/>
  <c r="K114" i="20" s="1"/>
  <c r="U114" i="20"/>
  <c r="B110" i="21" s="1"/>
  <c r="Y64" i="19"/>
  <c r="AB64" i="19" s="1"/>
  <c r="L20" i="20"/>
  <c r="P20" i="20"/>
  <c r="O20" i="20"/>
  <c r="AL127" i="19"/>
  <c r="AK126" i="19"/>
  <c r="AM126" i="19" s="1"/>
  <c r="U72" i="19"/>
  <c r="AJ72" i="19"/>
  <c r="K72" i="19" s="1"/>
  <c r="J3" i="19"/>
  <c r="Y57" i="14"/>
  <c r="AB57" i="14" s="1"/>
  <c r="W58" i="14"/>
  <c r="Y60" i="14"/>
  <c r="AC60" i="14" s="1"/>
  <c r="Y58" i="14"/>
  <c r="AB58" i="14" s="1"/>
  <c r="Y59" i="14"/>
  <c r="AC59" i="14" s="1"/>
  <c r="Y61" i="14"/>
  <c r="AB61" i="14" s="1"/>
  <c r="Y126" i="14"/>
  <c r="AC126" i="14" s="1"/>
  <c r="W126" i="14"/>
  <c r="W115" i="14"/>
  <c r="W116" i="14"/>
  <c r="W120" i="14"/>
  <c r="W118" i="14"/>
  <c r="Y121" i="14"/>
  <c r="AC121" i="14" s="1"/>
  <c r="W125" i="14"/>
  <c r="Y117" i="14"/>
  <c r="AB117" i="14" s="1"/>
  <c r="Y119" i="14"/>
  <c r="AB119" i="14" s="1"/>
  <c r="Y113" i="14"/>
  <c r="AB113" i="14" s="1"/>
  <c r="Y116" i="14"/>
  <c r="AC116" i="14" s="1"/>
  <c r="Y125" i="14"/>
  <c r="AC125" i="14" s="1"/>
  <c r="W122" i="14"/>
  <c r="W113" i="14"/>
  <c r="Y122" i="14"/>
  <c r="AC122" i="14" s="1"/>
  <c r="Y120" i="14"/>
  <c r="AB120" i="14" s="1"/>
  <c r="Y127" i="14"/>
  <c r="AB127" i="14" s="1"/>
  <c r="W123" i="14"/>
  <c r="W117" i="14"/>
  <c r="Y124" i="14"/>
  <c r="AB124" i="14" s="1"/>
  <c r="Y118" i="14"/>
  <c r="AB118" i="14" s="1"/>
  <c r="Y123" i="14"/>
  <c r="AC123" i="14" s="1"/>
  <c r="Y114" i="14"/>
  <c r="AB114" i="14" s="1"/>
  <c r="W114" i="14"/>
  <c r="W121" i="14"/>
  <c r="Y115" i="14"/>
  <c r="AB115" i="14" s="1"/>
  <c r="W33" i="14"/>
  <c r="W36" i="14"/>
  <c r="Y35" i="14"/>
  <c r="AC35" i="14" s="1"/>
  <c r="Y36" i="14"/>
  <c r="AC36" i="14" s="1"/>
  <c r="Y33" i="14"/>
  <c r="AB33" i="14" s="1"/>
  <c r="Y34" i="14"/>
  <c r="AC34" i="14" s="1"/>
  <c r="Y89" i="14"/>
  <c r="AC89" i="14" s="1"/>
  <c r="W87" i="14"/>
  <c r="W85" i="14"/>
  <c r="Y87" i="14"/>
  <c r="AB87" i="14" s="1"/>
  <c r="W86" i="14"/>
  <c r="Y85" i="14"/>
  <c r="AB85" i="14" s="1"/>
  <c r="W88" i="14"/>
  <c r="AC53" i="14"/>
  <c r="Y86" i="14"/>
  <c r="AB86" i="14" s="1"/>
  <c r="Y88" i="14"/>
  <c r="AC88" i="14" s="1"/>
  <c r="AC108" i="14"/>
  <c r="AB43" i="14"/>
  <c r="AB47" i="14"/>
  <c r="AC109" i="14"/>
  <c r="AB66" i="14"/>
  <c r="AB96" i="14"/>
  <c r="AC100" i="14"/>
  <c r="AB93" i="14"/>
  <c r="AC49" i="14"/>
  <c r="AB99" i="14"/>
  <c r="AB97" i="14"/>
  <c r="AC111" i="14"/>
  <c r="AC90" i="14"/>
  <c r="AB98" i="14"/>
  <c r="Z10" i="14"/>
  <c r="AB14" i="14"/>
  <c r="AB46" i="14"/>
  <c r="AB102" i="14"/>
  <c r="AC94" i="14"/>
  <c r="AC39" i="14"/>
  <c r="X17" i="14"/>
  <c r="Y17" i="14" s="1"/>
  <c r="AF20" i="14"/>
  <c r="AC101" i="14"/>
  <c r="X19" i="14"/>
  <c r="Y19" i="14" s="1"/>
  <c r="AB25" i="14"/>
  <c r="AB73" i="14"/>
  <c r="AB72" i="14"/>
  <c r="AC104" i="14"/>
  <c r="AB29" i="14"/>
  <c r="Z16" i="14"/>
  <c r="AB75" i="14"/>
  <c r="AC67" i="14"/>
  <c r="V15" i="14"/>
  <c r="W15" i="14" s="1"/>
  <c r="AB79" i="14"/>
  <c r="AC48" i="14"/>
  <c r="X16" i="14"/>
  <c r="Y16" i="14" s="1"/>
  <c r="Z15" i="14"/>
  <c r="AC50" i="14"/>
  <c r="AB28" i="14"/>
  <c r="V20" i="14"/>
  <c r="W20" i="14" s="1"/>
  <c r="AF17" i="14"/>
  <c r="AC81" i="14"/>
  <c r="AB65" i="14"/>
  <c r="X21" i="14"/>
  <c r="Y21" i="14" s="1"/>
  <c r="AB21" i="14" s="1"/>
  <c r="Z18" i="14"/>
  <c r="AF13" i="14"/>
  <c r="AD19" i="14"/>
  <c r="AE19" i="14" s="1"/>
  <c r="AB40" i="14"/>
  <c r="AB77" i="14"/>
  <c r="AB37" i="14"/>
  <c r="AC71" i="14"/>
  <c r="AB82" i="14"/>
  <c r="AB41" i="14"/>
  <c r="AB74" i="14"/>
  <c r="AC110" i="14"/>
  <c r="AB30" i="14"/>
  <c r="AC95" i="14"/>
  <c r="AB31" i="14"/>
  <c r="W17" i="14"/>
  <c r="W75" i="14"/>
  <c r="W54" i="14"/>
  <c r="W103" i="14"/>
  <c r="W37" i="14"/>
  <c r="W89" i="14"/>
  <c r="W72" i="14"/>
  <c r="W84" i="14"/>
  <c r="W32" i="14"/>
  <c r="W45" i="14"/>
  <c r="W110" i="14"/>
  <c r="AD13" i="14"/>
  <c r="AE13" i="14" s="1"/>
  <c r="W50" i="14"/>
  <c r="AB45" i="14"/>
  <c r="AB64" i="14"/>
  <c r="AB105" i="14"/>
  <c r="W39" i="14"/>
  <c r="W27" i="14"/>
  <c r="W80" i="14"/>
  <c r="W101" i="14"/>
  <c r="W76" i="14"/>
  <c r="W69" i="14"/>
  <c r="W97" i="14"/>
  <c r="W98" i="14"/>
  <c r="W112" i="14"/>
  <c r="W63" i="14"/>
  <c r="W106" i="14"/>
  <c r="W127" i="14"/>
  <c r="W25" i="14"/>
  <c r="W42" i="14"/>
  <c r="AB27" i="14"/>
  <c r="W70" i="14"/>
  <c r="W68" i="14"/>
  <c r="W41" i="14"/>
  <c r="W64" i="14"/>
  <c r="W48" i="14"/>
  <c r="W82" i="14"/>
  <c r="W107" i="14"/>
  <c r="W53" i="14"/>
  <c r="W119" i="14"/>
  <c r="W108" i="14"/>
  <c r="W73" i="14"/>
  <c r="W74" i="14"/>
  <c r="W78" i="14"/>
  <c r="W83" i="14"/>
  <c r="W65" i="14"/>
  <c r="W77" i="14"/>
  <c r="AB91" i="14"/>
  <c r="Z19" i="14"/>
  <c r="V13" i="14"/>
  <c r="AD17" i="14"/>
  <c r="AE17" i="14" s="1"/>
  <c r="AB68" i="14"/>
  <c r="AC44" i="14"/>
  <c r="AB103" i="14"/>
  <c r="AF12" i="14"/>
  <c r="X11" i="14"/>
  <c r="Y11" i="14" s="1"/>
  <c r="X23" i="14"/>
  <c r="Y23" i="14" s="1"/>
  <c r="AD16" i="14"/>
  <c r="AE16" i="14" s="1"/>
  <c r="AD23" i="14"/>
  <c r="AE23" i="14" s="1"/>
  <c r="X12" i="14"/>
  <c r="Y12" i="14" s="1"/>
  <c r="AF11" i="14"/>
  <c r="Z23" i="14"/>
  <c r="AA11" i="14"/>
  <c r="AB55" i="14"/>
  <c r="Z12" i="14"/>
  <c r="AF16" i="14"/>
  <c r="Z11" i="14"/>
  <c r="V23" i="14"/>
  <c r="W23" i="14" s="1"/>
  <c r="X15" i="14"/>
  <c r="Y15" i="14" s="1"/>
  <c r="V10" i="14"/>
  <c r="AD10" i="14"/>
  <c r="AE10" i="14" s="1"/>
  <c r="AD11" i="14"/>
  <c r="AE11" i="14" s="1"/>
  <c r="AA16" i="14"/>
  <c r="AA19" i="14"/>
  <c r="AA23" i="14"/>
  <c r="AB83" i="14"/>
  <c r="AC69" i="14"/>
  <c r="AA10" i="14"/>
  <c r="AD12" i="14"/>
  <c r="AE12" i="14" s="1"/>
  <c r="AD15" i="14"/>
  <c r="AE15" i="14" s="1"/>
  <c r="AB51" i="14"/>
  <c r="V21" i="14"/>
  <c r="V12" i="14"/>
  <c r="X18" i="14"/>
  <c r="Y18" i="14" s="1"/>
  <c r="AF15" i="14"/>
  <c r="Z13" i="14"/>
  <c r="X10" i="14"/>
  <c r="Y10" i="14" s="1"/>
  <c r="AA17" i="14"/>
  <c r="AD21" i="14"/>
  <c r="AE21" i="14" s="1"/>
  <c r="V19" i="14"/>
  <c r="W19" i="14" s="1"/>
  <c r="V18" i="14"/>
  <c r="Z17" i="14"/>
  <c r="AA13" i="14"/>
  <c r="AD18" i="14"/>
  <c r="AE18" i="14" s="1"/>
  <c r="AA20" i="14"/>
  <c r="AA21" i="14"/>
  <c r="AF21" i="14"/>
  <c r="Z20" i="14"/>
  <c r="AF18" i="14"/>
  <c r="X20" i="14"/>
  <c r="Y20" i="14" s="1"/>
  <c r="AB49" i="14"/>
  <c r="AC79" i="14"/>
  <c r="AB94" i="14"/>
  <c r="AC55" i="14"/>
  <c r="AC43" i="14"/>
  <c r="AB56" i="14"/>
  <c r="AH56" i="14" s="1"/>
  <c r="AC96" i="14"/>
  <c r="AC102" i="14"/>
  <c r="AB95" i="14"/>
  <c r="AC41" i="14"/>
  <c r="AB63" i="14"/>
  <c r="AC97" i="14"/>
  <c r="AC75" i="14"/>
  <c r="AC54" i="14"/>
  <c r="AC72" i="14"/>
  <c r="AC91" i="14"/>
  <c r="AC84" i="14"/>
  <c r="AC30" i="14"/>
  <c r="AB108" i="14"/>
  <c r="AC47" i="14"/>
  <c r="AB50" i="14"/>
  <c r="AC80" i="14"/>
  <c r="AC103" i="14"/>
  <c r="AB104" i="14"/>
  <c r="AB67" i="14"/>
  <c r="AC82" i="14"/>
  <c r="AC76" i="14"/>
  <c r="AC62" i="14"/>
  <c r="AC92" i="14"/>
  <c r="AC66" i="14"/>
  <c r="AB101" i="14"/>
  <c r="AC27" i="14"/>
  <c r="AC46" i="14"/>
  <c r="AB111" i="14"/>
  <c r="AC83" i="14"/>
  <c r="AC93" i="14"/>
  <c r="AC64" i="14"/>
  <c r="AC65" i="14"/>
  <c r="AC106" i="14"/>
  <c r="AC73" i="14"/>
  <c r="AC107" i="14"/>
  <c r="AB110" i="14"/>
  <c r="AB62" i="14"/>
  <c r="AC74" i="14"/>
  <c r="AC98" i="14"/>
  <c r="AC52" i="14"/>
  <c r="AH52" i="14" s="1"/>
  <c r="AC38" i="14"/>
  <c r="AH38" i="14" s="1"/>
  <c r="AC42" i="14"/>
  <c r="AB24" i="14"/>
  <c r="AB109" i="14"/>
  <c r="AC105" i="14"/>
  <c r="AC29" i="14"/>
  <c r="AB42" i="14"/>
  <c r="AC99" i="14"/>
  <c r="AB48" i="14"/>
  <c r="AB44" i="14"/>
  <c r="AC51" i="14"/>
  <c r="AB71" i="14"/>
  <c r="AC112" i="14"/>
  <c r="AB100" i="14"/>
  <c r="AC68" i="14"/>
  <c r="AC25" i="14"/>
  <c r="AB39" i="14"/>
  <c r="AC40" i="14"/>
  <c r="AC77" i="14"/>
  <c r="AB90" i="14"/>
  <c r="AC28" i="14"/>
  <c r="AC37" i="14"/>
  <c r="AC70" i="14"/>
  <c r="AB69" i="14"/>
  <c r="AC78" i="14"/>
  <c r="AC31" i="14"/>
  <c r="AC32" i="14"/>
  <c r="AC45" i="14"/>
  <c r="AB53" i="14"/>
  <c r="AB81" i="14"/>
  <c r="AC14" i="14"/>
  <c r="Y13" i="14"/>
  <c r="Y9" i="14"/>
  <c r="AB9" i="14" s="1"/>
  <c r="AD21" i="17"/>
  <c r="I21" i="17" s="1"/>
  <c r="N21" i="17" s="1"/>
  <c r="AD20" i="17"/>
  <c r="I20" i="17" s="1"/>
  <c r="K20" i="17" s="1"/>
  <c r="AD11" i="17"/>
  <c r="I11" i="17" s="1"/>
  <c r="K23" i="17"/>
  <c r="O23" i="17"/>
  <c r="P23" i="17" s="1"/>
  <c r="Q23" i="17" s="1"/>
  <c r="S23" i="17" s="1"/>
  <c r="T23" i="17" s="1"/>
  <c r="N24" i="17"/>
  <c r="N10" i="17"/>
  <c r="AD19" i="17"/>
  <c r="I19" i="17" s="1"/>
  <c r="N16" i="17"/>
  <c r="AD18" i="17"/>
  <c r="I18" i="17" s="1"/>
  <c r="O10" i="17"/>
  <c r="K16" i="17"/>
  <c r="O17" i="17"/>
  <c r="K10" i="17"/>
  <c r="N22" i="17"/>
  <c r="O16" i="17"/>
  <c r="K22" i="17"/>
  <c r="O22" i="17"/>
  <c r="N15" i="17"/>
  <c r="O24" i="17"/>
  <c r="K24" i="17"/>
  <c r="O25" i="17"/>
  <c r="K17" i="17"/>
  <c r="K25" i="17"/>
  <c r="N17" i="17"/>
  <c r="N12" i="17"/>
  <c r="K9" i="17"/>
  <c r="K15" i="17"/>
  <c r="O15" i="17"/>
  <c r="N25" i="17"/>
  <c r="K26" i="17"/>
  <c r="K14" i="17"/>
  <c r="N14" i="17"/>
  <c r="O26" i="17"/>
  <c r="O14" i="17"/>
  <c r="N26" i="17"/>
  <c r="K13" i="17"/>
  <c r="O13" i="17"/>
  <c r="K12" i="17"/>
  <c r="N13" i="17"/>
  <c r="O12" i="17"/>
  <c r="O9" i="17"/>
  <c r="N9" i="17"/>
  <c r="P27" i="17"/>
  <c r="P28" i="17"/>
  <c r="Q28" i="17"/>
  <c r="P29" i="17"/>
  <c r="Q27" i="17"/>
  <c r="W11" i="14"/>
  <c r="W9" i="14"/>
  <c r="W16" i="14"/>
  <c r="N12" i="2"/>
  <c r="O12" i="2" s="1"/>
  <c r="P12" i="2" s="1"/>
  <c r="P42" i="2" s="1"/>
  <c r="S43" i="2"/>
  <c r="N14" i="2"/>
  <c r="O14" i="2" s="1"/>
  <c r="P14" i="2" s="1"/>
  <c r="P44" i="2" s="1"/>
  <c r="Q45" i="2"/>
  <c r="AD9" i="2"/>
  <c r="AE9" i="2" s="1"/>
  <c r="S39" i="2"/>
  <c r="P40" i="2"/>
  <c r="P13" i="2"/>
  <c r="P43" i="2" s="1"/>
  <c r="P11" i="2"/>
  <c r="P41" i="2" s="1"/>
  <c r="AL155" i="20" l="1"/>
  <c r="C151" i="21"/>
  <c r="AK153" i="20"/>
  <c r="AC153" i="14"/>
  <c r="AJ151" i="20"/>
  <c r="AK151" i="20" s="1"/>
  <c r="AC154" i="14"/>
  <c r="AH154" i="14" s="1"/>
  <c r="J154" i="14" s="1"/>
  <c r="AC155" i="14"/>
  <c r="AH155" i="14" s="1"/>
  <c r="J155" i="14" s="1"/>
  <c r="AC152" i="14"/>
  <c r="AH152" i="14" s="1"/>
  <c r="J152" i="14" s="1"/>
  <c r="C25" i="21"/>
  <c r="D25" i="21"/>
  <c r="E25" i="21" s="1"/>
  <c r="C28" i="21"/>
  <c r="D28" i="21"/>
  <c r="E28" i="21" s="1"/>
  <c r="C40" i="21"/>
  <c r="D40" i="21"/>
  <c r="E40" i="21" s="1"/>
  <c r="C113" i="21"/>
  <c r="D113" i="21"/>
  <c r="E113" i="21" s="1"/>
  <c r="C99" i="21"/>
  <c r="D99" i="21"/>
  <c r="E99" i="21" s="1"/>
  <c r="C82" i="21"/>
  <c r="D82" i="21"/>
  <c r="E82" i="21" s="1"/>
  <c r="C38" i="21"/>
  <c r="D38" i="21"/>
  <c r="E38" i="21" s="1"/>
  <c r="C126" i="21"/>
  <c r="D126" i="21"/>
  <c r="E126" i="21" s="1"/>
  <c r="C135" i="21"/>
  <c r="D135" i="21"/>
  <c r="E135" i="21" s="1"/>
  <c r="C128" i="21"/>
  <c r="D128" i="21"/>
  <c r="E128" i="21" s="1"/>
  <c r="C93" i="21"/>
  <c r="D93" i="21"/>
  <c r="E93" i="21" s="1"/>
  <c r="C102" i="21"/>
  <c r="D102" i="21"/>
  <c r="E102" i="21" s="1"/>
  <c r="C107" i="21"/>
  <c r="D107" i="21"/>
  <c r="E107" i="21" s="1"/>
  <c r="C53" i="21"/>
  <c r="D53" i="21"/>
  <c r="E53" i="21" s="1"/>
  <c r="C73" i="21"/>
  <c r="D73" i="21"/>
  <c r="E73" i="21" s="1"/>
  <c r="C33" i="21"/>
  <c r="D33" i="21"/>
  <c r="E33" i="21" s="1"/>
  <c r="C56" i="21"/>
  <c r="D56" i="21"/>
  <c r="E56" i="21" s="1"/>
  <c r="C55" i="21"/>
  <c r="D55" i="21"/>
  <c r="E55" i="21" s="1"/>
  <c r="C41" i="21"/>
  <c r="D41" i="21"/>
  <c r="E41" i="21" s="1"/>
  <c r="C35" i="21"/>
  <c r="D35" i="21"/>
  <c r="E35" i="21" s="1"/>
  <c r="C13" i="21"/>
  <c r="D13" i="21"/>
  <c r="E13" i="21" s="1"/>
  <c r="C110" i="21"/>
  <c r="D110" i="21"/>
  <c r="E110" i="21" s="1"/>
  <c r="C69" i="21"/>
  <c r="D69" i="21"/>
  <c r="E69" i="21" s="1"/>
  <c r="C36" i="21"/>
  <c r="D36" i="21"/>
  <c r="E36" i="21" s="1"/>
  <c r="C109" i="21"/>
  <c r="D109" i="21"/>
  <c r="E109" i="21" s="1"/>
  <c r="C117" i="21"/>
  <c r="D117" i="21"/>
  <c r="E117" i="21" s="1"/>
  <c r="C81" i="21"/>
  <c r="D81" i="21"/>
  <c r="E81" i="21" s="1"/>
  <c r="C108" i="21"/>
  <c r="D108" i="21"/>
  <c r="E108" i="21" s="1"/>
  <c r="C105" i="21"/>
  <c r="D105" i="21"/>
  <c r="E105" i="21" s="1"/>
  <c r="C59" i="21"/>
  <c r="D59" i="21"/>
  <c r="E59" i="21" s="1"/>
  <c r="C103" i="21"/>
  <c r="D103" i="21"/>
  <c r="E103" i="21" s="1"/>
  <c r="C121" i="21"/>
  <c r="D121" i="21"/>
  <c r="E121" i="21" s="1"/>
  <c r="C132" i="21"/>
  <c r="D132" i="21"/>
  <c r="E132" i="21" s="1"/>
  <c r="C75" i="21"/>
  <c r="D75" i="21"/>
  <c r="E75" i="21" s="1"/>
  <c r="C44" i="21"/>
  <c r="D44" i="21"/>
  <c r="E44" i="21" s="1"/>
  <c r="C116" i="21"/>
  <c r="D116" i="21"/>
  <c r="E116" i="21" s="1"/>
  <c r="C95" i="21"/>
  <c r="D95" i="21"/>
  <c r="E95" i="21" s="1"/>
  <c r="C61" i="21"/>
  <c r="D61" i="21"/>
  <c r="E61" i="21" s="1"/>
  <c r="C136" i="21"/>
  <c r="D136" i="21"/>
  <c r="E136" i="21" s="1"/>
  <c r="C127" i="21"/>
  <c r="D127" i="21"/>
  <c r="E127" i="21" s="1"/>
  <c r="C131" i="21"/>
  <c r="D131" i="21"/>
  <c r="E131" i="21" s="1"/>
  <c r="C7" i="21"/>
  <c r="D7" i="21"/>
  <c r="E7" i="21" s="1"/>
  <c r="C20" i="21"/>
  <c r="D20" i="21"/>
  <c r="E20" i="21" s="1"/>
  <c r="C72" i="21"/>
  <c r="D72" i="21"/>
  <c r="E72" i="21" s="1"/>
  <c r="C77" i="21"/>
  <c r="D77" i="21"/>
  <c r="E77" i="21" s="1"/>
  <c r="C52" i="21"/>
  <c r="D52" i="21"/>
  <c r="E52" i="21" s="1"/>
  <c r="C118" i="21"/>
  <c r="D118" i="21"/>
  <c r="E118" i="21" s="1"/>
  <c r="C57" i="21"/>
  <c r="D57" i="21"/>
  <c r="E57" i="21" s="1"/>
  <c r="C115" i="21"/>
  <c r="D115" i="21"/>
  <c r="E115" i="21" s="1"/>
  <c r="C92" i="21"/>
  <c r="D92" i="21"/>
  <c r="E92" i="21" s="1"/>
  <c r="C133" i="21"/>
  <c r="D133" i="21"/>
  <c r="E133" i="21" s="1"/>
  <c r="C139" i="21"/>
  <c r="D139" i="21"/>
  <c r="E139" i="21" s="1"/>
  <c r="C90" i="21"/>
  <c r="D90" i="21"/>
  <c r="E90" i="21" s="1"/>
  <c r="C45" i="21"/>
  <c r="D45" i="21"/>
  <c r="E45" i="21" s="1"/>
  <c r="C68" i="21"/>
  <c r="D68" i="21"/>
  <c r="E68" i="21" s="1"/>
  <c r="C123" i="21"/>
  <c r="D123" i="21"/>
  <c r="E123" i="21" s="1"/>
  <c r="C64" i="21"/>
  <c r="D64" i="21"/>
  <c r="E64" i="21" s="1"/>
  <c r="C31" i="21"/>
  <c r="D31" i="21"/>
  <c r="E31" i="21" s="1"/>
  <c r="C6" i="21"/>
  <c r="D6" i="21"/>
  <c r="E6" i="21" s="1"/>
  <c r="C89" i="21"/>
  <c r="D89" i="21"/>
  <c r="E89" i="21" s="1"/>
  <c r="C26" i="21"/>
  <c r="D26" i="21"/>
  <c r="E26" i="21" s="1"/>
  <c r="C29" i="21"/>
  <c r="D29" i="21"/>
  <c r="E29" i="21" s="1"/>
  <c r="C11" i="21"/>
  <c r="D11" i="21"/>
  <c r="E11" i="21" s="1"/>
  <c r="C98" i="21"/>
  <c r="D98" i="21"/>
  <c r="E98" i="21" s="1"/>
  <c r="C104" i="21"/>
  <c r="D104" i="21"/>
  <c r="E104" i="21" s="1"/>
  <c r="C9" i="21"/>
  <c r="E9" i="21"/>
  <c r="C21" i="21"/>
  <c r="D21" i="21"/>
  <c r="E21" i="21" s="1"/>
  <c r="C65" i="21"/>
  <c r="D65" i="21"/>
  <c r="E65" i="21" s="1"/>
  <c r="C14" i="21"/>
  <c r="D14" i="21"/>
  <c r="E14" i="21" s="1"/>
  <c r="C84" i="21"/>
  <c r="D84" i="21"/>
  <c r="E84" i="21" s="1"/>
  <c r="C83" i="21"/>
  <c r="D83" i="21"/>
  <c r="E83" i="21" s="1"/>
  <c r="C88" i="21"/>
  <c r="D88" i="21"/>
  <c r="E88" i="21" s="1"/>
  <c r="AJ154" i="20"/>
  <c r="AL154" i="20" s="1"/>
  <c r="AL152" i="20"/>
  <c r="AK152" i="20"/>
  <c r="AH153" i="14"/>
  <c r="J153" i="14" s="1"/>
  <c r="C150" i="21"/>
  <c r="AJ144" i="20"/>
  <c r="AL144" i="20" s="1"/>
  <c r="C141" i="21"/>
  <c r="AB144" i="14"/>
  <c r="AH144" i="14" s="1"/>
  <c r="J144" i="14" s="1"/>
  <c r="P144" i="14" s="1"/>
  <c r="Q150" i="20"/>
  <c r="R150" i="20" s="1"/>
  <c r="T150" i="20" s="1"/>
  <c r="AI150" i="20" s="1"/>
  <c r="K150" i="20" s="1"/>
  <c r="AB146" i="14"/>
  <c r="AH146" i="14" s="1"/>
  <c r="J146" i="14" s="1"/>
  <c r="P146" i="14" s="1"/>
  <c r="AB149" i="14"/>
  <c r="AH149" i="14" s="1"/>
  <c r="J149" i="14" s="1"/>
  <c r="O149" i="14" s="1"/>
  <c r="AC145" i="14"/>
  <c r="AH145" i="14" s="1"/>
  <c r="J145" i="14" s="1"/>
  <c r="O145" i="14" s="1"/>
  <c r="AB147" i="14"/>
  <c r="AH147" i="14" s="1"/>
  <c r="J147" i="14" s="1"/>
  <c r="L147" i="14" s="1"/>
  <c r="AB150" i="14"/>
  <c r="AH150" i="14" s="1"/>
  <c r="J150" i="14" s="1"/>
  <c r="AI149" i="20"/>
  <c r="K149" i="20" s="1"/>
  <c r="U149" i="20"/>
  <c r="B145" i="21" s="1"/>
  <c r="D145" i="21" s="1"/>
  <c r="E145" i="21" s="1"/>
  <c r="AJ146" i="20"/>
  <c r="U148" i="20"/>
  <c r="B144" i="21" s="1"/>
  <c r="D144" i="21" s="1"/>
  <c r="E144" i="21" s="1"/>
  <c r="AI148" i="20"/>
  <c r="K148" i="20" s="1"/>
  <c r="C142" i="21"/>
  <c r="AC148" i="14"/>
  <c r="AJ147" i="20"/>
  <c r="AK145" i="20"/>
  <c r="AL145" i="20"/>
  <c r="AC151" i="14"/>
  <c r="AH151" i="14" s="1"/>
  <c r="J151" i="14" s="1"/>
  <c r="AB148" i="14"/>
  <c r="C143" i="21"/>
  <c r="AJ142" i="20"/>
  <c r="AK142" i="20" s="1"/>
  <c r="C111" i="21"/>
  <c r="C67" i="21"/>
  <c r="C79" i="21"/>
  <c r="C76" i="21"/>
  <c r="C27" i="21"/>
  <c r="C60" i="21"/>
  <c r="C47" i="21"/>
  <c r="C114" i="21"/>
  <c r="C22" i="21"/>
  <c r="C51" i="21"/>
  <c r="AJ123" i="20"/>
  <c r="AK123" i="20" s="1"/>
  <c r="AJ138" i="20"/>
  <c r="AL138" i="20" s="1"/>
  <c r="AJ141" i="20"/>
  <c r="AL141" i="20" s="1"/>
  <c r="AJ130" i="20"/>
  <c r="AK130" i="20" s="1"/>
  <c r="AJ135" i="20"/>
  <c r="AL135" i="20" s="1"/>
  <c r="AK143" i="20"/>
  <c r="AJ128" i="20"/>
  <c r="AK128" i="20" s="1"/>
  <c r="AB136" i="14"/>
  <c r="AH136" i="14" s="1"/>
  <c r="J136" i="14" s="1"/>
  <c r="O136" i="14" s="1"/>
  <c r="AC134" i="14"/>
  <c r="AH134" i="14" s="1"/>
  <c r="J134" i="14" s="1"/>
  <c r="P134" i="14" s="1"/>
  <c r="AC138" i="14"/>
  <c r="AH138" i="14" s="1"/>
  <c r="J138" i="14" s="1"/>
  <c r="P138" i="14" s="1"/>
  <c r="AC139" i="14"/>
  <c r="AH139" i="14" s="1"/>
  <c r="J139" i="14" s="1"/>
  <c r="P139" i="14" s="1"/>
  <c r="AB143" i="14"/>
  <c r="AH143" i="14" s="1"/>
  <c r="J143" i="14" s="1"/>
  <c r="AC142" i="14"/>
  <c r="AH142" i="14" s="1"/>
  <c r="J142" i="14" s="1"/>
  <c r="O142" i="14" s="1"/>
  <c r="AJ140" i="20"/>
  <c r="AL140" i="20" s="1"/>
  <c r="AC140" i="14"/>
  <c r="AH140" i="14" s="1"/>
  <c r="J140" i="14" s="1"/>
  <c r="AJ131" i="20"/>
  <c r="AL131" i="20" s="1"/>
  <c r="AB135" i="14"/>
  <c r="AH135" i="14" s="1"/>
  <c r="J135" i="14" s="1"/>
  <c r="U134" i="20"/>
  <c r="B130" i="21" s="1"/>
  <c r="AI134" i="20"/>
  <c r="K134" i="20" s="1"/>
  <c r="U129" i="20"/>
  <c r="B125" i="21" s="1"/>
  <c r="AI129" i="20"/>
  <c r="K129" i="20" s="1"/>
  <c r="AB137" i="14"/>
  <c r="AH137" i="14" s="1"/>
  <c r="J137" i="14" s="1"/>
  <c r="AJ139" i="20"/>
  <c r="AJ136" i="20"/>
  <c r="AI133" i="20"/>
  <c r="K133" i="20" s="1"/>
  <c r="U133" i="20"/>
  <c r="B129" i="21" s="1"/>
  <c r="AC130" i="14"/>
  <c r="AH130" i="14" s="1"/>
  <c r="J130" i="14" s="1"/>
  <c r="L130" i="14" s="1"/>
  <c r="AB141" i="14"/>
  <c r="AH141" i="14" s="1"/>
  <c r="J141" i="14" s="1"/>
  <c r="AB132" i="14"/>
  <c r="AH132" i="14" s="1"/>
  <c r="J132" i="14" s="1"/>
  <c r="AJ137" i="20"/>
  <c r="AL132" i="20"/>
  <c r="AK132" i="20"/>
  <c r="AB133" i="14"/>
  <c r="AH133" i="14" s="1"/>
  <c r="J133" i="14" s="1"/>
  <c r="AB128" i="14"/>
  <c r="AH128" i="14" s="1"/>
  <c r="J128" i="14" s="1"/>
  <c r="AC131" i="14"/>
  <c r="AH131" i="14" s="1"/>
  <c r="J131" i="14" s="1"/>
  <c r="L131" i="14" s="1"/>
  <c r="AC129" i="14"/>
  <c r="AH129" i="14" s="1"/>
  <c r="J129" i="14" s="1"/>
  <c r="P129" i="14" s="1"/>
  <c r="Q12" i="20"/>
  <c r="R12" i="20" s="1"/>
  <c r="AJ101" i="20"/>
  <c r="AL101" i="20" s="1"/>
  <c r="AJ21" i="20"/>
  <c r="AL21" i="20" s="1"/>
  <c r="AJ47" i="20"/>
  <c r="AL47" i="20" s="1"/>
  <c r="Q58" i="20"/>
  <c r="R58" i="20" s="1"/>
  <c r="T58" i="20" s="1"/>
  <c r="AI58" i="20" s="1"/>
  <c r="K58" i="20" s="1"/>
  <c r="Q50" i="20"/>
  <c r="R50" i="20" s="1"/>
  <c r="T50" i="20" s="1"/>
  <c r="AI50" i="20" s="1"/>
  <c r="K50" i="20" s="1"/>
  <c r="K53" i="20"/>
  <c r="AJ75" i="20"/>
  <c r="AK75" i="20" s="1"/>
  <c r="AJ36" i="20"/>
  <c r="AL36" i="20" s="1"/>
  <c r="K104" i="20"/>
  <c r="AI88" i="20"/>
  <c r="K88" i="20" s="1"/>
  <c r="K124" i="20"/>
  <c r="AJ126" i="20"/>
  <c r="AL126" i="20" s="1"/>
  <c r="AJ38" i="20"/>
  <c r="AL38" i="20" s="1"/>
  <c r="K95" i="20"/>
  <c r="Q78" i="20"/>
  <c r="R78" i="20" s="1"/>
  <c r="T78" i="20" s="1"/>
  <c r="AI78" i="20" s="1"/>
  <c r="K78" i="20" s="1"/>
  <c r="AJ86" i="20"/>
  <c r="AK86" i="20" s="1"/>
  <c r="AJ52" i="20"/>
  <c r="AL52" i="20" s="1"/>
  <c r="AJ22" i="20"/>
  <c r="AL22" i="20" s="1"/>
  <c r="AL18" i="20"/>
  <c r="AK17" i="20"/>
  <c r="AK42" i="20"/>
  <c r="U70" i="20"/>
  <c r="B66" i="21" s="1"/>
  <c r="D66" i="21" s="1"/>
  <c r="E66" i="21" s="1"/>
  <c r="AJ28" i="20"/>
  <c r="AK28" i="20" s="1"/>
  <c r="AJ89" i="20"/>
  <c r="AL89" i="20" s="1"/>
  <c r="K34" i="20"/>
  <c r="AJ112" i="20"/>
  <c r="AK112" i="20" s="1"/>
  <c r="U62" i="20"/>
  <c r="B58" i="21" s="1"/>
  <c r="D58" i="21" s="1"/>
  <c r="E58" i="21" s="1"/>
  <c r="AJ60" i="20"/>
  <c r="AK60" i="20" s="1"/>
  <c r="F48" i="21"/>
  <c r="AJ32" i="20"/>
  <c r="AL32" i="20" s="1"/>
  <c r="AJ85" i="20"/>
  <c r="AL85" i="20" s="1"/>
  <c r="AB77" i="19"/>
  <c r="AI77" i="19" s="1"/>
  <c r="J77" i="19" s="1"/>
  <c r="P77" i="19" s="1"/>
  <c r="AB69" i="19"/>
  <c r="AI69" i="19" s="1"/>
  <c r="J69" i="19" s="1"/>
  <c r="P69" i="19" s="1"/>
  <c r="AJ67" i="20"/>
  <c r="AL67" i="20" s="1"/>
  <c r="AC10" i="19"/>
  <c r="AI10" i="19" s="1"/>
  <c r="J10" i="19" s="1"/>
  <c r="P10" i="19" s="1"/>
  <c r="AC70" i="19"/>
  <c r="AI70" i="19" s="1"/>
  <c r="J70" i="19" s="1"/>
  <c r="P70" i="19" s="1"/>
  <c r="F30" i="21"/>
  <c r="AJ11" i="20"/>
  <c r="AK11" i="20" s="1"/>
  <c r="F63" i="21"/>
  <c r="AB113" i="19"/>
  <c r="AI113" i="19" s="1"/>
  <c r="J113" i="19" s="1"/>
  <c r="L113" i="19" s="1"/>
  <c r="AC12" i="19"/>
  <c r="AI12" i="19" s="1"/>
  <c r="J12" i="19" s="1"/>
  <c r="P12" i="19" s="1"/>
  <c r="AK87" i="20"/>
  <c r="AB84" i="19"/>
  <c r="AI84" i="19" s="1"/>
  <c r="J84" i="19" s="1"/>
  <c r="P84" i="19" s="1"/>
  <c r="AC90" i="19"/>
  <c r="AI90" i="19" s="1"/>
  <c r="J90" i="19" s="1"/>
  <c r="P90" i="19" s="1"/>
  <c r="AB62" i="19"/>
  <c r="AI62" i="19" s="1"/>
  <c r="J62" i="19" s="1"/>
  <c r="P62" i="19" s="1"/>
  <c r="AB47" i="19"/>
  <c r="AI47" i="19" s="1"/>
  <c r="J47" i="19" s="1"/>
  <c r="O47" i="19" s="1"/>
  <c r="AK26" i="20"/>
  <c r="AK92" i="20"/>
  <c r="AC23" i="19"/>
  <c r="AI23" i="19" s="1"/>
  <c r="J23" i="19" s="1"/>
  <c r="AK51" i="20"/>
  <c r="AJ111" i="20"/>
  <c r="AL111" i="20" s="1"/>
  <c r="AI39" i="20"/>
  <c r="K39" i="20" s="1"/>
  <c r="AB119" i="19"/>
  <c r="AI119" i="19" s="1"/>
  <c r="J119" i="19" s="1"/>
  <c r="L119" i="19" s="1"/>
  <c r="AB22" i="19"/>
  <c r="AI22" i="19" s="1"/>
  <c r="J22" i="19" s="1"/>
  <c r="O22" i="19" s="1"/>
  <c r="AB20" i="19"/>
  <c r="AI20" i="19" s="1"/>
  <c r="J20" i="19" s="1"/>
  <c r="P20" i="19" s="1"/>
  <c r="AC68" i="19"/>
  <c r="AI68" i="19" s="1"/>
  <c r="J68" i="19" s="1"/>
  <c r="P68" i="19" s="1"/>
  <c r="AC78" i="19"/>
  <c r="AI78" i="19" s="1"/>
  <c r="J78" i="19" s="1"/>
  <c r="L78" i="19" s="1"/>
  <c r="AJ76" i="20"/>
  <c r="AL76" i="20" s="1"/>
  <c r="AJ79" i="20"/>
  <c r="AK79" i="20" s="1"/>
  <c r="AB101" i="19"/>
  <c r="AI101" i="19" s="1"/>
  <c r="J101" i="19" s="1"/>
  <c r="O101" i="19" s="1"/>
  <c r="AC19" i="19"/>
  <c r="AI19" i="19" s="1"/>
  <c r="J19" i="19" s="1"/>
  <c r="F32" i="21"/>
  <c r="AC111" i="19"/>
  <c r="AI111" i="19" s="1"/>
  <c r="J111" i="19" s="1"/>
  <c r="AJ106" i="20"/>
  <c r="AK106" i="20" s="1"/>
  <c r="F85" i="21"/>
  <c r="F71" i="21"/>
  <c r="AJ77" i="20"/>
  <c r="AK77" i="20" s="1"/>
  <c r="AJ93" i="20"/>
  <c r="AL93" i="20" s="1"/>
  <c r="AC123" i="19"/>
  <c r="AI123" i="19" s="1"/>
  <c r="J123" i="19" s="1"/>
  <c r="L123" i="19" s="1"/>
  <c r="AB118" i="19"/>
  <c r="AI118" i="19" s="1"/>
  <c r="J118" i="19" s="1"/>
  <c r="O118" i="19" s="1"/>
  <c r="AB26" i="19"/>
  <c r="AI26" i="19" s="1"/>
  <c r="J26" i="19" s="1"/>
  <c r="P26" i="19" s="1"/>
  <c r="F91" i="21"/>
  <c r="K107" i="20"/>
  <c r="AJ107" i="20"/>
  <c r="AK55" i="20"/>
  <c r="AC122" i="19"/>
  <c r="AI122" i="19" s="1"/>
  <c r="J122" i="19" s="1"/>
  <c r="P122" i="19" s="1"/>
  <c r="U43" i="20"/>
  <c r="B39" i="21" s="1"/>
  <c r="D39" i="21" s="1"/>
  <c r="E39" i="21" s="1"/>
  <c r="AJ10" i="20"/>
  <c r="AK10" i="20" s="1"/>
  <c r="AB53" i="19"/>
  <c r="AI53" i="19" s="1"/>
  <c r="J53" i="19" s="1"/>
  <c r="O53" i="19" s="1"/>
  <c r="AC37" i="19"/>
  <c r="AI37" i="19" s="1"/>
  <c r="J37" i="19" s="1"/>
  <c r="P37" i="19" s="1"/>
  <c r="AC36" i="19"/>
  <c r="AI36" i="19" s="1"/>
  <c r="J36" i="19" s="1"/>
  <c r="P36" i="19" s="1"/>
  <c r="AB124" i="19"/>
  <c r="AI124" i="19" s="1"/>
  <c r="J124" i="19" s="1"/>
  <c r="P124" i="19" s="1"/>
  <c r="AB96" i="19"/>
  <c r="AI96" i="19" s="1"/>
  <c r="J96" i="19" s="1"/>
  <c r="P96" i="19" s="1"/>
  <c r="AC33" i="19"/>
  <c r="AI33" i="19" s="1"/>
  <c r="J33" i="19" s="1"/>
  <c r="AB60" i="19"/>
  <c r="AI60" i="19" s="1"/>
  <c r="J60" i="19" s="1"/>
  <c r="AB89" i="19"/>
  <c r="AI89" i="19" s="1"/>
  <c r="J89" i="19" s="1"/>
  <c r="L89" i="19" s="1"/>
  <c r="AB46" i="19"/>
  <c r="AI46" i="19" s="1"/>
  <c r="J46" i="19" s="1"/>
  <c r="O46" i="19" s="1"/>
  <c r="AC91" i="19"/>
  <c r="AI91" i="19" s="1"/>
  <c r="J91" i="19" s="1"/>
  <c r="AB34" i="19"/>
  <c r="AI34" i="19" s="1"/>
  <c r="J34" i="19" s="1"/>
  <c r="L34" i="19" s="1"/>
  <c r="AB121" i="19"/>
  <c r="AI121" i="19" s="1"/>
  <c r="J121" i="19" s="1"/>
  <c r="L121" i="19" s="1"/>
  <c r="AJ97" i="20"/>
  <c r="AK97" i="20" s="1"/>
  <c r="F24" i="21"/>
  <c r="AB42" i="19"/>
  <c r="AI42" i="19" s="1"/>
  <c r="J42" i="19" s="1"/>
  <c r="AB81" i="19"/>
  <c r="AI81" i="19" s="1"/>
  <c r="J81" i="19" s="1"/>
  <c r="O81" i="19" s="1"/>
  <c r="AJ57" i="20"/>
  <c r="AL57" i="20" s="1"/>
  <c r="AB105" i="19"/>
  <c r="AI105" i="19" s="1"/>
  <c r="J105" i="19" s="1"/>
  <c r="O105" i="19" s="1"/>
  <c r="AB94" i="19"/>
  <c r="AI94" i="19" s="1"/>
  <c r="J94" i="19" s="1"/>
  <c r="O94" i="19" s="1"/>
  <c r="AJ56" i="20"/>
  <c r="AL56" i="20" s="1"/>
  <c r="AC18" i="19"/>
  <c r="AI18" i="19" s="1"/>
  <c r="J18" i="19" s="1"/>
  <c r="P18" i="19" s="1"/>
  <c r="AJ117" i="20"/>
  <c r="AL117" i="20" s="1"/>
  <c r="AC67" i="19"/>
  <c r="AI67" i="19" s="1"/>
  <c r="J67" i="19" s="1"/>
  <c r="L67" i="19" s="1"/>
  <c r="AC58" i="19"/>
  <c r="AI58" i="19" s="1"/>
  <c r="J58" i="19" s="1"/>
  <c r="O58" i="19" s="1"/>
  <c r="AJ103" i="20"/>
  <c r="AL103" i="20" s="1"/>
  <c r="AC74" i="19"/>
  <c r="AI74" i="19" s="1"/>
  <c r="J74" i="19" s="1"/>
  <c r="Q46" i="20"/>
  <c r="R46" i="20" s="1"/>
  <c r="T46" i="20" s="1"/>
  <c r="AI46" i="20" s="1"/>
  <c r="K46" i="20" s="1"/>
  <c r="AB76" i="19"/>
  <c r="AI76" i="19" s="1"/>
  <c r="J76" i="19" s="1"/>
  <c r="F34" i="21"/>
  <c r="AB79" i="19"/>
  <c r="AI79" i="19" s="1"/>
  <c r="J79" i="19" s="1"/>
  <c r="O79" i="19" s="1"/>
  <c r="AJ105" i="20"/>
  <c r="F100" i="21"/>
  <c r="AB114" i="19"/>
  <c r="AI114" i="19" s="1"/>
  <c r="J114" i="19" s="1"/>
  <c r="K98" i="20"/>
  <c r="AJ98" i="20"/>
  <c r="Q20" i="20"/>
  <c r="R20" i="20" s="1"/>
  <c r="T20" i="20" s="1"/>
  <c r="U20" i="20" s="1"/>
  <c r="B16" i="21" s="1"/>
  <c r="AJ72" i="20"/>
  <c r="AK72" i="20" s="1"/>
  <c r="AB86" i="19"/>
  <c r="AI86" i="19" s="1"/>
  <c r="J86" i="19" s="1"/>
  <c r="U66" i="20"/>
  <c r="B62" i="21" s="1"/>
  <c r="D62" i="21" s="1"/>
  <c r="E62" i="21" s="1"/>
  <c r="AB128" i="19"/>
  <c r="AI128" i="19" s="1"/>
  <c r="J128" i="19" s="1"/>
  <c r="F17" i="21"/>
  <c r="AC51" i="19"/>
  <c r="AI51" i="19" s="1"/>
  <c r="J51" i="19" s="1"/>
  <c r="AJ70" i="20"/>
  <c r="AL70" i="20" s="1"/>
  <c r="AJ121" i="20"/>
  <c r="AK121" i="20" s="1"/>
  <c r="F122" i="21"/>
  <c r="AC56" i="19"/>
  <c r="AI56" i="19" s="1"/>
  <c r="J56" i="19" s="1"/>
  <c r="AJ109" i="20"/>
  <c r="AL109" i="20" s="1"/>
  <c r="AJ45" i="20"/>
  <c r="AL45" i="20" s="1"/>
  <c r="AB52" i="19"/>
  <c r="AI52" i="19" s="1"/>
  <c r="J52" i="19" s="1"/>
  <c r="P52" i="19" s="1"/>
  <c r="AC59" i="19"/>
  <c r="AI59" i="19" s="1"/>
  <c r="J59" i="19" s="1"/>
  <c r="O59" i="19" s="1"/>
  <c r="AJ25" i="20"/>
  <c r="AL25" i="20" s="1"/>
  <c r="AB117" i="19"/>
  <c r="AI117" i="19" s="1"/>
  <c r="J117" i="19" s="1"/>
  <c r="AJ29" i="20"/>
  <c r="AL29" i="20" s="1"/>
  <c r="AC61" i="19"/>
  <c r="AI61" i="19" s="1"/>
  <c r="J61" i="19" s="1"/>
  <c r="L61" i="19" s="1"/>
  <c r="AC50" i="19"/>
  <c r="AI50" i="19" s="1"/>
  <c r="J50" i="19" s="1"/>
  <c r="P50" i="19" s="1"/>
  <c r="AB83" i="19"/>
  <c r="AI83" i="19" s="1"/>
  <c r="J83" i="19" s="1"/>
  <c r="P83" i="19" s="1"/>
  <c r="AB87" i="19"/>
  <c r="AI87" i="19" s="1"/>
  <c r="J87" i="19" s="1"/>
  <c r="L87" i="19" s="1"/>
  <c r="AC44" i="19"/>
  <c r="AI44" i="19" s="1"/>
  <c r="J44" i="19" s="1"/>
  <c r="AJ48" i="20"/>
  <c r="AL48" i="20" s="1"/>
  <c r="AC45" i="19"/>
  <c r="AI45" i="19" s="1"/>
  <c r="J45" i="19" s="1"/>
  <c r="P45" i="19" s="1"/>
  <c r="AC39" i="19"/>
  <c r="AI39" i="19" s="1"/>
  <c r="J39" i="19" s="1"/>
  <c r="P39" i="19" s="1"/>
  <c r="AC17" i="19"/>
  <c r="AI17" i="19" s="1"/>
  <c r="J17" i="19" s="1"/>
  <c r="AC30" i="19"/>
  <c r="AI30" i="19" s="1"/>
  <c r="J30" i="19" s="1"/>
  <c r="O30" i="19" s="1"/>
  <c r="AC93" i="19"/>
  <c r="AI93" i="19" s="1"/>
  <c r="J93" i="19" s="1"/>
  <c r="P93" i="19" s="1"/>
  <c r="AJ108" i="20"/>
  <c r="AL108" i="20" s="1"/>
  <c r="AJ63" i="20"/>
  <c r="AK63" i="20" s="1"/>
  <c r="AB41" i="19"/>
  <c r="AI41" i="19" s="1"/>
  <c r="J41" i="19" s="1"/>
  <c r="K69" i="20"/>
  <c r="AJ69" i="20"/>
  <c r="AI100" i="20"/>
  <c r="K100" i="20" s="1"/>
  <c r="U100" i="20"/>
  <c r="B96" i="21" s="1"/>
  <c r="U41" i="20"/>
  <c r="B37" i="21" s="1"/>
  <c r="AI41" i="20"/>
  <c r="K41" i="20" s="1"/>
  <c r="AJ114" i="20"/>
  <c r="AI91" i="20"/>
  <c r="K91" i="20" s="1"/>
  <c r="U91" i="20"/>
  <c r="B87" i="21" s="1"/>
  <c r="AB71" i="19"/>
  <c r="AI71" i="19" s="1"/>
  <c r="J71" i="19" s="1"/>
  <c r="AB29" i="19"/>
  <c r="AB104" i="19"/>
  <c r="AI104" i="19" s="1"/>
  <c r="J104" i="19" s="1"/>
  <c r="AK124" i="20"/>
  <c r="AL124" i="20"/>
  <c r="AL53" i="20"/>
  <c r="AK53" i="20"/>
  <c r="AB65" i="19"/>
  <c r="AI65" i="19" s="1"/>
  <c r="J65" i="19" s="1"/>
  <c r="AJ68" i="20"/>
  <c r="AC120" i="19"/>
  <c r="AI120" i="19" s="1"/>
  <c r="J120" i="19" s="1"/>
  <c r="AK80" i="20"/>
  <c r="AL80" i="20"/>
  <c r="AB16" i="19"/>
  <c r="AI16" i="19" s="1"/>
  <c r="J16" i="19" s="1"/>
  <c r="K120" i="20"/>
  <c r="AJ120" i="20"/>
  <c r="AC15" i="19"/>
  <c r="AI15" i="19" s="1"/>
  <c r="J15" i="19" s="1"/>
  <c r="AJ99" i="20"/>
  <c r="AI54" i="20"/>
  <c r="K54" i="20" s="1"/>
  <c r="U54" i="20"/>
  <c r="B50" i="21" s="1"/>
  <c r="AK115" i="20"/>
  <c r="AL115" i="20"/>
  <c r="AB75" i="19"/>
  <c r="AI75" i="19" s="1"/>
  <c r="J75" i="19" s="1"/>
  <c r="AB103" i="19"/>
  <c r="AI103" i="19" s="1"/>
  <c r="J103" i="19" s="1"/>
  <c r="AC125" i="19"/>
  <c r="AI125" i="19" s="1"/>
  <c r="J125" i="19" s="1"/>
  <c r="U27" i="20"/>
  <c r="B23" i="21" s="1"/>
  <c r="AI27" i="20"/>
  <c r="K27" i="20" s="1"/>
  <c r="K102" i="20"/>
  <c r="AJ102" i="20"/>
  <c r="AB21" i="19"/>
  <c r="AI21" i="19" s="1"/>
  <c r="J21" i="19" s="1"/>
  <c r="AJ119" i="20"/>
  <c r="AB25" i="19"/>
  <c r="AI25" i="19" s="1"/>
  <c r="J25" i="19" s="1"/>
  <c r="AK83" i="20"/>
  <c r="AL83" i="20"/>
  <c r="U90" i="20"/>
  <c r="B86" i="21" s="1"/>
  <c r="AI90" i="20"/>
  <c r="K90" i="20" s="1"/>
  <c r="AC64" i="19"/>
  <c r="AI64" i="19" s="1"/>
  <c r="J64" i="19" s="1"/>
  <c r="AC40" i="19"/>
  <c r="AI40" i="19" s="1"/>
  <c r="J40" i="19" s="1"/>
  <c r="AB112" i="19"/>
  <c r="AI112" i="19" s="1"/>
  <c r="J112" i="19" s="1"/>
  <c r="AB102" i="19"/>
  <c r="AI102" i="19" s="1"/>
  <c r="J102" i="19" s="1"/>
  <c r="Q16" i="20"/>
  <c r="R16" i="20" s="1"/>
  <c r="T16" i="20" s="1"/>
  <c r="P109" i="19"/>
  <c r="L109" i="19"/>
  <c r="O109" i="19"/>
  <c r="AJ24" i="20"/>
  <c r="AC29" i="19"/>
  <c r="L108" i="19"/>
  <c r="O108" i="19"/>
  <c r="P108" i="19"/>
  <c r="AB100" i="19"/>
  <c r="AI100" i="19" s="1"/>
  <c r="J100" i="19" s="1"/>
  <c r="AB73" i="19"/>
  <c r="AI73" i="19" s="1"/>
  <c r="J73" i="19" s="1"/>
  <c r="AJ43" i="20"/>
  <c r="AL64" i="20"/>
  <c r="AK64" i="20"/>
  <c r="AB97" i="19"/>
  <c r="AI97" i="19" s="1"/>
  <c r="J97" i="19" s="1"/>
  <c r="AB92" i="19"/>
  <c r="AI92" i="19" s="1"/>
  <c r="J92" i="19" s="1"/>
  <c r="AJ37" i="20"/>
  <c r="K40" i="20"/>
  <c r="AJ40" i="20"/>
  <c r="AC63" i="19"/>
  <c r="AI63" i="19" s="1"/>
  <c r="J63" i="19" s="1"/>
  <c r="AJ62" i="20"/>
  <c r="AJ35" i="20"/>
  <c r="AJ66" i="20"/>
  <c r="AC24" i="19"/>
  <c r="AI24" i="19" s="1"/>
  <c r="J24" i="19" s="1"/>
  <c r="AL104" i="20"/>
  <c r="AK104" i="20"/>
  <c r="AJ122" i="20"/>
  <c r="F119" i="21"/>
  <c r="AK95" i="20"/>
  <c r="AL95" i="20"/>
  <c r="AB31" i="19"/>
  <c r="AI31" i="19" s="1"/>
  <c r="J31" i="19" s="1"/>
  <c r="K44" i="20"/>
  <c r="AJ44" i="20"/>
  <c r="AJ30" i="20"/>
  <c r="AB98" i="19"/>
  <c r="AI98" i="19" s="1"/>
  <c r="J98" i="19" s="1"/>
  <c r="AC85" i="19"/>
  <c r="AI85" i="19" s="1"/>
  <c r="J85" i="19" s="1"/>
  <c r="AB54" i="19"/>
  <c r="AI54" i="19" s="1"/>
  <c r="J54" i="19" s="1"/>
  <c r="AJ33" i="20"/>
  <c r="AB82" i="19"/>
  <c r="AI82" i="19" s="1"/>
  <c r="J82" i="19" s="1"/>
  <c r="AC88" i="19"/>
  <c r="AI88" i="19" s="1"/>
  <c r="J88" i="19" s="1"/>
  <c r="AC57" i="19"/>
  <c r="AI57" i="19" s="1"/>
  <c r="J57" i="19" s="1"/>
  <c r="F94" i="21"/>
  <c r="AB11" i="19"/>
  <c r="AI11" i="19" s="1"/>
  <c r="J11" i="19" s="1"/>
  <c r="AB9" i="19"/>
  <c r="AI9" i="19" s="1"/>
  <c r="J9" i="19" s="1"/>
  <c r="AB99" i="19"/>
  <c r="AI99" i="19" s="1"/>
  <c r="J99" i="19" s="1"/>
  <c r="U19" i="20"/>
  <c r="B15" i="21" s="1"/>
  <c r="AI19" i="20"/>
  <c r="K19" i="20" s="1"/>
  <c r="AJ15" i="20"/>
  <c r="AC28" i="19"/>
  <c r="AI28" i="19" s="1"/>
  <c r="J28" i="19" s="1"/>
  <c r="AJ59" i="20"/>
  <c r="AI9" i="20"/>
  <c r="K9" i="20" s="1"/>
  <c r="U9" i="20"/>
  <c r="B5" i="21" s="1"/>
  <c r="AJ13" i="20"/>
  <c r="F97" i="21"/>
  <c r="AC38" i="19"/>
  <c r="AI38" i="19" s="1"/>
  <c r="J38" i="19" s="1"/>
  <c r="AB27" i="19"/>
  <c r="AI27" i="19" s="1"/>
  <c r="J27" i="19" s="1"/>
  <c r="AL96" i="20"/>
  <c r="AK96" i="20"/>
  <c r="F120" i="21"/>
  <c r="Q14" i="20"/>
  <c r="R14" i="20" s="1"/>
  <c r="AJ73" i="20"/>
  <c r="AJ94" i="20"/>
  <c r="AJ127" i="20"/>
  <c r="AC14" i="19"/>
  <c r="AI14" i="19" s="1"/>
  <c r="J14" i="19" s="1"/>
  <c r="AJ113" i="20"/>
  <c r="K113" i="20"/>
  <c r="O110" i="19"/>
  <c r="L110" i="19"/>
  <c r="P110" i="19"/>
  <c r="AI74" i="20"/>
  <c r="K74" i="20" s="1"/>
  <c r="U74" i="20"/>
  <c r="B70" i="21" s="1"/>
  <c r="AL34" i="20"/>
  <c r="AK34" i="20"/>
  <c r="AK65" i="20"/>
  <c r="AL65" i="20"/>
  <c r="U82" i="20"/>
  <c r="B78" i="21" s="1"/>
  <c r="AI82" i="20"/>
  <c r="K82" i="20" s="1"/>
  <c r="Q84" i="20"/>
  <c r="R84" i="20" s="1"/>
  <c r="T84" i="20" s="1"/>
  <c r="F43" i="21"/>
  <c r="AB116" i="19"/>
  <c r="AI116" i="19" s="1"/>
  <c r="J116" i="19" s="1"/>
  <c r="K49" i="20"/>
  <c r="AJ49" i="20"/>
  <c r="AI110" i="20"/>
  <c r="K110" i="20" s="1"/>
  <c r="U110" i="20"/>
  <c r="B106" i="21" s="1"/>
  <c r="AL71" i="20"/>
  <c r="AK71" i="20"/>
  <c r="K81" i="20"/>
  <c r="AJ81" i="20"/>
  <c r="O107" i="19"/>
  <c r="L107" i="19"/>
  <c r="P107" i="19"/>
  <c r="AC49" i="19"/>
  <c r="AI49" i="19" s="1"/>
  <c r="J49" i="19" s="1"/>
  <c r="F101" i="21"/>
  <c r="AI116" i="20"/>
  <c r="U116" i="20"/>
  <c r="B112" i="21" s="1"/>
  <c r="AL118" i="20"/>
  <c r="AK118" i="20"/>
  <c r="AB13" i="19"/>
  <c r="AI13" i="19" s="1"/>
  <c r="J13" i="19" s="1"/>
  <c r="AB115" i="19"/>
  <c r="AI115" i="19" s="1"/>
  <c r="J115" i="19" s="1"/>
  <c r="AJ61" i="20"/>
  <c r="AB66" i="19"/>
  <c r="AI66" i="19" s="1"/>
  <c r="J66" i="19" s="1"/>
  <c r="AB48" i="19"/>
  <c r="AI48" i="19" s="1"/>
  <c r="J48" i="19" s="1"/>
  <c r="AB55" i="19"/>
  <c r="AI55" i="19" s="1"/>
  <c r="J55" i="19" s="1"/>
  <c r="AB43" i="19"/>
  <c r="AI43" i="19" s="1"/>
  <c r="J43" i="19" s="1"/>
  <c r="AC95" i="19"/>
  <c r="AI95" i="19" s="1"/>
  <c r="J95" i="19" s="1"/>
  <c r="AL125" i="20"/>
  <c r="AK125" i="20"/>
  <c r="F18" i="21"/>
  <c r="U23" i="20"/>
  <c r="B19" i="21" s="1"/>
  <c r="AI23" i="20"/>
  <c r="K23" i="20" s="1"/>
  <c r="AC32" i="19"/>
  <c r="AI32" i="19" s="1"/>
  <c r="J32" i="19" s="1"/>
  <c r="AK31" i="20"/>
  <c r="AL31" i="20"/>
  <c r="AC106" i="19"/>
  <c r="AI106" i="19" s="1"/>
  <c r="J106" i="19" s="1"/>
  <c r="AB80" i="19"/>
  <c r="AI80" i="19" s="1"/>
  <c r="J80" i="19" s="1"/>
  <c r="AB35" i="19"/>
  <c r="AI35" i="19" s="1"/>
  <c r="J35" i="19" s="1"/>
  <c r="F49" i="21"/>
  <c r="AL126" i="19"/>
  <c r="AK72" i="19"/>
  <c r="Q5" i="19"/>
  <c r="AB60" i="14"/>
  <c r="AH60" i="14" s="1"/>
  <c r="J60" i="14" s="1"/>
  <c r="P60" i="14" s="1"/>
  <c r="AB59" i="14"/>
  <c r="AH59" i="14" s="1"/>
  <c r="J59" i="14" s="1"/>
  <c r="P59" i="14" s="1"/>
  <c r="AC58" i="14"/>
  <c r="AH58" i="14" s="1"/>
  <c r="J58" i="14" s="1"/>
  <c r="AC57" i="14"/>
  <c r="AH57" i="14" s="1"/>
  <c r="J57" i="14" s="1"/>
  <c r="L57" i="14" s="1"/>
  <c r="AC61" i="14"/>
  <c r="AH61" i="14" s="1"/>
  <c r="J61" i="14" s="1"/>
  <c r="AC113" i="14"/>
  <c r="AH113" i="14" s="1"/>
  <c r="J113" i="14" s="1"/>
  <c r="L113" i="14" s="1"/>
  <c r="AB126" i="14"/>
  <c r="AH126" i="14" s="1"/>
  <c r="J126" i="14" s="1"/>
  <c r="AC119" i="14"/>
  <c r="AH119" i="14" s="1"/>
  <c r="J119" i="14" s="1"/>
  <c r="L119" i="14" s="1"/>
  <c r="AC118" i="14"/>
  <c r="AH118" i="14" s="1"/>
  <c r="J118" i="14" s="1"/>
  <c r="AB125" i="14"/>
  <c r="AH125" i="14" s="1"/>
  <c r="J125" i="14" s="1"/>
  <c r="AC117" i="14"/>
  <c r="AH117" i="14" s="1"/>
  <c r="J117" i="14" s="1"/>
  <c r="AC124" i="14"/>
  <c r="AH124" i="14" s="1"/>
  <c r="J124" i="14" s="1"/>
  <c r="AC120" i="14"/>
  <c r="AH120" i="14" s="1"/>
  <c r="J120" i="14" s="1"/>
  <c r="AB122" i="14"/>
  <c r="AH122" i="14" s="1"/>
  <c r="J122" i="14" s="1"/>
  <c r="L122" i="14" s="1"/>
  <c r="AB123" i="14"/>
  <c r="AH123" i="14" s="1"/>
  <c r="J123" i="14" s="1"/>
  <c r="AC127" i="14"/>
  <c r="AH127" i="14" s="1"/>
  <c r="J127" i="14" s="1"/>
  <c r="AB116" i="14"/>
  <c r="AH116" i="14" s="1"/>
  <c r="J116" i="14" s="1"/>
  <c r="P116" i="14" s="1"/>
  <c r="AB18" i="14"/>
  <c r="AB121" i="14"/>
  <c r="AH121" i="14" s="1"/>
  <c r="J121" i="14" s="1"/>
  <c r="AC114" i="14"/>
  <c r="AH114" i="14" s="1"/>
  <c r="J114" i="14" s="1"/>
  <c r="AC10" i="14"/>
  <c r="AC115" i="14"/>
  <c r="AH115" i="14" s="1"/>
  <c r="J115" i="14" s="1"/>
  <c r="AB35" i="14"/>
  <c r="AH35" i="14" s="1"/>
  <c r="J35" i="14" s="1"/>
  <c r="AB89" i="14"/>
  <c r="AH89" i="14" s="1"/>
  <c r="J89" i="14" s="1"/>
  <c r="AB36" i="14"/>
  <c r="AH36" i="14" s="1"/>
  <c r="J36" i="14" s="1"/>
  <c r="AB34" i="14"/>
  <c r="AH34" i="14" s="1"/>
  <c r="J34" i="14" s="1"/>
  <c r="AC33" i="14"/>
  <c r="AH33" i="14" s="1"/>
  <c r="J33" i="14" s="1"/>
  <c r="AB88" i="14"/>
  <c r="AH88" i="14" s="1"/>
  <c r="J88" i="14" s="1"/>
  <c r="O88" i="14" s="1"/>
  <c r="AC85" i="14"/>
  <c r="AH85" i="14" s="1"/>
  <c r="J85" i="14" s="1"/>
  <c r="AC86" i="14"/>
  <c r="AH86" i="14" s="1"/>
  <c r="J86" i="14" s="1"/>
  <c r="AH67" i="14"/>
  <c r="J67" i="14" s="1"/>
  <c r="L67" i="14" s="1"/>
  <c r="AC87" i="14"/>
  <c r="AH87" i="14" s="1"/>
  <c r="J87" i="14" s="1"/>
  <c r="AH108" i="14"/>
  <c r="J108" i="14" s="1"/>
  <c r="L108" i="14" s="1"/>
  <c r="AH47" i="14"/>
  <c r="J47" i="14" s="1"/>
  <c r="O47" i="14" s="1"/>
  <c r="AH100" i="14"/>
  <c r="J100" i="14" s="1"/>
  <c r="O100" i="14" s="1"/>
  <c r="AH94" i="14"/>
  <c r="J94" i="14" s="1"/>
  <c r="L94" i="14" s="1"/>
  <c r="AH96" i="14"/>
  <c r="J96" i="14" s="1"/>
  <c r="O96" i="14" s="1"/>
  <c r="AH14" i="14"/>
  <c r="J14" i="14" s="1"/>
  <c r="L14" i="14" s="1"/>
  <c r="AC19" i="14"/>
  <c r="AH28" i="14"/>
  <c r="J28" i="14" s="1"/>
  <c r="P28" i="14" s="1"/>
  <c r="AH29" i="14"/>
  <c r="J29" i="14" s="1"/>
  <c r="P29" i="14" s="1"/>
  <c r="AC17" i="14"/>
  <c r="AC15" i="14"/>
  <c r="AB16" i="14"/>
  <c r="AH44" i="14"/>
  <c r="J44" i="14" s="1"/>
  <c r="AH62" i="14"/>
  <c r="J62" i="14" s="1"/>
  <c r="AH101" i="14"/>
  <c r="J101" i="14" s="1"/>
  <c r="AH63" i="14"/>
  <c r="J63" i="14" s="1"/>
  <c r="AH84" i="14"/>
  <c r="J84" i="14" s="1"/>
  <c r="AH65" i="14"/>
  <c r="J65" i="14" s="1"/>
  <c r="AH73" i="14"/>
  <c r="J73" i="14" s="1"/>
  <c r="O73" i="14" s="1"/>
  <c r="AH112" i="14"/>
  <c r="J112" i="14" s="1"/>
  <c r="P112" i="14" s="1"/>
  <c r="AH76" i="14"/>
  <c r="J76" i="14" s="1"/>
  <c r="AH39" i="14"/>
  <c r="J39" i="14" s="1"/>
  <c r="O39" i="14" s="1"/>
  <c r="AH50" i="14"/>
  <c r="J50" i="14" s="1"/>
  <c r="L50" i="14" s="1"/>
  <c r="AH75" i="14"/>
  <c r="J75" i="14" s="1"/>
  <c r="P75" i="14" s="1"/>
  <c r="AH53" i="14"/>
  <c r="J53" i="14" s="1"/>
  <c r="L53" i="14" s="1"/>
  <c r="AH40" i="14"/>
  <c r="J40" i="14" s="1"/>
  <c r="AH95" i="14"/>
  <c r="J95" i="14" s="1"/>
  <c r="L95" i="14" s="1"/>
  <c r="AH107" i="14"/>
  <c r="J107" i="14" s="1"/>
  <c r="AH45" i="14"/>
  <c r="J45" i="14" s="1"/>
  <c r="AH74" i="14"/>
  <c r="J74" i="14" s="1"/>
  <c r="AH51" i="14"/>
  <c r="J51" i="14" s="1"/>
  <c r="AH41" i="14"/>
  <c r="J41" i="14" s="1"/>
  <c r="P41" i="14" s="1"/>
  <c r="AH27" i="14"/>
  <c r="J27" i="14" s="1"/>
  <c r="AH105" i="14"/>
  <c r="J105" i="14" s="1"/>
  <c r="AH32" i="14"/>
  <c r="J32" i="14" s="1"/>
  <c r="AH37" i="14"/>
  <c r="J37" i="14" s="1"/>
  <c r="AC23" i="14"/>
  <c r="AH64" i="14"/>
  <c r="J64" i="14" s="1"/>
  <c r="AH83" i="14"/>
  <c r="J83" i="14" s="1"/>
  <c r="L83" i="14" s="1"/>
  <c r="AH55" i="14"/>
  <c r="J55" i="14" s="1"/>
  <c r="L55" i="14" s="1"/>
  <c r="AH78" i="14"/>
  <c r="J78" i="14" s="1"/>
  <c r="AH42" i="14"/>
  <c r="J42" i="14" s="1"/>
  <c r="O42" i="14" s="1"/>
  <c r="AH97" i="14"/>
  <c r="J97" i="14" s="1"/>
  <c r="AH80" i="14"/>
  <c r="J80" i="14" s="1"/>
  <c r="P80" i="14" s="1"/>
  <c r="AH103" i="14"/>
  <c r="J103" i="14" s="1"/>
  <c r="AH48" i="14"/>
  <c r="J48" i="14" s="1"/>
  <c r="AH68" i="14"/>
  <c r="J68" i="14" s="1"/>
  <c r="AH110" i="14"/>
  <c r="J110" i="14" s="1"/>
  <c r="AH72" i="14"/>
  <c r="J72" i="14" s="1"/>
  <c r="AH54" i="14"/>
  <c r="J54" i="14" s="1"/>
  <c r="W18" i="14"/>
  <c r="AH91" i="14"/>
  <c r="J91" i="14" s="1"/>
  <c r="AH93" i="14"/>
  <c r="J93" i="14" s="1"/>
  <c r="AH66" i="14"/>
  <c r="J66" i="14" s="1"/>
  <c r="J38" i="14"/>
  <c r="L38" i="14" s="1"/>
  <c r="W12" i="14"/>
  <c r="AH77" i="14"/>
  <c r="J77" i="14" s="1"/>
  <c r="AH82" i="14"/>
  <c r="J82" i="14" s="1"/>
  <c r="AH70" i="14"/>
  <c r="J70" i="14" s="1"/>
  <c r="AH25" i="14"/>
  <c r="J25" i="14" s="1"/>
  <c r="AH106" i="14"/>
  <c r="J106" i="14" s="1"/>
  <c r="AH98" i="14"/>
  <c r="J98" i="14" s="1"/>
  <c r="AH69" i="14"/>
  <c r="J69" i="14" s="1"/>
  <c r="AH90" i="14"/>
  <c r="J90" i="14" s="1"/>
  <c r="AH81" i="14"/>
  <c r="J81" i="14" s="1"/>
  <c r="AH49" i="14"/>
  <c r="J49" i="14" s="1"/>
  <c r="J52" i="14"/>
  <c r="L52" i="14" s="1"/>
  <c r="W21" i="14"/>
  <c r="W10" i="14"/>
  <c r="W13" i="14"/>
  <c r="AH71" i="14"/>
  <c r="J71" i="14" s="1"/>
  <c r="AH104" i="14"/>
  <c r="J104" i="14" s="1"/>
  <c r="AH102" i="14"/>
  <c r="J102" i="14" s="1"/>
  <c r="AH79" i="14"/>
  <c r="J79" i="14" s="1"/>
  <c r="AH43" i="14"/>
  <c r="J43" i="14" s="1"/>
  <c r="AH99" i="14"/>
  <c r="J99" i="14" s="1"/>
  <c r="AH24" i="14"/>
  <c r="J24" i="14" s="1"/>
  <c r="J56" i="14"/>
  <c r="P56" i="14" s="1"/>
  <c r="AH31" i="14"/>
  <c r="J31" i="14" s="1"/>
  <c r="AH92" i="14"/>
  <c r="J92" i="14" s="1"/>
  <c r="AH111" i="14"/>
  <c r="J111" i="14" s="1"/>
  <c r="AH109" i="14"/>
  <c r="J109" i="14" s="1"/>
  <c r="AH30" i="14"/>
  <c r="J30" i="14" s="1"/>
  <c r="AH46" i="14"/>
  <c r="J46" i="14" s="1"/>
  <c r="P46" i="14" s="1"/>
  <c r="AC12" i="14"/>
  <c r="AB11" i="14"/>
  <c r="AC13" i="14"/>
  <c r="AC20" i="14"/>
  <c r="AB23" i="14"/>
  <c r="AB20" i="14"/>
  <c r="AC21" i="14"/>
  <c r="AB15" i="14"/>
  <c r="AB17" i="14"/>
  <c r="AC16" i="14"/>
  <c r="AC18" i="14"/>
  <c r="AB19" i="14"/>
  <c r="AB13" i="14"/>
  <c r="AB12" i="14"/>
  <c r="AC11" i="14"/>
  <c r="AB10" i="14"/>
  <c r="AC9" i="14"/>
  <c r="O21" i="17"/>
  <c r="P21" i="17" s="1"/>
  <c r="Q21" i="17" s="1"/>
  <c r="S21" i="17" s="1"/>
  <c r="K21" i="17"/>
  <c r="P10" i="17"/>
  <c r="Q10" i="17" s="1"/>
  <c r="S10" i="17" s="1"/>
  <c r="K11" i="17"/>
  <c r="O11" i="17"/>
  <c r="N11" i="17"/>
  <c r="O20" i="17"/>
  <c r="N20" i="17"/>
  <c r="P26" i="17"/>
  <c r="Q26" i="17" s="1"/>
  <c r="S26" i="17" s="1"/>
  <c r="K19" i="17"/>
  <c r="P25" i="17"/>
  <c r="Q25" i="17" s="1"/>
  <c r="S25" i="17" s="1"/>
  <c r="AE25" i="17" s="1"/>
  <c r="J25" i="17" s="1"/>
  <c r="P17" i="17"/>
  <c r="Q17" i="17" s="1"/>
  <c r="P24" i="17"/>
  <c r="Q24" i="17" s="1"/>
  <c r="I2" i="17"/>
  <c r="O19" i="17"/>
  <c r="P16" i="17"/>
  <c r="Q16" i="17" s="1"/>
  <c r="N19" i="17"/>
  <c r="P22" i="17"/>
  <c r="Q22" i="17" s="1"/>
  <c r="S22" i="17" s="1"/>
  <c r="N18" i="17"/>
  <c r="K18" i="17"/>
  <c r="O18" i="17"/>
  <c r="P15" i="17"/>
  <c r="Q15" i="17" s="1"/>
  <c r="S15" i="17" s="1"/>
  <c r="AE15" i="17" s="1"/>
  <c r="J15" i="17" s="1"/>
  <c r="P12" i="17"/>
  <c r="Q12" i="17" s="1"/>
  <c r="S12" i="17" s="1"/>
  <c r="AE12" i="17" s="1"/>
  <c r="J12" i="17" s="1"/>
  <c r="P14" i="17"/>
  <c r="Q14" i="17" s="1"/>
  <c r="S14" i="17" s="1"/>
  <c r="AE14" i="17" s="1"/>
  <c r="J14" i="17" s="1"/>
  <c r="P13" i="17"/>
  <c r="Q13" i="17" s="1"/>
  <c r="S13" i="17" s="1"/>
  <c r="AE13" i="17" s="1"/>
  <c r="J13" i="17" s="1"/>
  <c r="AE23" i="17"/>
  <c r="J23" i="17" s="1"/>
  <c r="P9" i="17"/>
  <c r="Q9" i="17" s="1"/>
  <c r="S9" i="17" s="1"/>
  <c r="AE9" i="17" s="1"/>
  <c r="J9" i="17" s="1"/>
  <c r="S28" i="17"/>
  <c r="S27" i="17"/>
  <c r="AE28" i="17"/>
  <c r="J28" i="17" s="1"/>
  <c r="T28" i="17"/>
  <c r="T27" i="17"/>
  <c r="AE27" i="17"/>
  <c r="J27" i="17" s="1"/>
  <c r="Q29" i="17"/>
  <c r="S29" i="17" s="1"/>
  <c r="M5" i="2"/>
  <c r="M4" i="2" s="1"/>
  <c r="Q32" i="2" s="1"/>
  <c r="S45" i="2"/>
  <c r="U39" i="2"/>
  <c r="V39" i="2" s="1"/>
  <c r="P45" i="2"/>
  <c r="O3" i="2"/>
  <c r="AL151" i="20" l="1"/>
  <c r="AK154" i="20"/>
  <c r="O155" i="14"/>
  <c r="P155" i="14"/>
  <c r="L155" i="14"/>
  <c r="L152" i="14"/>
  <c r="O152" i="14"/>
  <c r="P152" i="14"/>
  <c r="Q152" i="14" s="1"/>
  <c r="R152" i="14" s="1"/>
  <c r="T152" i="14" s="1"/>
  <c r="O154" i="14"/>
  <c r="L154" i="14"/>
  <c r="P154" i="14"/>
  <c r="T12" i="20"/>
  <c r="AI12" i="20" s="1"/>
  <c r="K12" i="20" s="1"/>
  <c r="Q3" i="20"/>
  <c r="C70" i="21"/>
  <c r="D70" i="21"/>
  <c r="E70" i="21" s="1"/>
  <c r="C86" i="21"/>
  <c r="D86" i="21"/>
  <c r="E86" i="21" s="1"/>
  <c r="C125" i="21"/>
  <c r="D125" i="21"/>
  <c r="E125" i="21" s="1"/>
  <c r="C19" i="21"/>
  <c r="D19" i="21"/>
  <c r="E19" i="21" s="1"/>
  <c r="C87" i="21"/>
  <c r="D87" i="21"/>
  <c r="E87" i="21" s="1"/>
  <c r="C37" i="21"/>
  <c r="D37" i="21"/>
  <c r="E37" i="21" s="1"/>
  <c r="C16" i="21"/>
  <c r="D16" i="21"/>
  <c r="E16" i="21" s="1"/>
  <c r="C112" i="21"/>
  <c r="D112" i="21"/>
  <c r="E112" i="21" s="1"/>
  <c r="C15" i="21"/>
  <c r="D15" i="21"/>
  <c r="E15" i="21" s="1"/>
  <c r="C23" i="21"/>
  <c r="D23" i="21"/>
  <c r="E23" i="21" s="1"/>
  <c r="C106" i="21"/>
  <c r="D106" i="21"/>
  <c r="E106" i="21" s="1"/>
  <c r="C78" i="21"/>
  <c r="D78" i="21"/>
  <c r="E78" i="21" s="1"/>
  <c r="C5" i="21"/>
  <c r="D5" i="21"/>
  <c r="E5" i="21" s="1"/>
  <c r="C50" i="21"/>
  <c r="D50" i="21"/>
  <c r="E50" i="21" s="1"/>
  <c r="C96" i="21"/>
  <c r="D96" i="21"/>
  <c r="E96" i="21" s="1"/>
  <c r="C129" i="21"/>
  <c r="D129" i="21"/>
  <c r="E129" i="21" s="1"/>
  <c r="C130" i="21"/>
  <c r="D130" i="21"/>
  <c r="E130" i="21" s="1"/>
  <c r="L153" i="14"/>
  <c r="P153" i="14"/>
  <c r="O153" i="14"/>
  <c r="AK144" i="20"/>
  <c r="O144" i="14"/>
  <c r="Q144" i="14" s="1"/>
  <c r="R144" i="14" s="1"/>
  <c r="T144" i="14" s="1"/>
  <c r="U150" i="20"/>
  <c r="B146" i="21" s="1"/>
  <c r="L144" i="14"/>
  <c r="AL130" i="20"/>
  <c r="P147" i="14"/>
  <c r="L146" i="14"/>
  <c r="O146" i="14"/>
  <c r="Q146" i="14" s="1"/>
  <c r="R146" i="14" s="1"/>
  <c r="T146" i="14" s="1"/>
  <c r="AI146" i="14" s="1"/>
  <c r="K146" i="14" s="1"/>
  <c r="AH148" i="14"/>
  <c r="J148" i="14" s="1"/>
  <c r="P148" i="14" s="1"/>
  <c r="O150" i="14"/>
  <c r="L150" i="14"/>
  <c r="P150" i="14"/>
  <c r="L149" i="14"/>
  <c r="P149" i="14"/>
  <c r="Q149" i="14" s="1"/>
  <c r="R149" i="14" s="1"/>
  <c r="T149" i="14" s="1"/>
  <c r="AI149" i="14" s="1"/>
  <c r="K149" i="14" s="1"/>
  <c r="L145" i="14"/>
  <c r="O147" i="14"/>
  <c r="P145" i="14"/>
  <c r="Q145" i="14" s="1"/>
  <c r="R145" i="14" s="1"/>
  <c r="T145" i="14" s="1"/>
  <c r="AJ149" i="20"/>
  <c r="AK149" i="20" s="1"/>
  <c r="AJ150" i="20"/>
  <c r="AK150" i="20" s="1"/>
  <c r="AL142" i="20"/>
  <c r="C144" i="21"/>
  <c r="O151" i="14"/>
  <c r="L151" i="14"/>
  <c r="P151" i="14"/>
  <c r="AL147" i="20"/>
  <c r="AK147" i="20"/>
  <c r="AJ148" i="20"/>
  <c r="AL146" i="20"/>
  <c r="AK146" i="20"/>
  <c r="C145" i="21"/>
  <c r="AL123" i="20"/>
  <c r="F27" i="21"/>
  <c r="F22" i="21"/>
  <c r="F79" i="21"/>
  <c r="AK141" i="20"/>
  <c r="F114" i="21"/>
  <c r="F60" i="21"/>
  <c r="F76" i="21"/>
  <c r="F67" i="21"/>
  <c r="AK138" i="20"/>
  <c r="F111" i="21"/>
  <c r="F47" i="21"/>
  <c r="F51" i="21"/>
  <c r="F14" i="21"/>
  <c r="F121" i="21"/>
  <c r="F88" i="21"/>
  <c r="F61" i="21"/>
  <c r="F38" i="21"/>
  <c r="C58" i="21"/>
  <c r="F83" i="21"/>
  <c r="C62" i="21"/>
  <c r="F13" i="21"/>
  <c r="C39" i="21"/>
  <c r="C66" i="21"/>
  <c r="F92" i="21"/>
  <c r="AK135" i="20"/>
  <c r="L139" i="14"/>
  <c r="P142" i="14"/>
  <c r="Q142" i="14" s="1"/>
  <c r="R142" i="14" s="1"/>
  <c r="T142" i="14" s="1"/>
  <c r="U142" i="14" s="1"/>
  <c r="B138" i="18" s="1"/>
  <c r="L142" i="14"/>
  <c r="L129" i="14"/>
  <c r="AL128" i="20"/>
  <c r="O129" i="14"/>
  <c r="Q129" i="14" s="1"/>
  <c r="R129" i="14" s="1"/>
  <c r="T129" i="14" s="1"/>
  <c r="AI129" i="14" s="1"/>
  <c r="K129" i="14" s="1"/>
  <c r="L138" i="14"/>
  <c r="L136" i="14"/>
  <c r="O139" i="14"/>
  <c r="Q139" i="14" s="1"/>
  <c r="R139" i="14" s="1"/>
  <c r="T139" i="14" s="1"/>
  <c r="AI139" i="14" s="1"/>
  <c r="O138" i="14"/>
  <c r="Q138" i="14" s="1"/>
  <c r="R138" i="14" s="1"/>
  <c r="T138" i="14" s="1"/>
  <c r="AK140" i="20"/>
  <c r="P140" i="14"/>
  <c r="L140" i="14"/>
  <c r="O140" i="14"/>
  <c r="O130" i="14"/>
  <c r="L134" i="14"/>
  <c r="P130" i="14"/>
  <c r="AK131" i="20"/>
  <c r="O134" i="14"/>
  <c r="Q134" i="14" s="1"/>
  <c r="R134" i="14" s="1"/>
  <c r="T134" i="14" s="1"/>
  <c r="P136" i="14"/>
  <c r="Q136" i="14" s="1"/>
  <c r="R136" i="14" s="1"/>
  <c r="T136" i="14" s="1"/>
  <c r="O133" i="14"/>
  <c r="L133" i="14"/>
  <c r="P133" i="14"/>
  <c r="P132" i="14"/>
  <c r="O132" i="14"/>
  <c r="L132" i="14"/>
  <c r="P141" i="14"/>
  <c r="O141" i="14"/>
  <c r="L141" i="14"/>
  <c r="O137" i="14"/>
  <c r="L137" i="14"/>
  <c r="P137" i="14"/>
  <c r="AJ133" i="20"/>
  <c r="P143" i="14"/>
  <c r="O143" i="14"/>
  <c r="L143" i="14"/>
  <c r="P135" i="14"/>
  <c r="O135" i="14"/>
  <c r="L135" i="14"/>
  <c r="AJ129" i="20"/>
  <c r="AK137" i="20"/>
  <c r="AL137" i="20"/>
  <c r="AL136" i="20"/>
  <c r="AK136" i="20"/>
  <c r="AL139" i="20"/>
  <c r="AK139" i="20"/>
  <c r="AJ134" i="20"/>
  <c r="O128" i="14"/>
  <c r="P128" i="14"/>
  <c r="L128" i="14"/>
  <c r="O131" i="14"/>
  <c r="P131" i="14"/>
  <c r="AK52" i="20"/>
  <c r="AK101" i="20"/>
  <c r="AK21" i="20"/>
  <c r="AK47" i="20"/>
  <c r="AL75" i="20"/>
  <c r="U50" i="20"/>
  <c r="B46" i="21" s="1"/>
  <c r="D46" i="21" s="1"/>
  <c r="E46" i="21" s="1"/>
  <c r="U58" i="20"/>
  <c r="B54" i="21" s="1"/>
  <c r="AK126" i="20"/>
  <c r="AK36" i="20"/>
  <c r="AK38" i="20"/>
  <c r="AJ88" i="20"/>
  <c r="AL88" i="20" s="1"/>
  <c r="L70" i="19"/>
  <c r="AL106" i="20"/>
  <c r="AK22" i="20"/>
  <c r="U78" i="20"/>
  <c r="B74" i="21" s="1"/>
  <c r="AL86" i="20"/>
  <c r="AK25" i="20"/>
  <c r="AL28" i="20"/>
  <c r="AL112" i="20"/>
  <c r="L84" i="19"/>
  <c r="AL79" i="20"/>
  <c r="AK67" i="20"/>
  <c r="L105" i="19"/>
  <c r="AK103" i="20"/>
  <c r="AK89" i="20"/>
  <c r="L12" i="19"/>
  <c r="O5" i="19" s="1"/>
  <c r="P105" i="19"/>
  <c r="Q105" i="19" s="1"/>
  <c r="R105" i="19" s="1"/>
  <c r="T105" i="19" s="1"/>
  <c r="AJ105" i="19" s="1"/>
  <c r="K105" i="19" s="1"/>
  <c r="O68" i="19"/>
  <c r="Q68" i="19" s="1"/>
  <c r="R68" i="19" s="1"/>
  <c r="T68" i="19" s="1"/>
  <c r="AJ68" i="19" s="1"/>
  <c r="K68" i="19" s="1"/>
  <c r="L26" i="19"/>
  <c r="P46" i="19"/>
  <c r="Q46" i="19" s="1"/>
  <c r="R46" i="19" s="1"/>
  <c r="T46" i="19" s="1"/>
  <c r="O26" i="19"/>
  <c r="Q26" i="19" s="1"/>
  <c r="R26" i="19" s="1"/>
  <c r="T26" i="19" s="1"/>
  <c r="L10" i="19"/>
  <c r="L50" i="19"/>
  <c r="AL60" i="20"/>
  <c r="O69" i="19"/>
  <c r="Q69" i="19" s="1"/>
  <c r="R69" i="19" s="1"/>
  <c r="T69" i="19" s="1"/>
  <c r="P78" i="19"/>
  <c r="AK117" i="20"/>
  <c r="P94" i="19"/>
  <c r="Q94" i="19" s="1"/>
  <c r="R94" i="19" s="1"/>
  <c r="T94" i="19" s="1"/>
  <c r="AJ94" i="19" s="1"/>
  <c r="K94" i="19" s="1"/>
  <c r="AI20" i="20"/>
  <c r="K20" i="20" s="1"/>
  <c r="L36" i="19"/>
  <c r="AK32" i="20"/>
  <c r="L62" i="19"/>
  <c r="AL11" i="20"/>
  <c r="O119" i="19"/>
  <c r="O70" i="19"/>
  <c r="Q70" i="19" s="1"/>
  <c r="R70" i="19" s="1"/>
  <c r="T70" i="19" s="1"/>
  <c r="L94" i="19"/>
  <c r="O87" i="19"/>
  <c r="P79" i="19"/>
  <c r="Q79" i="19" s="1"/>
  <c r="R79" i="19" s="1"/>
  <c r="T79" i="19" s="1"/>
  <c r="O62" i="19"/>
  <c r="Q62" i="19" s="1"/>
  <c r="R62" i="19" s="1"/>
  <c r="T62" i="19" s="1"/>
  <c r="L77" i="19"/>
  <c r="L79" i="19"/>
  <c r="AK93" i="20"/>
  <c r="O77" i="19"/>
  <c r="Q77" i="19" s="1"/>
  <c r="R77" i="19" s="1"/>
  <c r="T77" i="19" s="1"/>
  <c r="U77" i="19" s="1"/>
  <c r="O78" i="19"/>
  <c r="AK76" i="20"/>
  <c r="L69" i="19"/>
  <c r="P47" i="19"/>
  <c r="Q47" i="19" s="1"/>
  <c r="R47" i="19" s="1"/>
  <c r="T47" i="19" s="1"/>
  <c r="AK85" i="20"/>
  <c r="P22" i="19"/>
  <c r="Q22" i="19" s="1"/>
  <c r="R22" i="19" s="1"/>
  <c r="T22" i="19" s="1"/>
  <c r="P87" i="19"/>
  <c r="L47" i="19"/>
  <c r="L22" i="19"/>
  <c r="O123" i="19"/>
  <c r="P61" i="19"/>
  <c r="AL97" i="20"/>
  <c r="P59" i="19"/>
  <c r="Q59" i="19" s="1"/>
  <c r="R59" i="19" s="1"/>
  <c r="T59" i="19" s="1"/>
  <c r="O20" i="19"/>
  <c r="Q20" i="19" s="1"/>
  <c r="R20" i="19" s="1"/>
  <c r="T20" i="19" s="1"/>
  <c r="AK111" i="20"/>
  <c r="O113" i="19"/>
  <c r="L39" i="19"/>
  <c r="O61" i="19"/>
  <c r="L46" i="19"/>
  <c r="O12" i="19"/>
  <c r="Q12" i="19" s="1"/>
  <c r="L59" i="19"/>
  <c r="L96" i="19"/>
  <c r="O18" i="19"/>
  <c r="Q18" i="19" s="1"/>
  <c r="R18" i="19" s="1"/>
  <c r="T18" i="19" s="1"/>
  <c r="L122" i="19"/>
  <c r="AK70" i="20"/>
  <c r="L37" i="19"/>
  <c r="O96" i="19"/>
  <c r="Q96" i="19" s="1"/>
  <c r="R96" i="19" s="1"/>
  <c r="T96" i="19" s="1"/>
  <c r="AJ96" i="19" s="1"/>
  <c r="K96" i="19" s="1"/>
  <c r="O10" i="19"/>
  <c r="Q10" i="19" s="1"/>
  <c r="R10" i="19" s="1"/>
  <c r="T10" i="19" s="1"/>
  <c r="O84" i="19"/>
  <c r="Q84" i="19" s="1"/>
  <c r="R84" i="19" s="1"/>
  <c r="T84" i="19" s="1"/>
  <c r="AJ84" i="19" s="1"/>
  <c r="K84" i="19" s="1"/>
  <c r="AJ78" i="20"/>
  <c r="AL78" i="20" s="1"/>
  <c r="P113" i="19"/>
  <c r="P118" i="19"/>
  <c r="Q118" i="19" s="1"/>
  <c r="R118" i="19" s="1"/>
  <c r="T118" i="19" s="1"/>
  <c r="L53" i="19"/>
  <c r="L52" i="19"/>
  <c r="L20" i="19"/>
  <c r="P30" i="19"/>
  <c r="Q30" i="19" s="1"/>
  <c r="R30" i="19" s="1"/>
  <c r="T30" i="19" s="1"/>
  <c r="O124" i="19"/>
  <c r="Q124" i="19" s="1"/>
  <c r="R124" i="19" s="1"/>
  <c r="T124" i="19" s="1"/>
  <c r="L118" i="19"/>
  <c r="F75" i="21"/>
  <c r="L30" i="19"/>
  <c r="L68" i="19"/>
  <c r="P53" i="19"/>
  <c r="Q53" i="19" s="1"/>
  <c r="R53" i="19" s="1"/>
  <c r="T53" i="19" s="1"/>
  <c r="AJ53" i="19" s="1"/>
  <c r="K53" i="19" s="1"/>
  <c r="AL63" i="20"/>
  <c r="P101" i="19"/>
  <c r="Q101" i="19" s="1"/>
  <c r="R101" i="19" s="1"/>
  <c r="T101" i="19" s="1"/>
  <c r="P89" i="19"/>
  <c r="AK48" i="20"/>
  <c r="AK29" i="20"/>
  <c r="L101" i="19"/>
  <c r="AJ39" i="20"/>
  <c r="L19" i="19"/>
  <c r="P19" i="19"/>
  <c r="P23" i="19"/>
  <c r="O23" i="19"/>
  <c r="L23" i="19"/>
  <c r="P60" i="19"/>
  <c r="L60" i="19"/>
  <c r="O60" i="19"/>
  <c r="AK109" i="20"/>
  <c r="O93" i="19"/>
  <c r="Q93" i="19" s="1"/>
  <c r="R93" i="19" s="1"/>
  <c r="T93" i="19" s="1"/>
  <c r="L90" i="19"/>
  <c r="F99" i="21"/>
  <c r="O39" i="19"/>
  <c r="Q39" i="19" s="1"/>
  <c r="R39" i="19" s="1"/>
  <c r="T39" i="19" s="1"/>
  <c r="U39" i="19" s="1"/>
  <c r="F31" i="21"/>
  <c r="O50" i="19"/>
  <c r="Q50" i="19" s="1"/>
  <c r="R50" i="19" s="1"/>
  <c r="T50" i="19" s="1"/>
  <c r="AJ50" i="19" s="1"/>
  <c r="K50" i="19" s="1"/>
  <c r="O122" i="19"/>
  <c r="Q122" i="19" s="1"/>
  <c r="R122" i="19" s="1"/>
  <c r="T122" i="19" s="1"/>
  <c r="U122" i="19" s="1"/>
  <c r="U46" i="20"/>
  <c r="B42" i="21" s="1"/>
  <c r="O89" i="19"/>
  <c r="P119" i="19"/>
  <c r="O37" i="19"/>
  <c r="Q37" i="19" s="1"/>
  <c r="R37" i="19" s="1"/>
  <c r="T37" i="19" s="1"/>
  <c r="AK56" i="20"/>
  <c r="O90" i="19"/>
  <c r="Q90" i="19" s="1"/>
  <c r="R90" i="19" s="1"/>
  <c r="T90" i="19" s="1"/>
  <c r="L81" i="19"/>
  <c r="L124" i="19"/>
  <c r="P121" i="19"/>
  <c r="L76" i="19"/>
  <c r="P76" i="19"/>
  <c r="O76" i="19"/>
  <c r="L91" i="19"/>
  <c r="P91" i="19"/>
  <c r="O91" i="19"/>
  <c r="L114" i="19"/>
  <c r="P114" i="19"/>
  <c r="L33" i="19"/>
  <c r="P33" i="19"/>
  <c r="F28" i="21"/>
  <c r="AK57" i="20"/>
  <c r="O36" i="19"/>
  <c r="Q36" i="19" s="1"/>
  <c r="R36" i="19" s="1"/>
  <c r="T36" i="19" s="1"/>
  <c r="AL77" i="20"/>
  <c r="O52" i="19"/>
  <c r="Q52" i="19" s="1"/>
  <c r="R52" i="19" s="1"/>
  <c r="T52" i="19" s="1"/>
  <c r="P58" i="19"/>
  <c r="Q58" i="19" s="1"/>
  <c r="R58" i="19" s="1"/>
  <c r="T58" i="19" s="1"/>
  <c r="U58" i="19" s="1"/>
  <c r="P123" i="19"/>
  <c r="O19" i="19"/>
  <c r="F82" i="21"/>
  <c r="AL121" i="20"/>
  <c r="O45" i="19"/>
  <c r="Q45" i="19" s="1"/>
  <c r="R45" i="19" s="1"/>
  <c r="T45" i="19" s="1"/>
  <c r="AL10" i="20"/>
  <c r="L18" i="19"/>
  <c r="L58" i="19"/>
  <c r="F11" i="21"/>
  <c r="F113" i="21"/>
  <c r="Q107" i="19"/>
  <c r="R107" i="19" s="1"/>
  <c r="T107" i="19" s="1"/>
  <c r="AJ107" i="19" s="1"/>
  <c r="AK108" i="20"/>
  <c r="F103" i="21"/>
  <c r="AL107" i="20"/>
  <c r="AK107" i="20"/>
  <c r="O117" i="19"/>
  <c r="P117" i="19"/>
  <c r="O86" i="19"/>
  <c r="P86" i="19"/>
  <c r="L74" i="19"/>
  <c r="O74" i="19"/>
  <c r="P74" i="19"/>
  <c r="L45" i="19"/>
  <c r="O114" i="19"/>
  <c r="P81" i="19"/>
  <c r="Q81" i="19" s="1"/>
  <c r="R81" i="19" s="1"/>
  <c r="T81" i="19" s="1"/>
  <c r="U81" i="19" s="1"/>
  <c r="O83" i="19"/>
  <c r="Q83" i="19" s="1"/>
  <c r="R83" i="19" s="1"/>
  <c r="T83" i="19" s="1"/>
  <c r="AJ83" i="19" s="1"/>
  <c r="K83" i="19" s="1"/>
  <c r="F123" i="21"/>
  <c r="P34" i="19"/>
  <c r="F41" i="21"/>
  <c r="L83" i="19"/>
  <c r="F90" i="21"/>
  <c r="AJ41" i="20"/>
  <c r="AK41" i="20" s="1"/>
  <c r="O34" i="19"/>
  <c r="O121" i="19"/>
  <c r="AK105" i="20"/>
  <c r="AL105" i="20"/>
  <c r="F25" i="21"/>
  <c r="F95" i="21"/>
  <c r="F6" i="21"/>
  <c r="F107" i="21"/>
  <c r="F102" i="21"/>
  <c r="Q109" i="19"/>
  <c r="R109" i="19" s="1"/>
  <c r="T109" i="19" s="1"/>
  <c r="U109" i="19" s="1"/>
  <c r="F7" i="21"/>
  <c r="F65" i="21"/>
  <c r="P56" i="19"/>
  <c r="L56" i="19"/>
  <c r="O56" i="19"/>
  <c r="O17" i="19"/>
  <c r="P17" i="19"/>
  <c r="L17" i="19"/>
  <c r="L41" i="19"/>
  <c r="O41" i="19"/>
  <c r="P41" i="19"/>
  <c r="O44" i="19"/>
  <c r="L44" i="19"/>
  <c r="P44" i="19"/>
  <c r="O51" i="19"/>
  <c r="P51" i="19"/>
  <c r="L51" i="19"/>
  <c r="AK98" i="20"/>
  <c r="AL98" i="20"/>
  <c r="AJ58" i="20"/>
  <c r="AL58" i="20" s="1"/>
  <c r="L93" i="19"/>
  <c r="F64" i="21"/>
  <c r="F110" i="21"/>
  <c r="AJ90" i="20"/>
  <c r="AK90" i="20" s="1"/>
  <c r="F53" i="21"/>
  <c r="AL72" i="20"/>
  <c r="L117" i="19"/>
  <c r="P67" i="19"/>
  <c r="L86" i="19"/>
  <c r="F45" i="21"/>
  <c r="AJ9" i="20"/>
  <c r="AL9" i="20" s="1"/>
  <c r="F115" i="21"/>
  <c r="AK45" i="20"/>
  <c r="F52" i="21"/>
  <c r="AI29" i="19"/>
  <c r="J29" i="19" s="1"/>
  <c r="L29" i="19" s="1"/>
  <c r="O33" i="19"/>
  <c r="O67" i="19"/>
  <c r="AK69" i="20"/>
  <c r="AL69" i="20"/>
  <c r="F104" i="21"/>
  <c r="F117" i="21"/>
  <c r="L31" i="19"/>
  <c r="O31" i="19"/>
  <c r="P31" i="19"/>
  <c r="O112" i="19"/>
  <c r="L112" i="19"/>
  <c r="P112" i="19"/>
  <c r="O64" i="19"/>
  <c r="L64" i="19"/>
  <c r="P64" i="19"/>
  <c r="O71" i="19"/>
  <c r="L71" i="19"/>
  <c r="P71" i="19"/>
  <c r="L115" i="19"/>
  <c r="P115" i="19"/>
  <c r="O115" i="19"/>
  <c r="P25" i="19"/>
  <c r="O25" i="19"/>
  <c r="L25" i="19"/>
  <c r="O103" i="19"/>
  <c r="L103" i="19"/>
  <c r="P103" i="19"/>
  <c r="L15" i="19"/>
  <c r="O15" i="19"/>
  <c r="P15" i="19"/>
  <c r="P116" i="19"/>
  <c r="O116" i="19"/>
  <c r="L116" i="19"/>
  <c r="L16" i="19"/>
  <c r="P16" i="19"/>
  <c r="O16" i="19"/>
  <c r="P120" i="19"/>
  <c r="O120" i="19"/>
  <c r="L120" i="19"/>
  <c r="L85" i="19"/>
  <c r="O85" i="19"/>
  <c r="P85" i="19"/>
  <c r="L21" i="19"/>
  <c r="P21" i="19"/>
  <c r="O21" i="19"/>
  <c r="AJ50" i="20"/>
  <c r="O35" i="19"/>
  <c r="P35" i="19"/>
  <c r="L35" i="19"/>
  <c r="AJ23" i="20"/>
  <c r="L43" i="19"/>
  <c r="O43" i="19"/>
  <c r="P43" i="19"/>
  <c r="F108" i="21"/>
  <c r="F81" i="21"/>
  <c r="F26" i="21"/>
  <c r="P128" i="19"/>
  <c r="O128" i="19"/>
  <c r="L128" i="19"/>
  <c r="F73" i="21"/>
  <c r="AK81" i="20"/>
  <c r="AL81" i="20"/>
  <c r="AJ110" i="20"/>
  <c r="F20" i="21"/>
  <c r="AJ46" i="20"/>
  <c r="F9" i="21"/>
  <c r="F29" i="21"/>
  <c r="F89" i="21"/>
  <c r="P111" i="19"/>
  <c r="L111" i="19"/>
  <c r="O111" i="19"/>
  <c r="Q110" i="19"/>
  <c r="R110" i="19" s="1"/>
  <c r="T110" i="19" s="1"/>
  <c r="F68" i="21"/>
  <c r="O38" i="19"/>
  <c r="L38" i="19"/>
  <c r="P38" i="19"/>
  <c r="AK13" i="20"/>
  <c r="AL13" i="20"/>
  <c r="AL59" i="20"/>
  <c r="AK59" i="20"/>
  <c r="AL15" i="20"/>
  <c r="AK15" i="20"/>
  <c r="P99" i="19"/>
  <c r="O99" i="19"/>
  <c r="L99" i="19"/>
  <c r="P11" i="19"/>
  <c r="O11" i="19"/>
  <c r="L11" i="19"/>
  <c r="P82" i="19"/>
  <c r="L82" i="19"/>
  <c r="O82" i="19"/>
  <c r="AK33" i="20"/>
  <c r="AL33" i="20"/>
  <c r="AL30" i="20"/>
  <c r="AK30" i="20"/>
  <c r="L24" i="19"/>
  <c r="O24" i="19"/>
  <c r="P24" i="19"/>
  <c r="AL35" i="20"/>
  <c r="AK35" i="20"/>
  <c r="F72" i="21"/>
  <c r="AK43" i="20"/>
  <c r="AL43" i="20"/>
  <c r="P100" i="19"/>
  <c r="L100" i="19"/>
  <c r="O100" i="19"/>
  <c r="O102" i="19"/>
  <c r="L102" i="19"/>
  <c r="P102" i="19"/>
  <c r="F93" i="21"/>
  <c r="P65" i="19"/>
  <c r="L65" i="19"/>
  <c r="O65" i="19"/>
  <c r="F105" i="21"/>
  <c r="AL119" i="20"/>
  <c r="AK119" i="20"/>
  <c r="AJ27" i="20"/>
  <c r="AJ54" i="20"/>
  <c r="AL99" i="20"/>
  <c r="AK99" i="20"/>
  <c r="F40" i="21"/>
  <c r="AK114" i="20"/>
  <c r="AL114" i="20"/>
  <c r="P80" i="19"/>
  <c r="L80" i="19"/>
  <c r="O80" i="19"/>
  <c r="L106" i="19"/>
  <c r="P106" i="19"/>
  <c r="O106" i="19"/>
  <c r="F55" i="21"/>
  <c r="P55" i="19"/>
  <c r="L55" i="19"/>
  <c r="O55" i="19"/>
  <c r="O48" i="19"/>
  <c r="L48" i="19"/>
  <c r="P48" i="19"/>
  <c r="AL61" i="20"/>
  <c r="AK61" i="20"/>
  <c r="F44" i="21"/>
  <c r="F109" i="21"/>
  <c r="AJ82" i="20"/>
  <c r="AJ74" i="20"/>
  <c r="AL113" i="20"/>
  <c r="AK113" i="20"/>
  <c r="AK94" i="20"/>
  <c r="AL94" i="20"/>
  <c r="O27" i="19"/>
  <c r="L27" i="19"/>
  <c r="P27" i="19"/>
  <c r="F21" i="21"/>
  <c r="P28" i="19"/>
  <c r="O28" i="19"/>
  <c r="L28" i="19"/>
  <c r="AJ19" i="20"/>
  <c r="O9" i="19"/>
  <c r="L9" i="19"/>
  <c r="P9" i="19"/>
  <c r="F57" i="21"/>
  <c r="L98" i="19"/>
  <c r="O98" i="19"/>
  <c r="P98" i="19"/>
  <c r="F116" i="21"/>
  <c r="AL122" i="20"/>
  <c r="AK122" i="20"/>
  <c r="AL66" i="20"/>
  <c r="AK66" i="20"/>
  <c r="AK62" i="20"/>
  <c r="AL62" i="20"/>
  <c r="AL37" i="20"/>
  <c r="AK37" i="20"/>
  <c r="P97" i="19"/>
  <c r="L97" i="19"/>
  <c r="O97" i="19"/>
  <c r="Q108" i="19"/>
  <c r="R108" i="19" s="1"/>
  <c r="T108" i="19" s="1"/>
  <c r="AL24" i="20"/>
  <c r="AK24" i="20"/>
  <c r="P75" i="19"/>
  <c r="O75" i="19"/>
  <c r="L75" i="19"/>
  <c r="F36" i="21"/>
  <c r="AJ91" i="20"/>
  <c r="AJ100" i="20"/>
  <c r="P42" i="19"/>
  <c r="L42" i="19"/>
  <c r="O42" i="19"/>
  <c r="P95" i="19"/>
  <c r="O95" i="19"/>
  <c r="L95" i="19"/>
  <c r="P66" i="19"/>
  <c r="L66" i="19"/>
  <c r="O66" i="19"/>
  <c r="AL49" i="20"/>
  <c r="AK49" i="20"/>
  <c r="F59" i="21"/>
  <c r="F35" i="21"/>
  <c r="F77" i="21"/>
  <c r="AK127" i="20"/>
  <c r="AL127" i="20"/>
  <c r="AK73" i="20"/>
  <c r="AL73" i="20"/>
  <c r="F98" i="21"/>
  <c r="L57" i="19"/>
  <c r="P57" i="19"/>
  <c r="O57" i="19"/>
  <c r="O63" i="19"/>
  <c r="P63" i="19"/>
  <c r="L63" i="19"/>
  <c r="O92" i="19"/>
  <c r="P92" i="19"/>
  <c r="L92" i="19"/>
  <c r="O40" i="19"/>
  <c r="P40" i="19"/>
  <c r="L40" i="19"/>
  <c r="AL120" i="20"/>
  <c r="AK120" i="20"/>
  <c r="F69" i="21"/>
  <c r="O32" i="19"/>
  <c r="L32" i="19"/>
  <c r="P32" i="19"/>
  <c r="P13" i="19"/>
  <c r="O13" i="19"/>
  <c r="L13" i="19"/>
  <c r="K116" i="20"/>
  <c r="AJ116" i="20"/>
  <c r="P49" i="19"/>
  <c r="L49" i="19"/>
  <c r="O49" i="19"/>
  <c r="F118" i="21"/>
  <c r="F33" i="21"/>
  <c r="U84" i="20"/>
  <c r="B80" i="21" s="1"/>
  <c r="AI84" i="20"/>
  <c r="K84" i="20" s="1"/>
  <c r="F56" i="21"/>
  <c r="P14" i="19"/>
  <c r="L14" i="19"/>
  <c r="O14" i="19"/>
  <c r="T14" i="20"/>
  <c r="P88" i="19"/>
  <c r="O88" i="19"/>
  <c r="L88" i="19"/>
  <c r="L54" i="19"/>
  <c r="O54" i="19"/>
  <c r="P54" i="19"/>
  <c r="AK44" i="20"/>
  <c r="AL44" i="20"/>
  <c r="AK40" i="20"/>
  <c r="AL40" i="20"/>
  <c r="P73" i="19"/>
  <c r="L73" i="19"/>
  <c r="O73" i="19"/>
  <c r="AI16" i="20"/>
  <c r="K16" i="20" s="1"/>
  <c r="U16" i="20"/>
  <c r="B12" i="21" s="1"/>
  <c r="AK102" i="20"/>
  <c r="AL102" i="20"/>
  <c r="L125" i="19"/>
  <c r="O125" i="19"/>
  <c r="P125" i="19"/>
  <c r="L104" i="19"/>
  <c r="P104" i="19"/>
  <c r="O104" i="19"/>
  <c r="AK68" i="20"/>
  <c r="AL68" i="20"/>
  <c r="F84" i="21"/>
  <c r="L59" i="14"/>
  <c r="O60" i="14"/>
  <c r="Q60" i="14" s="1"/>
  <c r="R60" i="14" s="1"/>
  <c r="T60" i="14" s="1"/>
  <c r="U60" i="14" s="1"/>
  <c r="B56" i="18" s="1"/>
  <c r="L60" i="14"/>
  <c r="AM72" i="19"/>
  <c r="AL72" i="19"/>
  <c r="O59" i="14"/>
  <c r="Q59" i="14" s="1"/>
  <c r="R59" i="14" s="1"/>
  <c r="T59" i="14" s="1"/>
  <c r="P57" i="14"/>
  <c r="O57" i="14"/>
  <c r="L58" i="14"/>
  <c r="O58" i="14"/>
  <c r="P58" i="14"/>
  <c r="L64" i="14"/>
  <c r="P64" i="14"/>
  <c r="O64" i="14"/>
  <c r="P63" i="14"/>
  <c r="O63" i="14"/>
  <c r="P62" i="14"/>
  <c r="O62" i="14"/>
  <c r="O61" i="14"/>
  <c r="P61" i="14"/>
  <c r="O113" i="14"/>
  <c r="P113" i="14"/>
  <c r="L116" i="14"/>
  <c r="O116" i="14"/>
  <c r="Q116" i="14" s="1"/>
  <c r="R116" i="14" s="1"/>
  <c r="T116" i="14" s="1"/>
  <c r="L115" i="14"/>
  <c r="P115" i="14"/>
  <c r="O115" i="14"/>
  <c r="P114" i="14"/>
  <c r="L114" i="14"/>
  <c r="O114" i="14"/>
  <c r="O117" i="14"/>
  <c r="P117" i="14"/>
  <c r="P33" i="14"/>
  <c r="L33" i="14"/>
  <c r="O33" i="14"/>
  <c r="O36" i="14"/>
  <c r="P36" i="14"/>
  <c r="L36" i="14"/>
  <c r="P34" i="14"/>
  <c r="L34" i="14"/>
  <c r="O34" i="14"/>
  <c r="L35" i="14"/>
  <c r="O35" i="14"/>
  <c r="P35" i="14"/>
  <c r="P88" i="14"/>
  <c r="Q88" i="14" s="1"/>
  <c r="R88" i="14" s="1"/>
  <c r="T88" i="14" s="1"/>
  <c r="L88" i="14"/>
  <c r="O87" i="14"/>
  <c r="L87" i="14"/>
  <c r="P87" i="14"/>
  <c r="P86" i="14"/>
  <c r="O86" i="14"/>
  <c r="L86" i="14"/>
  <c r="O85" i="14"/>
  <c r="P85" i="14"/>
  <c r="L85" i="14"/>
  <c r="O94" i="14"/>
  <c r="P94" i="14"/>
  <c r="P67" i="14"/>
  <c r="AH19" i="14"/>
  <c r="J19" i="14" s="1"/>
  <c r="O19" i="14" s="1"/>
  <c r="AH15" i="14"/>
  <c r="J15" i="14" s="1"/>
  <c r="L15" i="14" s="1"/>
  <c r="L96" i="14"/>
  <c r="P96" i="14"/>
  <c r="Q96" i="14" s="1"/>
  <c r="R96" i="14" s="1"/>
  <c r="T96" i="14" s="1"/>
  <c r="O38" i="14"/>
  <c r="P44" i="14"/>
  <c r="L44" i="14"/>
  <c r="L89" i="14"/>
  <c r="P89" i="14"/>
  <c r="AH9" i="14"/>
  <c r="J9" i="14" s="1"/>
  <c r="AH20" i="14"/>
  <c r="J20" i="14" s="1"/>
  <c r="L20" i="14" s="1"/>
  <c r="O55" i="14"/>
  <c r="O122" i="14"/>
  <c r="O89" i="14"/>
  <c r="P65" i="14"/>
  <c r="L65" i="14"/>
  <c r="O76" i="14"/>
  <c r="P76" i="14"/>
  <c r="L61" i="14"/>
  <c r="O108" i="14"/>
  <c r="O97" i="14"/>
  <c r="L97" i="14"/>
  <c r="P97" i="14"/>
  <c r="P54" i="14"/>
  <c r="L54" i="14"/>
  <c r="L48" i="14"/>
  <c r="P48" i="14"/>
  <c r="O48" i="14"/>
  <c r="O32" i="14"/>
  <c r="L32" i="14"/>
  <c r="O107" i="14"/>
  <c r="P107" i="14"/>
  <c r="L107" i="14"/>
  <c r="L101" i="14"/>
  <c r="P101" i="14"/>
  <c r="O101" i="14"/>
  <c r="L84" i="14"/>
  <c r="P84" i="14"/>
  <c r="O84" i="14"/>
  <c r="O56" i="14"/>
  <c r="Q56" i="14" s="1"/>
  <c r="R56" i="14" s="1"/>
  <c r="T56" i="14" s="1"/>
  <c r="L75" i="14"/>
  <c r="P38" i="14"/>
  <c r="AH21" i="14"/>
  <c r="J21" i="14" s="1"/>
  <c r="O21" i="14" s="1"/>
  <c r="O112" i="14"/>
  <c r="Q112" i="14" s="1"/>
  <c r="R112" i="14" s="1"/>
  <c r="T112" i="14" s="1"/>
  <c r="O75" i="14"/>
  <c r="Q75" i="14" s="1"/>
  <c r="R75" i="14" s="1"/>
  <c r="T75" i="14" s="1"/>
  <c r="P122" i="14"/>
  <c r="AH11" i="14"/>
  <c r="J11" i="14" s="1"/>
  <c r="O11" i="14" s="1"/>
  <c r="O27" i="14"/>
  <c r="P27" i="14"/>
  <c r="L27" i="14"/>
  <c r="P68" i="14"/>
  <c r="O68" i="14"/>
  <c r="L68" i="14"/>
  <c r="O37" i="14"/>
  <c r="P37" i="14"/>
  <c r="L45" i="14"/>
  <c r="P45" i="14"/>
  <c r="O45" i="14"/>
  <c r="P78" i="14"/>
  <c r="L78" i="14"/>
  <c r="O78" i="14"/>
  <c r="O74" i="14"/>
  <c r="P74" i="14"/>
  <c r="L127" i="14"/>
  <c r="O127" i="14"/>
  <c r="P127" i="14"/>
  <c r="O40" i="14"/>
  <c r="L40" i="14"/>
  <c r="L28" i="14"/>
  <c r="L112" i="14"/>
  <c r="O29" i="14"/>
  <c r="Q29" i="14" s="1"/>
  <c r="R29" i="14" s="1"/>
  <c r="T29" i="14" s="1"/>
  <c r="O28" i="14"/>
  <c r="Q28" i="14" s="1"/>
  <c r="P55" i="14"/>
  <c r="P32" i="14"/>
  <c r="L100" i="14"/>
  <c r="O44" i="14"/>
  <c r="O53" i="14"/>
  <c r="L76" i="14"/>
  <c r="L73" i="14"/>
  <c r="O65" i="14"/>
  <c r="L63" i="14"/>
  <c r="P100" i="14"/>
  <c r="Q100" i="14" s="1"/>
  <c r="R100" i="14" s="1"/>
  <c r="T100" i="14" s="1"/>
  <c r="P53" i="14"/>
  <c r="O67" i="14"/>
  <c r="O95" i="14"/>
  <c r="P73" i="14"/>
  <c r="Q73" i="14" s="1"/>
  <c r="R73" i="14" s="1"/>
  <c r="T73" i="14" s="1"/>
  <c r="P108" i="14"/>
  <c r="L47" i="14"/>
  <c r="P47" i="14"/>
  <c r="Q47" i="14" s="1"/>
  <c r="R47" i="14" s="1"/>
  <c r="T47" i="14" s="1"/>
  <c r="O103" i="14"/>
  <c r="L103" i="14"/>
  <c r="P103" i="14"/>
  <c r="P51" i="14"/>
  <c r="O51" i="14"/>
  <c r="L51" i="14"/>
  <c r="L72" i="14"/>
  <c r="P72" i="14"/>
  <c r="O72" i="14"/>
  <c r="L105" i="14"/>
  <c r="O105" i="14"/>
  <c r="P105" i="14"/>
  <c r="P110" i="14"/>
  <c r="L110" i="14"/>
  <c r="O110" i="14"/>
  <c r="P91" i="14"/>
  <c r="O91" i="14"/>
  <c r="L91" i="14"/>
  <c r="L39" i="14"/>
  <c r="L56" i="14"/>
  <c r="P39" i="14"/>
  <c r="Q39" i="14" s="1"/>
  <c r="R39" i="14" s="1"/>
  <c r="T39" i="14" s="1"/>
  <c r="P40" i="14"/>
  <c r="L37" i="14"/>
  <c r="P95" i="14"/>
  <c r="L29" i="14"/>
  <c r="L46" i="14"/>
  <c r="L41" i="14"/>
  <c r="O41" i="14"/>
  <c r="Q41" i="14" s="1"/>
  <c r="R41" i="14" s="1"/>
  <c r="T41" i="14" s="1"/>
  <c r="L80" i="14"/>
  <c r="P50" i="14"/>
  <c r="L74" i="14"/>
  <c r="AH18" i="14"/>
  <c r="J18" i="14" s="1"/>
  <c r="L18" i="14" s="1"/>
  <c r="O14" i="14"/>
  <c r="AH10" i="14"/>
  <c r="J10" i="14" s="1"/>
  <c r="O46" i="14"/>
  <c r="Q46" i="14" s="1"/>
  <c r="R46" i="14" s="1"/>
  <c r="T46" i="14" s="1"/>
  <c r="O80" i="14"/>
  <c r="Q80" i="14" s="1"/>
  <c r="R80" i="14" s="1"/>
  <c r="T80" i="14" s="1"/>
  <c r="P52" i="14"/>
  <c r="O52" i="14"/>
  <c r="O50" i="14"/>
  <c r="O54" i="14"/>
  <c r="AH13" i="14"/>
  <c r="J13" i="14" s="1"/>
  <c r="AH12" i="14"/>
  <c r="J12" i="14" s="1"/>
  <c r="O12" i="14" s="1"/>
  <c r="L118" i="14"/>
  <c r="P118" i="14"/>
  <c r="O118" i="14"/>
  <c r="L109" i="14"/>
  <c r="O109" i="14"/>
  <c r="P109" i="14"/>
  <c r="L24" i="14"/>
  <c r="P24" i="14"/>
  <c r="O24" i="14"/>
  <c r="O99" i="14"/>
  <c r="L99" i="14"/>
  <c r="P99" i="14"/>
  <c r="O102" i="14"/>
  <c r="P102" i="14"/>
  <c r="L102" i="14"/>
  <c r="L123" i="14"/>
  <c r="O123" i="14"/>
  <c r="P123" i="14"/>
  <c r="O69" i="14"/>
  <c r="L69" i="14"/>
  <c r="P69" i="14"/>
  <c r="O70" i="14"/>
  <c r="P70" i="14"/>
  <c r="L70" i="14"/>
  <c r="L93" i="14"/>
  <c r="P93" i="14"/>
  <c r="O93" i="14"/>
  <c r="L111" i="14"/>
  <c r="P111" i="14"/>
  <c r="O111" i="14"/>
  <c r="O43" i="14"/>
  <c r="P43" i="14"/>
  <c r="L43" i="14"/>
  <c r="L104" i="14"/>
  <c r="P104" i="14"/>
  <c r="O104" i="14"/>
  <c r="L117" i="14"/>
  <c r="L49" i="14"/>
  <c r="O49" i="14"/>
  <c r="P49" i="14"/>
  <c r="O98" i="14"/>
  <c r="L98" i="14"/>
  <c r="P98" i="14"/>
  <c r="L82" i="14"/>
  <c r="O82" i="14"/>
  <c r="P82" i="14"/>
  <c r="P120" i="14"/>
  <c r="L120" i="14"/>
  <c r="O120" i="14"/>
  <c r="P92" i="14"/>
  <c r="L92" i="14"/>
  <c r="O92" i="14"/>
  <c r="P124" i="14"/>
  <c r="O124" i="14"/>
  <c r="L124" i="14"/>
  <c r="L79" i="14"/>
  <c r="O79" i="14"/>
  <c r="P79" i="14"/>
  <c r="O71" i="14"/>
  <c r="L71" i="14"/>
  <c r="P71" i="14"/>
  <c r="P81" i="14"/>
  <c r="O81" i="14"/>
  <c r="L81" i="14"/>
  <c r="L126" i="14"/>
  <c r="O126" i="14"/>
  <c r="P126" i="14"/>
  <c r="P106" i="14"/>
  <c r="O106" i="14"/>
  <c r="L106" i="14"/>
  <c r="P77" i="14"/>
  <c r="O77" i="14"/>
  <c r="L77" i="14"/>
  <c r="L30" i="14"/>
  <c r="O30" i="14"/>
  <c r="P30" i="14"/>
  <c r="L31" i="14"/>
  <c r="P31" i="14"/>
  <c r="O31" i="14"/>
  <c r="P121" i="14"/>
  <c r="L121" i="14"/>
  <c r="O121" i="14"/>
  <c r="L125" i="14"/>
  <c r="P125" i="14"/>
  <c r="O125" i="14"/>
  <c r="P90" i="14"/>
  <c r="O90" i="14"/>
  <c r="L90" i="14"/>
  <c r="L25" i="14"/>
  <c r="P25" i="14"/>
  <c r="O25" i="14"/>
  <c r="L66" i="14"/>
  <c r="O66" i="14"/>
  <c r="P66" i="14"/>
  <c r="AH16" i="14"/>
  <c r="J16" i="14" s="1"/>
  <c r="AH23" i="14"/>
  <c r="J23" i="14" s="1"/>
  <c r="AH17" i="14"/>
  <c r="J17" i="14" s="1"/>
  <c r="L62" i="14"/>
  <c r="P83" i="14"/>
  <c r="O83" i="14"/>
  <c r="O119" i="14"/>
  <c r="P119" i="14"/>
  <c r="P42" i="14"/>
  <c r="Q42" i="14" s="1"/>
  <c r="R42" i="14" s="1"/>
  <c r="T42" i="14" s="1"/>
  <c r="L42" i="14"/>
  <c r="P11" i="17"/>
  <c r="Q11" i="17" s="1"/>
  <c r="S11" i="17" s="1"/>
  <c r="AE11" i="17" s="1"/>
  <c r="J11" i="17" s="1"/>
  <c r="T25" i="17"/>
  <c r="S17" i="17"/>
  <c r="T17" i="17" s="1"/>
  <c r="P20" i="17"/>
  <c r="S16" i="17"/>
  <c r="T16" i="17" s="1"/>
  <c r="P19" i="17"/>
  <c r="Q19" i="17" s="1"/>
  <c r="S19" i="17" s="1"/>
  <c r="T19" i="17" s="1"/>
  <c r="S24" i="17"/>
  <c r="T24" i="17" s="1"/>
  <c r="T12" i="17"/>
  <c r="T15" i="17"/>
  <c r="AF23" i="17"/>
  <c r="AG23" i="17" s="1"/>
  <c r="P18" i="17"/>
  <c r="T14" i="17"/>
  <c r="T13" i="17"/>
  <c r="T9" i="17"/>
  <c r="AF9" i="17"/>
  <c r="AG9" i="17" s="1"/>
  <c r="AF28" i="17"/>
  <c r="AG28" i="17" s="1"/>
  <c r="AF12" i="17"/>
  <c r="AG12" i="17" s="1"/>
  <c r="AF27" i="17"/>
  <c r="AG27" i="17" s="1"/>
  <c r="AE10" i="17"/>
  <c r="J10" i="17" s="1"/>
  <c r="T10" i="17"/>
  <c r="T22" i="17"/>
  <c r="AE22" i="17"/>
  <c r="J22" i="17" s="1"/>
  <c r="T26" i="17"/>
  <c r="AE26" i="17"/>
  <c r="J26" i="17" s="1"/>
  <c r="T29" i="17"/>
  <c r="AE29" i="17"/>
  <c r="J29" i="17" s="1"/>
  <c r="AF15" i="17"/>
  <c r="AG15" i="17" s="1"/>
  <c r="AF25" i="17"/>
  <c r="AG25" i="17" s="1"/>
  <c r="AF13" i="17"/>
  <c r="AG13" i="17" s="1"/>
  <c r="AF14" i="17"/>
  <c r="AG14" i="17" s="1"/>
  <c r="T21" i="17"/>
  <c r="AE21" i="17"/>
  <c r="J21" i="17" s="1"/>
  <c r="Q17" i="2"/>
  <c r="AD17" i="2" s="1"/>
  <c r="AE17" i="2" s="1"/>
  <c r="Q18" i="2"/>
  <c r="AD18" i="2" s="1"/>
  <c r="AE18" i="2" s="1"/>
  <c r="Q24" i="2"/>
  <c r="AD24" i="2" s="1"/>
  <c r="AE24" i="2" s="1"/>
  <c r="Q33" i="2"/>
  <c r="AD33" i="2" s="1"/>
  <c r="AE33" i="2" s="1"/>
  <c r="Q26" i="2"/>
  <c r="AD26" i="2" s="1"/>
  <c r="AE26" i="2" s="1"/>
  <c r="Q28" i="2"/>
  <c r="AD28" i="2" s="1"/>
  <c r="AE28" i="2" s="1"/>
  <c r="Q27" i="2"/>
  <c r="R27" i="2" s="1"/>
  <c r="Q16" i="2"/>
  <c r="AD16" i="2" s="1"/>
  <c r="AE16" i="2" s="1"/>
  <c r="Q11" i="2"/>
  <c r="O41" i="2" s="1"/>
  <c r="Q31" i="2"/>
  <c r="AD31" i="2" s="1"/>
  <c r="AE31" i="2" s="1"/>
  <c r="Q22" i="2"/>
  <c r="AD22" i="2" s="1"/>
  <c r="AE22" i="2" s="1"/>
  <c r="Q12" i="2"/>
  <c r="AC12" i="2" s="1"/>
  <c r="AD12" i="2" s="1"/>
  <c r="AE12" i="2" s="1"/>
  <c r="Q19" i="2"/>
  <c r="AD19" i="2" s="1"/>
  <c r="AE19" i="2" s="1"/>
  <c r="Q25" i="2"/>
  <c r="R25" i="2" s="1"/>
  <c r="Q30" i="2"/>
  <c r="AD30" i="2" s="1"/>
  <c r="AE30" i="2" s="1"/>
  <c r="Q14" i="2"/>
  <c r="AC14" i="2" s="1"/>
  <c r="Q20" i="2"/>
  <c r="R20" i="2" s="1"/>
  <c r="Q13" i="2"/>
  <c r="AC13" i="2" s="1"/>
  <c r="AD13" i="2" s="1"/>
  <c r="AE13" i="2" s="1"/>
  <c r="Q23" i="2"/>
  <c r="AD23" i="2" s="1"/>
  <c r="AE23" i="2" s="1"/>
  <c r="Q29" i="2"/>
  <c r="R29" i="2" s="1"/>
  <c r="Q15" i="2"/>
  <c r="R15" i="2" s="1"/>
  <c r="Q10" i="2"/>
  <c r="O40" i="2" s="1"/>
  <c r="Q21" i="2"/>
  <c r="R21" i="2" s="1"/>
  <c r="R32" i="2"/>
  <c r="AD32" i="2"/>
  <c r="AE32" i="2" s="1"/>
  <c r="Q155" i="14" l="1"/>
  <c r="R155" i="14" s="1"/>
  <c r="T155" i="14" s="1"/>
  <c r="U12" i="20"/>
  <c r="B8" i="21" s="1"/>
  <c r="D8" i="21" s="1"/>
  <c r="E8" i="21" s="1"/>
  <c r="AJ12" i="20"/>
  <c r="AL12" i="20" s="1"/>
  <c r="Q154" i="14"/>
  <c r="R154" i="14" s="1"/>
  <c r="T154" i="14" s="1"/>
  <c r="U154" i="14" s="1"/>
  <c r="B150" i="18" s="1"/>
  <c r="D150" i="18" s="1"/>
  <c r="E150" i="18" s="1"/>
  <c r="C54" i="21"/>
  <c r="D54" i="21"/>
  <c r="E54" i="21" s="1"/>
  <c r="C80" i="21"/>
  <c r="D80" i="21"/>
  <c r="E80" i="21" s="1"/>
  <c r="C12" i="21"/>
  <c r="D12" i="21"/>
  <c r="E12" i="21" s="1"/>
  <c r="C42" i="21"/>
  <c r="D42" i="21"/>
  <c r="E42" i="21" s="1"/>
  <c r="C74" i="21"/>
  <c r="D74" i="21"/>
  <c r="E74" i="21" s="1"/>
  <c r="C146" i="21"/>
  <c r="D146" i="21"/>
  <c r="E146" i="21" s="1"/>
  <c r="C138" i="18"/>
  <c r="D138" i="18"/>
  <c r="E138" i="18" s="1"/>
  <c r="C56" i="18"/>
  <c r="D56" i="18"/>
  <c r="E56" i="18" s="1"/>
  <c r="U155" i="14"/>
  <c r="B151" i="18" s="1"/>
  <c r="AI155" i="14"/>
  <c r="K155" i="14" s="1"/>
  <c r="U152" i="14"/>
  <c r="B148" i="18" s="1"/>
  <c r="AI152" i="14"/>
  <c r="K152" i="14" s="1"/>
  <c r="Q153" i="14"/>
  <c r="R153" i="14" s="1"/>
  <c r="T153" i="14" s="1"/>
  <c r="Q147" i="14"/>
  <c r="R147" i="14" s="1"/>
  <c r="T147" i="14" s="1"/>
  <c r="AI147" i="14" s="1"/>
  <c r="K147" i="14" s="1"/>
  <c r="L148" i="14"/>
  <c r="U149" i="14"/>
  <c r="B145" i="18" s="1"/>
  <c r="AL149" i="20"/>
  <c r="Q150" i="14"/>
  <c r="R150" i="14" s="1"/>
  <c r="T150" i="14" s="1"/>
  <c r="AI150" i="14" s="1"/>
  <c r="O148" i="14"/>
  <c r="Q148" i="14" s="1"/>
  <c r="R148" i="14" s="1"/>
  <c r="T148" i="14" s="1"/>
  <c r="AL150" i="20"/>
  <c r="U146" i="14"/>
  <c r="B142" i="18" s="1"/>
  <c r="AJ147" i="14"/>
  <c r="AL147" i="14" s="1"/>
  <c r="Q151" i="14"/>
  <c r="R151" i="14" s="1"/>
  <c r="T151" i="14" s="1"/>
  <c r="U151" i="14" s="1"/>
  <c r="B147" i="18" s="1"/>
  <c r="AJ146" i="14"/>
  <c r="AL146" i="14" s="1"/>
  <c r="AL148" i="20"/>
  <c r="AK148" i="20"/>
  <c r="U145" i="14"/>
  <c r="B141" i="18" s="1"/>
  <c r="AI145" i="14"/>
  <c r="K145" i="14" s="1"/>
  <c r="AJ149" i="14"/>
  <c r="U144" i="14"/>
  <c r="B140" i="18" s="1"/>
  <c r="AI144" i="14"/>
  <c r="K144" i="14" s="1"/>
  <c r="F39" i="21"/>
  <c r="F66" i="21"/>
  <c r="F58" i="21"/>
  <c r="F62" i="21"/>
  <c r="C46" i="21"/>
  <c r="AI142" i="14"/>
  <c r="K142" i="14" s="1"/>
  <c r="Q140" i="14"/>
  <c r="R140" i="14" s="1"/>
  <c r="T140" i="14" s="1"/>
  <c r="U140" i="14" s="1"/>
  <c r="B136" i="18" s="1"/>
  <c r="Q137" i="14"/>
  <c r="R137" i="14" s="1"/>
  <c r="T137" i="14" s="1"/>
  <c r="AI137" i="14" s="1"/>
  <c r="K137" i="14" s="1"/>
  <c r="AI138" i="14"/>
  <c r="K138" i="14" s="1"/>
  <c r="U138" i="14"/>
  <c r="B134" i="18" s="1"/>
  <c r="Q130" i="14"/>
  <c r="R130" i="14" s="1"/>
  <c r="T130" i="14" s="1"/>
  <c r="AI130" i="14" s="1"/>
  <c r="K130" i="14" s="1"/>
  <c r="Q128" i="14"/>
  <c r="R128" i="14" s="1"/>
  <c r="T128" i="14" s="1"/>
  <c r="U128" i="14" s="1"/>
  <c r="B124" i="18" s="1"/>
  <c r="U139" i="14"/>
  <c r="B135" i="18" s="1"/>
  <c r="K139" i="14"/>
  <c r="AJ139" i="14"/>
  <c r="AL139" i="14" s="1"/>
  <c r="Q132" i="14"/>
  <c r="R132" i="14" s="1"/>
  <c r="T132" i="14" s="1"/>
  <c r="U132" i="14" s="1"/>
  <c r="B128" i="18" s="1"/>
  <c r="Q133" i="14"/>
  <c r="R133" i="14" s="1"/>
  <c r="T133" i="14" s="1"/>
  <c r="U134" i="14"/>
  <c r="B130" i="18" s="1"/>
  <c r="AI134" i="14"/>
  <c r="K134" i="14" s="1"/>
  <c r="AL129" i="20"/>
  <c r="AK129" i="20"/>
  <c r="U136" i="14"/>
  <c r="B132" i="18" s="1"/>
  <c r="AI136" i="14"/>
  <c r="K136" i="14" s="1"/>
  <c r="Q141" i="14"/>
  <c r="R141" i="14" s="1"/>
  <c r="T141" i="14" s="1"/>
  <c r="AL134" i="20"/>
  <c r="AK134" i="20"/>
  <c r="Q143" i="14"/>
  <c r="R143" i="14" s="1"/>
  <c r="T143" i="14" s="1"/>
  <c r="Q131" i="14"/>
  <c r="R131" i="14" s="1"/>
  <c r="T131" i="14" s="1"/>
  <c r="U131" i="14" s="1"/>
  <c r="B127" i="18" s="1"/>
  <c r="Q135" i="14"/>
  <c r="R135" i="14" s="1"/>
  <c r="T135" i="14" s="1"/>
  <c r="AL133" i="20"/>
  <c r="AK133" i="20"/>
  <c r="U129" i="14"/>
  <c r="B125" i="18" s="1"/>
  <c r="AJ129" i="14"/>
  <c r="AL129" i="14" s="1"/>
  <c r="AK88" i="20"/>
  <c r="Q123" i="19"/>
  <c r="R123" i="19" s="1"/>
  <c r="T123" i="19" s="1"/>
  <c r="AJ123" i="19" s="1"/>
  <c r="K123" i="19" s="1"/>
  <c r="AK9" i="20"/>
  <c r="U105" i="19"/>
  <c r="Q113" i="19"/>
  <c r="R113" i="19" s="1"/>
  <c r="T113" i="19" s="1"/>
  <c r="AJ113" i="19" s="1"/>
  <c r="K113" i="19" s="1"/>
  <c r="AJ69" i="19"/>
  <c r="K69" i="19" s="1"/>
  <c r="U69" i="19"/>
  <c r="AJ81" i="19"/>
  <c r="K81" i="19" s="1"/>
  <c r="Q61" i="19"/>
  <c r="R61" i="19" s="1"/>
  <c r="T61" i="19" s="1"/>
  <c r="U61" i="19" s="1"/>
  <c r="Q87" i="19"/>
  <c r="R87" i="19" s="1"/>
  <c r="T87" i="19" s="1"/>
  <c r="AJ87" i="19" s="1"/>
  <c r="K87" i="19" s="1"/>
  <c r="Q119" i="19"/>
  <c r="R119" i="19" s="1"/>
  <c r="U22" i="19"/>
  <c r="AJ22" i="19"/>
  <c r="K22" i="19" s="1"/>
  <c r="Q78" i="19"/>
  <c r="R78" i="19" s="1"/>
  <c r="T78" i="19" s="1"/>
  <c r="AJ78" i="19" s="1"/>
  <c r="K78" i="19" s="1"/>
  <c r="AJ77" i="19"/>
  <c r="K77" i="19" s="1"/>
  <c r="AJ20" i="20"/>
  <c r="AL20" i="20" s="1"/>
  <c r="AL41" i="20"/>
  <c r="U94" i="19"/>
  <c r="P29" i="19"/>
  <c r="Q121" i="19"/>
  <c r="R121" i="19" s="1"/>
  <c r="T121" i="19" s="1"/>
  <c r="Q23" i="19"/>
  <c r="R23" i="19" s="1"/>
  <c r="T23" i="19" s="1"/>
  <c r="U23" i="19" s="1"/>
  <c r="Q89" i="19"/>
  <c r="R89" i="19" s="1"/>
  <c r="T89" i="19" s="1"/>
  <c r="U89" i="19" s="1"/>
  <c r="AJ39" i="19"/>
  <c r="K39" i="19" s="1"/>
  <c r="U53" i="19"/>
  <c r="Q60" i="19"/>
  <c r="R60" i="19" s="1"/>
  <c r="T60" i="19" s="1"/>
  <c r="AJ60" i="19" s="1"/>
  <c r="K60" i="19" s="1"/>
  <c r="Q19" i="19"/>
  <c r="R19" i="19" s="1"/>
  <c r="T19" i="19" s="1"/>
  <c r="AJ19" i="19" s="1"/>
  <c r="K19" i="19" s="1"/>
  <c r="Q67" i="19"/>
  <c r="R67" i="19" s="1"/>
  <c r="T67" i="19" s="1"/>
  <c r="U67" i="19" s="1"/>
  <c r="AK78" i="20"/>
  <c r="Q74" i="19"/>
  <c r="R74" i="19" s="1"/>
  <c r="T74" i="19" s="1"/>
  <c r="AJ74" i="19" s="1"/>
  <c r="K74" i="19" s="1"/>
  <c r="Q86" i="19"/>
  <c r="R86" i="19" s="1"/>
  <c r="T86" i="19" s="1"/>
  <c r="U86" i="19" s="1"/>
  <c r="Q91" i="19"/>
  <c r="R91" i="19" s="1"/>
  <c r="T91" i="19" s="1"/>
  <c r="AJ91" i="19" s="1"/>
  <c r="K91" i="19" s="1"/>
  <c r="Q76" i="19"/>
  <c r="R76" i="19" s="1"/>
  <c r="T76" i="19" s="1"/>
  <c r="AJ76" i="19" s="1"/>
  <c r="K76" i="19" s="1"/>
  <c r="AJ10" i="19"/>
  <c r="K10" i="19" s="1"/>
  <c r="U10" i="19"/>
  <c r="AJ122" i="19"/>
  <c r="K122" i="19" s="1"/>
  <c r="U83" i="19"/>
  <c r="U84" i="19"/>
  <c r="AK58" i="20"/>
  <c r="AJ30" i="19"/>
  <c r="K30" i="19" s="1"/>
  <c r="U30" i="19"/>
  <c r="Q75" i="19"/>
  <c r="R75" i="19" s="1"/>
  <c r="T75" i="19" s="1"/>
  <c r="AJ75" i="19" s="1"/>
  <c r="K75" i="19" s="1"/>
  <c r="Q88" i="19"/>
  <c r="R88" i="19" s="1"/>
  <c r="T88" i="19" s="1"/>
  <c r="AJ88" i="19" s="1"/>
  <c r="K88" i="19" s="1"/>
  <c r="U107" i="19"/>
  <c r="AJ109" i="19"/>
  <c r="K109" i="19" s="1"/>
  <c r="AL39" i="20"/>
  <c r="AK39" i="20"/>
  <c r="F106" i="21"/>
  <c r="Q33" i="19"/>
  <c r="R33" i="19" s="1"/>
  <c r="T33" i="19" s="1"/>
  <c r="U33" i="19" s="1"/>
  <c r="AK96" i="19"/>
  <c r="AM96" i="19" s="1"/>
  <c r="Q56" i="19"/>
  <c r="R56" i="19" s="1"/>
  <c r="T56" i="19" s="1"/>
  <c r="U56" i="19" s="1"/>
  <c r="Q117" i="19"/>
  <c r="R117" i="19" s="1"/>
  <c r="T117" i="19" s="1"/>
  <c r="AJ117" i="19" s="1"/>
  <c r="K117" i="19" s="1"/>
  <c r="Q114" i="19"/>
  <c r="R114" i="19" s="1"/>
  <c r="T114" i="19" s="1"/>
  <c r="AJ114" i="19" s="1"/>
  <c r="K114" i="19" s="1"/>
  <c r="Q92" i="19"/>
  <c r="R92" i="19" s="1"/>
  <c r="T92" i="19" s="1"/>
  <c r="U92" i="19" s="1"/>
  <c r="Q43" i="19"/>
  <c r="R43" i="19" s="1"/>
  <c r="T43" i="19" s="1"/>
  <c r="U43" i="19" s="1"/>
  <c r="Q85" i="19"/>
  <c r="R85" i="19" s="1"/>
  <c r="T85" i="19" s="1"/>
  <c r="AJ85" i="19" s="1"/>
  <c r="K85" i="19" s="1"/>
  <c r="Q120" i="19"/>
  <c r="R120" i="19" s="1"/>
  <c r="T120" i="19" s="1"/>
  <c r="U120" i="19" s="1"/>
  <c r="Q15" i="19"/>
  <c r="R15" i="19" s="1"/>
  <c r="T15" i="19" s="1"/>
  <c r="U15" i="19" s="1"/>
  <c r="Q31" i="19"/>
  <c r="R31" i="19" s="1"/>
  <c r="T31" i="19" s="1"/>
  <c r="U31" i="19" s="1"/>
  <c r="AJ58" i="19"/>
  <c r="U96" i="19"/>
  <c r="Q57" i="19"/>
  <c r="R57" i="19" s="1"/>
  <c r="T57" i="19" s="1"/>
  <c r="U57" i="19" s="1"/>
  <c r="U68" i="19"/>
  <c r="Q42" i="19"/>
  <c r="R42" i="19" s="1"/>
  <c r="T42" i="19" s="1"/>
  <c r="U42" i="19" s="1"/>
  <c r="AK50" i="19"/>
  <c r="AL50" i="19" s="1"/>
  <c r="Q34" i="19"/>
  <c r="R34" i="19" s="1"/>
  <c r="T34" i="19" s="1"/>
  <c r="AK94" i="19"/>
  <c r="AM94" i="19" s="1"/>
  <c r="AK68" i="19"/>
  <c r="AM68" i="19" s="1"/>
  <c r="U50" i="19"/>
  <c r="F16" i="21"/>
  <c r="Q106" i="19"/>
  <c r="R106" i="19" s="1"/>
  <c r="T106" i="19" s="1"/>
  <c r="U106" i="19" s="1"/>
  <c r="Q111" i="19"/>
  <c r="R111" i="19" s="1"/>
  <c r="T111" i="19" s="1"/>
  <c r="AJ111" i="19" s="1"/>
  <c r="K111" i="19" s="1"/>
  <c r="Q128" i="19"/>
  <c r="R128" i="19" s="1"/>
  <c r="T128" i="19" s="1"/>
  <c r="AJ128" i="19" s="1"/>
  <c r="K128" i="19" s="1"/>
  <c r="AK105" i="19"/>
  <c r="AM105" i="19" s="1"/>
  <c r="Q104" i="19"/>
  <c r="R104" i="19" s="1"/>
  <c r="T104" i="19" s="1"/>
  <c r="AJ104" i="19" s="1"/>
  <c r="K104" i="19" s="1"/>
  <c r="AJ84" i="20"/>
  <c r="AK84" i="20" s="1"/>
  <c r="Q13" i="19"/>
  <c r="R13" i="19" s="1"/>
  <c r="T13" i="19" s="1"/>
  <c r="AJ13" i="19" s="1"/>
  <c r="K13" i="19" s="1"/>
  <c r="AJ118" i="19"/>
  <c r="K118" i="19" s="1"/>
  <c r="U118" i="19"/>
  <c r="AL90" i="20"/>
  <c r="AJ16" i="20"/>
  <c r="AK16" i="20" s="1"/>
  <c r="AK83" i="19"/>
  <c r="AM83" i="19" s="1"/>
  <c r="Q49" i="19"/>
  <c r="R49" i="19" s="1"/>
  <c r="T49" i="19" s="1"/>
  <c r="U49" i="19" s="1"/>
  <c r="F50" i="21"/>
  <c r="F96" i="21"/>
  <c r="Q65" i="19"/>
  <c r="R65" i="19" s="1"/>
  <c r="T65" i="19" s="1"/>
  <c r="AJ65" i="19" s="1"/>
  <c r="K65" i="19" s="1"/>
  <c r="Q82" i="19"/>
  <c r="R82" i="19" s="1"/>
  <c r="T82" i="19" s="1"/>
  <c r="U82" i="19" s="1"/>
  <c r="Q99" i="19"/>
  <c r="R99" i="19" s="1"/>
  <c r="T99" i="19" s="1"/>
  <c r="U99" i="19" s="1"/>
  <c r="O29" i="19"/>
  <c r="Q116" i="19"/>
  <c r="R116" i="19" s="1"/>
  <c r="T116" i="19" s="1"/>
  <c r="U116" i="19" s="1"/>
  <c r="Q112" i="19"/>
  <c r="R112" i="19" s="1"/>
  <c r="T112" i="19" s="1"/>
  <c r="AJ112" i="19" s="1"/>
  <c r="K112" i="19" s="1"/>
  <c r="Q51" i="19"/>
  <c r="R51" i="19" s="1"/>
  <c r="T51" i="19" s="1"/>
  <c r="Q44" i="19"/>
  <c r="R44" i="19" s="1"/>
  <c r="T44" i="19" s="1"/>
  <c r="AK53" i="19"/>
  <c r="AM53" i="19" s="1"/>
  <c r="F78" i="21"/>
  <c r="Q40" i="19"/>
  <c r="R40" i="19" s="1"/>
  <c r="T40" i="19" s="1"/>
  <c r="AJ40" i="19" s="1"/>
  <c r="K40" i="19" s="1"/>
  <c r="F112" i="21"/>
  <c r="F37" i="21"/>
  <c r="AK84" i="19"/>
  <c r="AM84" i="19" s="1"/>
  <c r="Q55" i="19"/>
  <c r="R55" i="19" s="1"/>
  <c r="T55" i="19" s="1"/>
  <c r="Q100" i="19"/>
  <c r="R100" i="19" s="1"/>
  <c r="T100" i="19" s="1"/>
  <c r="U100" i="19" s="1"/>
  <c r="Q38" i="19"/>
  <c r="R38" i="19" s="1"/>
  <c r="T38" i="19" s="1"/>
  <c r="AJ38" i="19" s="1"/>
  <c r="K38" i="19" s="1"/>
  <c r="Q103" i="19"/>
  <c r="R103" i="19" s="1"/>
  <c r="T103" i="19" s="1"/>
  <c r="AJ103" i="19" s="1"/>
  <c r="K103" i="19" s="1"/>
  <c r="Q41" i="19"/>
  <c r="R41" i="19" s="1"/>
  <c r="T41" i="19" s="1"/>
  <c r="Q17" i="19"/>
  <c r="R17" i="19" s="1"/>
  <c r="T17" i="19" s="1"/>
  <c r="Q125" i="19"/>
  <c r="R125" i="19" s="1"/>
  <c r="T125" i="19" s="1"/>
  <c r="Q54" i="19"/>
  <c r="R54" i="19" s="1"/>
  <c r="T54" i="19" s="1"/>
  <c r="Q32" i="19"/>
  <c r="R32" i="19" s="1"/>
  <c r="T32" i="19" s="1"/>
  <c r="F23" i="21"/>
  <c r="Q63" i="19"/>
  <c r="R63" i="19" s="1"/>
  <c r="T63" i="19" s="1"/>
  <c r="F70" i="21"/>
  <c r="Q66" i="19"/>
  <c r="R66" i="19" s="1"/>
  <c r="T66" i="19" s="1"/>
  <c r="F19" i="21"/>
  <c r="AJ124" i="19"/>
  <c r="U124" i="19"/>
  <c r="AK91" i="20"/>
  <c r="AL91" i="20"/>
  <c r="U62" i="19"/>
  <c r="AJ62" i="19"/>
  <c r="K62" i="19" s="1"/>
  <c r="AJ79" i="19"/>
  <c r="K79" i="19" s="1"/>
  <c r="U79" i="19"/>
  <c r="Q97" i="19"/>
  <c r="R97" i="19" s="1"/>
  <c r="T97" i="19" s="1"/>
  <c r="Q98" i="19"/>
  <c r="R98" i="19" s="1"/>
  <c r="T98" i="19" s="1"/>
  <c r="Q9" i="19"/>
  <c r="Q27" i="19"/>
  <c r="R27" i="19" s="1"/>
  <c r="T27" i="19" s="1"/>
  <c r="AL74" i="20"/>
  <c r="AK74" i="20"/>
  <c r="U47" i="19"/>
  <c r="AJ47" i="19"/>
  <c r="K47" i="19" s="1"/>
  <c r="U36" i="19"/>
  <c r="AJ36" i="19"/>
  <c r="K36" i="19" s="1"/>
  <c r="AJ46" i="19"/>
  <c r="K46" i="19" s="1"/>
  <c r="U46" i="19"/>
  <c r="AL23" i="20"/>
  <c r="AK23" i="20"/>
  <c r="AL50" i="20"/>
  <c r="AK50" i="20"/>
  <c r="Q21" i="19"/>
  <c r="R21" i="19" s="1"/>
  <c r="T21" i="19" s="1"/>
  <c r="Q71" i="19"/>
  <c r="R71" i="19" s="1"/>
  <c r="T71" i="19" s="1"/>
  <c r="U52" i="19"/>
  <c r="AJ52" i="19"/>
  <c r="K52" i="19" s="1"/>
  <c r="K107" i="19"/>
  <c r="AK107" i="19"/>
  <c r="AL100" i="20"/>
  <c r="AK100" i="20"/>
  <c r="U20" i="19"/>
  <c r="AJ20" i="19"/>
  <c r="K20" i="19" s="1"/>
  <c r="AJ45" i="19"/>
  <c r="K45" i="19" s="1"/>
  <c r="U45" i="19"/>
  <c r="AL54" i="20"/>
  <c r="AK54" i="20"/>
  <c r="AJ37" i="19"/>
  <c r="K37" i="19" s="1"/>
  <c r="U37" i="19"/>
  <c r="U26" i="19"/>
  <c r="AJ26" i="19"/>
  <c r="K26" i="19" s="1"/>
  <c r="AK46" i="20"/>
  <c r="AL46" i="20"/>
  <c r="AK110" i="20"/>
  <c r="AL110" i="20"/>
  <c r="U18" i="19"/>
  <c r="AJ18" i="19"/>
  <c r="K18" i="19" s="1"/>
  <c r="AJ59" i="19"/>
  <c r="K59" i="19" s="1"/>
  <c r="U59" i="19"/>
  <c r="F15" i="21"/>
  <c r="Q14" i="19"/>
  <c r="R14" i="19" s="1"/>
  <c r="T14" i="19" s="1"/>
  <c r="F87" i="21"/>
  <c r="Q95" i="19"/>
  <c r="R95" i="19" s="1"/>
  <c r="T95" i="19" s="1"/>
  <c r="AJ90" i="19"/>
  <c r="K90" i="19" s="1"/>
  <c r="U90" i="19"/>
  <c r="F86" i="21"/>
  <c r="Q28" i="19"/>
  <c r="R28" i="19" s="1"/>
  <c r="T28" i="19" s="1"/>
  <c r="AJ93" i="19"/>
  <c r="K93" i="19" s="1"/>
  <c r="U93" i="19"/>
  <c r="AL27" i="20"/>
  <c r="AK27" i="20"/>
  <c r="R12" i="19"/>
  <c r="T12" i="19" s="1"/>
  <c r="Q24" i="19"/>
  <c r="R24" i="19" s="1"/>
  <c r="T24" i="19" s="1"/>
  <c r="Q11" i="19"/>
  <c r="R11" i="19" s="1"/>
  <c r="T11" i="19" s="1"/>
  <c r="F5" i="21"/>
  <c r="U110" i="19"/>
  <c r="AJ110" i="19"/>
  <c r="Q35" i="19"/>
  <c r="R35" i="19" s="1"/>
  <c r="T35" i="19" s="1"/>
  <c r="Q16" i="19"/>
  <c r="R16" i="19" s="1"/>
  <c r="T16" i="19" s="1"/>
  <c r="Q25" i="19"/>
  <c r="R25" i="19" s="1"/>
  <c r="T25" i="19" s="1"/>
  <c r="Q115" i="19"/>
  <c r="R115" i="19" s="1"/>
  <c r="T115" i="19" s="1"/>
  <c r="Q73" i="19"/>
  <c r="R73" i="19" s="1"/>
  <c r="T73" i="19" s="1"/>
  <c r="U14" i="20"/>
  <c r="B10" i="21" s="1"/>
  <c r="AI14" i="20"/>
  <c r="K14" i="20" s="1"/>
  <c r="J4" i="20" s="1"/>
  <c r="M6" i="20"/>
  <c r="J3" i="20"/>
  <c r="Q5" i="20" s="1"/>
  <c r="AK116" i="20"/>
  <c r="AL116" i="20"/>
  <c r="U101" i="19"/>
  <c r="AJ101" i="19"/>
  <c r="K101" i="19" s="1"/>
  <c r="AJ108" i="19"/>
  <c r="U108" i="19"/>
  <c r="AK19" i="20"/>
  <c r="AL19" i="20"/>
  <c r="AJ70" i="19"/>
  <c r="K70" i="19" s="1"/>
  <c r="U70" i="19"/>
  <c r="AK82" i="20"/>
  <c r="AL82" i="20"/>
  <c r="Q48" i="19"/>
  <c r="R48" i="19" s="1"/>
  <c r="T48" i="19" s="1"/>
  <c r="Q80" i="19"/>
  <c r="R80" i="19" s="1"/>
  <c r="T80" i="19" s="1"/>
  <c r="Q102" i="19"/>
  <c r="R102" i="19" s="1"/>
  <c r="T102" i="19" s="1"/>
  <c r="Q64" i="19"/>
  <c r="R64" i="19" s="1"/>
  <c r="T64" i="19" s="1"/>
  <c r="Q57" i="14"/>
  <c r="R57" i="14" s="1"/>
  <c r="T57" i="14" s="1"/>
  <c r="AI57" i="14" s="1"/>
  <c r="K57" i="14" s="1"/>
  <c r="AI60" i="14"/>
  <c r="K60" i="14" s="1"/>
  <c r="Q58" i="14"/>
  <c r="R58" i="14" s="1"/>
  <c r="T58" i="14" s="1"/>
  <c r="U58" i="14" s="1"/>
  <c r="B54" i="18" s="1"/>
  <c r="U59" i="14"/>
  <c r="B55" i="18" s="1"/>
  <c r="AI59" i="14"/>
  <c r="K59" i="14" s="1"/>
  <c r="Q64" i="14"/>
  <c r="R64" i="14" s="1"/>
  <c r="Q63" i="14"/>
  <c r="Q54" i="14"/>
  <c r="R54" i="14" s="1"/>
  <c r="T54" i="14" s="1"/>
  <c r="U54" i="14" s="1"/>
  <c r="B50" i="18" s="1"/>
  <c r="Q62" i="14"/>
  <c r="Q40" i="14"/>
  <c r="R40" i="14" s="1"/>
  <c r="T40" i="14" s="1"/>
  <c r="U40" i="14" s="1"/>
  <c r="B36" i="18" s="1"/>
  <c r="Q61" i="14"/>
  <c r="R61" i="14" s="1"/>
  <c r="Q117" i="14"/>
  <c r="R117" i="14" s="1"/>
  <c r="Q113" i="14"/>
  <c r="R113" i="14" s="1"/>
  <c r="T113" i="14" s="1"/>
  <c r="U116" i="14"/>
  <c r="B112" i="18" s="1"/>
  <c r="AI116" i="14"/>
  <c r="K116" i="14" s="1"/>
  <c r="Q115" i="14"/>
  <c r="R115" i="14" s="1"/>
  <c r="T115" i="14" s="1"/>
  <c r="Q114" i="14"/>
  <c r="Q36" i="14"/>
  <c r="R36" i="14" s="1"/>
  <c r="T36" i="14" s="1"/>
  <c r="Q35" i="14"/>
  <c r="R35" i="14" s="1"/>
  <c r="Q44" i="14"/>
  <c r="R44" i="14" s="1"/>
  <c r="T44" i="14" s="1"/>
  <c r="Q34" i="14"/>
  <c r="Q33" i="14"/>
  <c r="Q67" i="14"/>
  <c r="R67" i="14" s="1"/>
  <c r="T67" i="14" s="1"/>
  <c r="U88" i="14"/>
  <c r="B84" i="18" s="1"/>
  <c r="AI88" i="14"/>
  <c r="K88" i="14" s="1"/>
  <c r="Q86" i="14"/>
  <c r="R86" i="14" s="1"/>
  <c r="T86" i="14" s="1"/>
  <c r="Q85" i="14"/>
  <c r="R85" i="14" s="1"/>
  <c r="T85" i="14" s="1"/>
  <c r="Q87" i="14"/>
  <c r="R87" i="14" s="1"/>
  <c r="T87" i="14" s="1"/>
  <c r="Q53" i="14"/>
  <c r="R53" i="14" s="1"/>
  <c r="T53" i="14" s="1"/>
  <c r="Q94" i="14"/>
  <c r="R94" i="14" s="1"/>
  <c r="T94" i="14" s="1"/>
  <c r="U94" i="14" s="1"/>
  <c r="B90" i="18" s="1"/>
  <c r="L9" i="14"/>
  <c r="U112" i="14"/>
  <c r="B108" i="18" s="1"/>
  <c r="U29" i="14"/>
  <c r="B25" i="18" s="1"/>
  <c r="Q108" i="14"/>
  <c r="R108" i="14" s="1"/>
  <c r="T108" i="14" s="1"/>
  <c r="U108" i="14" s="1"/>
  <c r="B104" i="18" s="1"/>
  <c r="Q38" i="14"/>
  <c r="R38" i="14" s="1"/>
  <c r="T38" i="14" s="1"/>
  <c r="AI38" i="14" s="1"/>
  <c r="Q70" i="14"/>
  <c r="R70" i="14" s="1"/>
  <c r="T70" i="14" s="1"/>
  <c r="O15" i="14"/>
  <c r="Q55" i="14"/>
  <c r="R55" i="14" s="1"/>
  <c r="T55" i="14" s="1"/>
  <c r="Q37" i="14"/>
  <c r="R37" i="14" s="1"/>
  <c r="T37" i="14" s="1"/>
  <c r="L21" i="14"/>
  <c r="Q72" i="14"/>
  <c r="R72" i="14" s="1"/>
  <c r="T72" i="14" s="1"/>
  <c r="Q65" i="14"/>
  <c r="R65" i="14" s="1"/>
  <c r="T65" i="14" s="1"/>
  <c r="Q49" i="14"/>
  <c r="R49" i="14" s="1"/>
  <c r="T49" i="14" s="1"/>
  <c r="Q122" i="14"/>
  <c r="R122" i="14" s="1"/>
  <c r="T122" i="14" s="1"/>
  <c r="Q79" i="14"/>
  <c r="R79" i="14" s="1"/>
  <c r="T79" i="14" s="1"/>
  <c r="Q124" i="14"/>
  <c r="R124" i="14" s="1"/>
  <c r="T124" i="14" s="1"/>
  <c r="Q82" i="14"/>
  <c r="R82" i="14" s="1"/>
  <c r="T82" i="14" s="1"/>
  <c r="Q95" i="14"/>
  <c r="R95" i="14" s="1"/>
  <c r="T95" i="14" s="1"/>
  <c r="Q105" i="14"/>
  <c r="R105" i="14" s="1"/>
  <c r="T105" i="14" s="1"/>
  <c r="Q27" i="14"/>
  <c r="R27" i="14" s="1"/>
  <c r="T27" i="14" s="1"/>
  <c r="Q76" i="14"/>
  <c r="R76" i="14" s="1"/>
  <c r="T76" i="14" s="1"/>
  <c r="Q89" i="14"/>
  <c r="R89" i="14" s="1"/>
  <c r="T89" i="14" s="1"/>
  <c r="Q66" i="14"/>
  <c r="R66" i="14" s="1"/>
  <c r="T66" i="14" s="1"/>
  <c r="Q125" i="14"/>
  <c r="R125" i="14" s="1"/>
  <c r="T125" i="14" s="1"/>
  <c r="Q123" i="14"/>
  <c r="R123" i="14" s="1"/>
  <c r="Q102" i="14"/>
  <c r="R102" i="14" s="1"/>
  <c r="T102" i="14" s="1"/>
  <c r="Q109" i="14"/>
  <c r="R109" i="14" s="1"/>
  <c r="T109" i="14" s="1"/>
  <c r="Q99" i="14"/>
  <c r="R99" i="14" s="1"/>
  <c r="T99" i="14" s="1"/>
  <c r="Q32" i="14"/>
  <c r="R32" i="14" s="1"/>
  <c r="T32" i="14" s="1"/>
  <c r="Q101" i="14"/>
  <c r="R101" i="14" s="1"/>
  <c r="T101" i="14" s="1"/>
  <c r="Q48" i="14"/>
  <c r="R48" i="14" s="1"/>
  <c r="T48" i="14" s="1"/>
  <c r="Q127" i="14"/>
  <c r="R127" i="14" s="1"/>
  <c r="T127" i="14" s="1"/>
  <c r="Q97" i="14"/>
  <c r="R97" i="14" s="1"/>
  <c r="T97" i="14" s="1"/>
  <c r="Q84" i="14"/>
  <c r="R84" i="14" s="1"/>
  <c r="T84" i="14" s="1"/>
  <c r="Q45" i="14"/>
  <c r="R45" i="14" s="1"/>
  <c r="T45" i="14" s="1"/>
  <c r="L11" i="14"/>
  <c r="Q30" i="14"/>
  <c r="R30" i="14" s="1"/>
  <c r="T30" i="14" s="1"/>
  <c r="Q77" i="14"/>
  <c r="R77" i="14" s="1"/>
  <c r="T77" i="14" s="1"/>
  <c r="Q92" i="14"/>
  <c r="R92" i="14" s="1"/>
  <c r="T92" i="14" s="1"/>
  <c r="Q24" i="14"/>
  <c r="R24" i="14" s="1"/>
  <c r="T24" i="14" s="1"/>
  <c r="Q74" i="14"/>
  <c r="R74" i="14" s="1"/>
  <c r="T74" i="14" s="1"/>
  <c r="Q78" i="14"/>
  <c r="R78" i="14" s="1"/>
  <c r="T78" i="14" s="1"/>
  <c r="Q68" i="14"/>
  <c r="R68" i="14" s="1"/>
  <c r="T68" i="14" s="1"/>
  <c r="Q107" i="14"/>
  <c r="R107" i="14" s="1"/>
  <c r="T107" i="14" s="1"/>
  <c r="Q90" i="14"/>
  <c r="R90" i="14" s="1"/>
  <c r="T90" i="14" s="1"/>
  <c r="Q121" i="14"/>
  <c r="R121" i="14" s="1"/>
  <c r="T121" i="14" s="1"/>
  <c r="Q31" i="14"/>
  <c r="R31" i="14" s="1"/>
  <c r="T31" i="14" s="1"/>
  <c r="Q126" i="14"/>
  <c r="R126" i="14" s="1"/>
  <c r="T126" i="14" s="1"/>
  <c r="Q81" i="14"/>
  <c r="R81" i="14" s="1"/>
  <c r="T81" i="14" s="1"/>
  <c r="Q104" i="14"/>
  <c r="R104" i="14" s="1"/>
  <c r="T104" i="14" s="1"/>
  <c r="AI104" i="14" s="1"/>
  <c r="K104" i="14" s="1"/>
  <c r="Q69" i="14"/>
  <c r="R69" i="14" s="1"/>
  <c r="T69" i="14" s="1"/>
  <c r="Q50" i="14"/>
  <c r="R50" i="14" s="1"/>
  <c r="T50" i="14" s="1"/>
  <c r="Q51" i="14"/>
  <c r="R51" i="14" s="1"/>
  <c r="T51" i="14" s="1"/>
  <c r="Q25" i="14"/>
  <c r="R25" i="14" s="1"/>
  <c r="T25" i="14" s="1"/>
  <c r="Q71" i="14"/>
  <c r="R71" i="14" s="1"/>
  <c r="T71" i="14" s="1"/>
  <c r="Q111" i="14"/>
  <c r="R111" i="14" s="1"/>
  <c r="T111" i="14" s="1"/>
  <c r="Q93" i="14"/>
  <c r="R93" i="14" s="1"/>
  <c r="T93" i="14" s="1"/>
  <c r="Q118" i="14"/>
  <c r="R118" i="14" s="1"/>
  <c r="T118" i="14" s="1"/>
  <c r="Q52" i="14"/>
  <c r="R52" i="14" s="1"/>
  <c r="T52" i="14" s="1"/>
  <c r="Q110" i="14"/>
  <c r="R110" i="14" s="1"/>
  <c r="T110" i="14" s="1"/>
  <c r="Q103" i="14"/>
  <c r="R103" i="14" s="1"/>
  <c r="T103" i="14" s="1"/>
  <c r="O13" i="14"/>
  <c r="L13" i="14"/>
  <c r="L10" i="14"/>
  <c r="O10" i="14"/>
  <c r="O9" i="14"/>
  <c r="L12" i="14"/>
  <c r="O5" i="14" s="1"/>
  <c r="O18" i="14"/>
  <c r="L19" i="14"/>
  <c r="Q98" i="14"/>
  <c r="R98" i="14" s="1"/>
  <c r="T98" i="14" s="1"/>
  <c r="Q43" i="14"/>
  <c r="R43" i="14" s="1"/>
  <c r="T43" i="14" s="1"/>
  <c r="Q91" i="14"/>
  <c r="R91" i="14" s="1"/>
  <c r="T91" i="14" s="1"/>
  <c r="O16" i="14"/>
  <c r="L16" i="14"/>
  <c r="L17" i="14"/>
  <c r="O17" i="14"/>
  <c r="O23" i="14"/>
  <c r="L23" i="14"/>
  <c r="Q106" i="14"/>
  <c r="R106" i="14" s="1"/>
  <c r="T106" i="14" s="1"/>
  <c r="Q120" i="14"/>
  <c r="R120" i="14" s="1"/>
  <c r="T120" i="14" s="1"/>
  <c r="O20" i="14"/>
  <c r="Q83" i="14"/>
  <c r="R83" i="14" s="1"/>
  <c r="T83" i="14" s="1"/>
  <c r="Q119" i="14"/>
  <c r="R119" i="14" s="1"/>
  <c r="T119" i="14" s="1"/>
  <c r="AI29" i="14"/>
  <c r="K29" i="14" s="1"/>
  <c r="AI112" i="14"/>
  <c r="K112" i="14" s="1"/>
  <c r="AI42" i="14"/>
  <c r="K42" i="14" s="1"/>
  <c r="U42" i="14"/>
  <c r="B38" i="18" s="1"/>
  <c r="AI73" i="14"/>
  <c r="K73" i="14" s="1"/>
  <c r="U73" i="14"/>
  <c r="B69" i="18" s="1"/>
  <c r="AI41" i="14"/>
  <c r="K41" i="14" s="1"/>
  <c r="U41" i="14"/>
  <c r="B37" i="18" s="1"/>
  <c r="U56" i="14"/>
  <c r="B52" i="18" s="1"/>
  <c r="AI56" i="14"/>
  <c r="K56" i="14" s="1"/>
  <c r="U46" i="14"/>
  <c r="B42" i="18" s="1"/>
  <c r="AI46" i="14"/>
  <c r="K46" i="14" s="1"/>
  <c r="AI96" i="14"/>
  <c r="K96" i="14" s="1"/>
  <c r="U96" i="14"/>
  <c r="B92" i="18" s="1"/>
  <c r="R28" i="14"/>
  <c r="T28" i="14" s="1"/>
  <c r="U75" i="14"/>
  <c r="B71" i="18" s="1"/>
  <c r="AI75" i="14"/>
  <c r="K75" i="14" s="1"/>
  <c r="U80" i="14"/>
  <c r="B76" i="18" s="1"/>
  <c r="AI80" i="14"/>
  <c r="K80" i="14" s="1"/>
  <c r="AI47" i="14"/>
  <c r="K47" i="14" s="1"/>
  <c r="U47" i="14"/>
  <c r="B43" i="18" s="1"/>
  <c r="U100" i="14"/>
  <c r="B96" i="18" s="1"/>
  <c r="AI100" i="14"/>
  <c r="K100" i="14" s="1"/>
  <c r="U39" i="14"/>
  <c r="B35" i="18" s="1"/>
  <c r="AI39" i="14"/>
  <c r="K39" i="14" s="1"/>
  <c r="AF11" i="17"/>
  <c r="AG11" i="17" s="1"/>
  <c r="T11" i="17"/>
  <c r="AE17" i="17"/>
  <c r="J17" i="17" s="1"/>
  <c r="Q20" i="17"/>
  <c r="S20" i="17" s="1"/>
  <c r="AE16" i="17"/>
  <c r="J16" i="17" s="1"/>
  <c r="AE19" i="17"/>
  <c r="J19" i="17" s="1"/>
  <c r="AE24" i="17"/>
  <c r="J24" i="17" s="1"/>
  <c r="N5" i="17"/>
  <c r="Q18" i="17"/>
  <c r="S18" i="17" s="1"/>
  <c r="AF26" i="17"/>
  <c r="AG26" i="17" s="1"/>
  <c r="AF29" i="17"/>
  <c r="AG29" i="17" s="1"/>
  <c r="AF21" i="17"/>
  <c r="AG21" i="17" s="1"/>
  <c r="AF10" i="17"/>
  <c r="AG10" i="17" s="1"/>
  <c r="AF22" i="17"/>
  <c r="AG22" i="17" s="1"/>
  <c r="R33" i="2"/>
  <c r="R13" i="2"/>
  <c r="R24" i="2"/>
  <c r="AD27" i="2"/>
  <c r="AE27" i="2" s="1"/>
  <c r="R17" i="2"/>
  <c r="R19" i="2"/>
  <c r="AD20" i="2"/>
  <c r="AE20" i="2" s="1"/>
  <c r="AD29" i="2"/>
  <c r="AE29" i="2" s="1"/>
  <c r="R12" i="2"/>
  <c r="O42" i="2"/>
  <c r="R22" i="2"/>
  <c r="R23" i="2"/>
  <c r="AD15" i="2"/>
  <c r="AE15" i="2" s="1"/>
  <c r="AD25" i="2"/>
  <c r="AE25" i="2" s="1"/>
  <c r="R28" i="2"/>
  <c r="R26" i="2"/>
  <c r="R10" i="2"/>
  <c r="AC10" i="2"/>
  <c r="AD10" i="2" s="1"/>
  <c r="AE10" i="2" s="1"/>
  <c r="I3" i="2"/>
  <c r="R14" i="2"/>
  <c r="O43" i="2"/>
  <c r="R18" i="2"/>
  <c r="R11" i="2"/>
  <c r="R31" i="2"/>
  <c r="AC11" i="2"/>
  <c r="AD11" i="2" s="1"/>
  <c r="AE11" i="2" s="1"/>
  <c r="K6" i="2"/>
  <c r="R16" i="2"/>
  <c r="O44" i="2"/>
  <c r="R30" i="2"/>
  <c r="AD21" i="2"/>
  <c r="AE21" i="2" s="1"/>
  <c r="T44" i="2"/>
  <c r="U44" i="2" s="1"/>
  <c r="J14" i="2"/>
  <c r="AD14" i="2"/>
  <c r="AE14" i="2" s="1"/>
  <c r="T43" i="2"/>
  <c r="U43" i="2" s="1"/>
  <c r="J13" i="2"/>
  <c r="T42" i="2"/>
  <c r="U42" i="2" s="1"/>
  <c r="J12" i="2"/>
  <c r="C8" i="21" l="1"/>
  <c r="AK12" i="20"/>
  <c r="AI154" i="14"/>
  <c r="K154" i="14" s="1"/>
  <c r="C150" i="18"/>
  <c r="F150" i="18" s="1"/>
  <c r="AJ152" i="14"/>
  <c r="AL152" i="14" s="1"/>
  <c r="AJ155" i="14"/>
  <c r="AK155" i="14" s="1"/>
  <c r="J5" i="20"/>
  <c r="J6" i="20" s="1"/>
  <c r="F138" i="18"/>
  <c r="C10" i="21"/>
  <c r="D10" i="21"/>
  <c r="E10" i="21" s="1"/>
  <c r="F56" i="18"/>
  <c r="D145" i="18"/>
  <c r="E145" i="18" s="1"/>
  <c r="D124" i="18"/>
  <c r="E124" i="18" s="1"/>
  <c r="D141" i="18"/>
  <c r="E141" i="18" s="1"/>
  <c r="D147" i="18"/>
  <c r="E147" i="18" s="1"/>
  <c r="D151" i="18"/>
  <c r="E151" i="18" s="1"/>
  <c r="D148" i="18"/>
  <c r="E148" i="18" s="1"/>
  <c r="D140" i="18"/>
  <c r="E140" i="18" s="1"/>
  <c r="D142" i="18"/>
  <c r="E142" i="18" s="1"/>
  <c r="C96" i="18"/>
  <c r="D96" i="18"/>
  <c r="E96" i="18" s="1"/>
  <c r="C92" i="18"/>
  <c r="D92" i="18"/>
  <c r="E92" i="18" s="1"/>
  <c r="C54" i="18"/>
  <c r="D54" i="18"/>
  <c r="E54" i="18" s="1"/>
  <c r="C130" i="18"/>
  <c r="D130" i="18"/>
  <c r="E130" i="18" s="1"/>
  <c r="C52" i="18"/>
  <c r="D52" i="18"/>
  <c r="E52" i="18" s="1"/>
  <c r="C90" i="18"/>
  <c r="D90" i="18"/>
  <c r="E90" i="18" s="1"/>
  <c r="C36" i="18"/>
  <c r="D36" i="18"/>
  <c r="E36" i="18" s="1"/>
  <c r="C135" i="18"/>
  <c r="D135" i="18"/>
  <c r="E135" i="18" s="1"/>
  <c r="C35" i="18"/>
  <c r="D35" i="18"/>
  <c r="E35" i="18" s="1"/>
  <c r="C38" i="18"/>
  <c r="D38" i="18"/>
  <c r="E38" i="18" s="1"/>
  <c r="C25" i="18"/>
  <c r="D25" i="18"/>
  <c r="E25" i="18" s="1"/>
  <c r="C127" i="18"/>
  <c r="D127" i="18"/>
  <c r="E127" i="18" s="1"/>
  <c r="C128" i="18"/>
  <c r="D128" i="18"/>
  <c r="E128" i="18" s="1"/>
  <c r="C76" i="18"/>
  <c r="D76" i="18"/>
  <c r="E76" i="18" s="1"/>
  <c r="C69" i="18"/>
  <c r="D69" i="18"/>
  <c r="E69" i="18" s="1"/>
  <c r="C132" i="18"/>
  <c r="D132" i="18"/>
  <c r="E132" i="18" s="1"/>
  <c r="C134" i="18"/>
  <c r="D134" i="18"/>
  <c r="E134" i="18" s="1"/>
  <c r="C43" i="18"/>
  <c r="D43" i="18"/>
  <c r="E43" i="18" s="1"/>
  <c r="C104" i="18"/>
  <c r="D104" i="18"/>
  <c r="E104" i="18" s="1"/>
  <c r="C112" i="18"/>
  <c r="D112" i="18"/>
  <c r="E112" i="18" s="1"/>
  <c r="C125" i="18"/>
  <c r="D125" i="18"/>
  <c r="E125" i="18" s="1"/>
  <c r="C71" i="18"/>
  <c r="D71" i="18"/>
  <c r="E71" i="18" s="1"/>
  <c r="C37" i="18"/>
  <c r="D37" i="18"/>
  <c r="E37" i="18" s="1"/>
  <c r="C42" i="18"/>
  <c r="D42" i="18"/>
  <c r="E42" i="18" s="1"/>
  <c r="C108" i="18"/>
  <c r="D108" i="18"/>
  <c r="E108" i="18" s="1"/>
  <c r="C84" i="18"/>
  <c r="D84" i="18"/>
  <c r="E84" i="18" s="1"/>
  <c r="C50" i="18"/>
  <c r="D50" i="18"/>
  <c r="E50" i="18" s="1"/>
  <c r="C55" i="18"/>
  <c r="D55" i="18"/>
  <c r="E55" i="18" s="1"/>
  <c r="C136" i="18"/>
  <c r="D136" i="18"/>
  <c r="E136" i="18" s="1"/>
  <c r="C148" i="18"/>
  <c r="U153" i="14"/>
  <c r="B149" i="18" s="1"/>
  <c r="AI153" i="14"/>
  <c r="K153" i="14" s="1"/>
  <c r="C151" i="18"/>
  <c r="C145" i="18"/>
  <c r="U147" i="14"/>
  <c r="B143" i="18" s="1"/>
  <c r="U150" i="14"/>
  <c r="B146" i="18" s="1"/>
  <c r="K150" i="14"/>
  <c r="AJ150" i="14"/>
  <c r="AK150" i="14" s="1"/>
  <c r="AI151" i="14"/>
  <c r="K151" i="14" s="1"/>
  <c r="AI148" i="14"/>
  <c r="K148" i="14" s="1"/>
  <c r="C142" i="18"/>
  <c r="U148" i="14"/>
  <c r="B144" i="18" s="1"/>
  <c r="AK146" i="14"/>
  <c r="AK147" i="14"/>
  <c r="AJ145" i="14"/>
  <c r="C147" i="18"/>
  <c r="C140" i="18"/>
  <c r="C141" i="18"/>
  <c r="AJ144" i="14"/>
  <c r="AL149" i="14"/>
  <c r="AK149" i="14"/>
  <c r="F46" i="21"/>
  <c r="F8" i="21"/>
  <c r="F42" i="21"/>
  <c r="F54" i="21"/>
  <c r="F74" i="21"/>
  <c r="C124" i="18"/>
  <c r="AJ138" i="14"/>
  <c r="AK138" i="14" s="1"/>
  <c r="AI140" i="14"/>
  <c r="K140" i="14" s="1"/>
  <c r="AJ142" i="14"/>
  <c r="AK142" i="14" s="1"/>
  <c r="U137" i="14"/>
  <c r="B133" i="18" s="1"/>
  <c r="AJ130" i="14"/>
  <c r="AL130" i="14" s="1"/>
  <c r="U130" i="14"/>
  <c r="B126" i="18" s="1"/>
  <c r="AK139" i="14"/>
  <c r="AI131" i="14"/>
  <c r="K131" i="14" s="1"/>
  <c r="AI128" i="14"/>
  <c r="K128" i="14" s="1"/>
  <c r="AI132" i="14"/>
  <c r="AJ136" i="14"/>
  <c r="AK136" i="14" s="1"/>
  <c r="AJ134" i="14"/>
  <c r="AL134" i="14" s="1"/>
  <c r="AI133" i="14"/>
  <c r="K133" i="14" s="1"/>
  <c r="U133" i="14"/>
  <c r="B129" i="18" s="1"/>
  <c r="U141" i="14"/>
  <c r="B137" i="18" s="1"/>
  <c r="AI141" i="14"/>
  <c r="K141" i="14" s="1"/>
  <c r="U143" i="14"/>
  <c r="B139" i="18" s="1"/>
  <c r="AI143" i="14"/>
  <c r="K143" i="14" s="1"/>
  <c r="AJ137" i="14"/>
  <c r="U135" i="14"/>
  <c r="B131" i="18" s="1"/>
  <c r="AI135" i="14"/>
  <c r="K135" i="14" s="1"/>
  <c r="U123" i="19"/>
  <c r="AK81" i="19"/>
  <c r="AL81" i="19" s="1"/>
  <c r="AK129" i="14"/>
  <c r="AL94" i="19"/>
  <c r="U113" i="19"/>
  <c r="U75" i="19"/>
  <c r="AJ23" i="19"/>
  <c r="K23" i="19" s="1"/>
  <c r="U87" i="19"/>
  <c r="U19" i="19"/>
  <c r="U85" i="19"/>
  <c r="U117" i="19"/>
  <c r="AK69" i="19"/>
  <c r="AL69" i="19" s="1"/>
  <c r="U78" i="19"/>
  <c r="AJ67" i="19"/>
  <c r="K67" i="19" s="1"/>
  <c r="AJ61" i="19"/>
  <c r="U40" i="19"/>
  <c r="AK20" i="20"/>
  <c r="AK22" i="19"/>
  <c r="AM22" i="19" s="1"/>
  <c r="AM50" i="19"/>
  <c r="AL83" i="19"/>
  <c r="AJ56" i="19"/>
  <c r="K56" i="19" s="1"/>
  <c r="AK74" i="19"/>
  <c r="AL74" i="19" s="1"/>
  <c r="AL105" i="19"/>
  <c r="AL53" i="19"/>
  <c r="T119" i="19"/>
  <c r="AJ31" i="19"/>
  <c r="K31" i="19" s="1"/>
  <c r="AK10" i="19"/>
  <c r="AL10" i="19" s="1"/>
  <c r="Q29" i="19"/>
  <c r="R29" i="19" s="1"/>
  <c r="T29" i="19" s="1"/>
  <c r="U29" i="19" s="1"/>
  <c r="U60" i="19"/>
  <c r="AJ43" i="19"/>
  <c r="K43" i="19" s="1"/>
  <c r="U128" i="19"/>
  <c r="AJ33" i="19"/>
  <c r="K33" i="19" s="1"/>
  <c r="AK78" i="19"/>
  <c r="AM78" i="19" s="1"/>
  <c r="AJ57" i="19"/>
  <c r="K57" i="19" s="1"/>
  <c r="AL96" i="19"/>
  <c r="U76" i="19"/>
  <c r="U103" i="19"/>
  <c r="AL84" i="19"/>
  <c r="AK77" i="19"/>
  <c r="AL77" i="19" s="1"/>
  <c r="AJ42" i="19"/>
  <c r="K42" i="19" s="1"/>
  <c r="U91" i="19"/>
  <c r="AJ86" i="19"/>
  <c r="K86" i="19" s="1"/>
  <c r="AK23" i="19"/>
  <c r="AK85" i="19"/>
  <c r="AL85" i="19" s="1"/>
  <c r="AK128" i="19"/>
  <c r="AM128" i="19" s="1"/>
  <c r="U88" i="19"/>
  <c r="AK39" i="19"/>
  <c r="AL39" i="19" s="1"/>
  <c r="AJ89" i="19"/>
  <c r="K89" i="19" s="1"/>
  <c r="U121" i="19"/>
  <c r="AJ121" i="19"/>
  <c r="U74" i="19"/>
  <c r="AJ120" i="19"/>
  <c r="K120" i="19" s="1"/>
  <c r="U114" i="19"/>
  <c r="AK122" i="19"/>
  <c r="AL122" i="19" s="1"/>
  <c r="AK30" i="19"/>
  <c r="U112" i="19"/>
  <c r="AJ15" i="19"/>
  <c r="K15" i="19" s="1"/>
  <c r="U111" i="19"/>
  <c r="AL84" i="20"/>
  <c r="U38" i="19"/>
  <c r="AK109" i="19"/>
  <c r="AK67" i="19"/>
  <c r="AL67" i="19" s="1"/>
  <c r="AK40" i="19"/>
  <c r="AL40" i="19" s="1"/>
  <c r="AL16" i="20"/>
  <c r="AJ99" i="19"/>
  <c r="K99" i="19" s="1"/>
  <c r="AJ92" i="19"/>
  <c r="K92" i="19" s="1"/>
  <c r="AK118" i="19"/>
  <c r="AK20" i="19"/>
  <c r="AM20" i="19" s="1"/>
  <c r="AK62" i="19"/>
  <c r="AL62" i="19" s="1"/>
  <c r="AK60" i="19"/>
  <c r="AM60" i="19" s="1"/>
  <c r="K58" i="19"/>
  <c r="AK58" i="19"/>
  <c r="AJ106" i="19"/>
  <c r="K106" i="19" s="1"/>
  <c r="U13" i="19"/>
  <c r="AJ100" i="19"/>
  <c r="K100" i="19" s="1"/>
  <c r="AL68" i="19"/>
  <c r="U104" i="19"/>
  <c r="AJ82" i="19"/>
  <c r="K82" i="19" s="1"/>
  <c r="U34" i="19"/>
  <c r="AJ34" i="19"/>
  <c r="K34" i="19" s="1"/>
  <c r="AJ14" i="20"/>
  <c r="AL14" i="20" s="1"/>
  <c r="AK103" i="19"/>
  <c r="AM103" i="19" s="1"/>
  <c r="AK93" i="19"/>
  <c r="AL93" i="19" s="1"/>
  <c r="AK75" i="19"/>
  <c r="AL75" i="19" s="1"/>
  <c r="AK76" i="19"/>
  <c r="AL76" i="19" s="1"/>
  <c r="AK38" i="19"/>
  <c r="AM38" i="19" s="1"/>
  <c r="AK37" i="19"/>
  <c r="AM37" i="19" s="1"/>
  <c r="U65" i="19"/>
  <c r="AK91" i="19"/>
  <c r="AL91" i="19" s="1"/>
  <c r="AK104" i="19"/>
  <c r="AM104" i="19" s="1"/>
  <c r="AK47" i="19"/>
  <c r="AL47" i="19" s="1"/>
  <c r="AK19" i="19"/>
  <c r="AM19" i="19" s="1"/>
  <c r="AJ49" i="19"/>
  <c r="K49" i="19" s="1"/>
  <c r="U17" i="19"/>
  <c r="AJ17" i="19"/>
  <c r="K17" i="19" s="1"/>
  <c r="U44" i="19"/>
  <c r="AJ44" i="19"/>
  <c r="AK101" i="19"/>
  <c r="AM101" i="19" s="1"/>
  <c r="AK123" i="19"/>
  <c r="AL123" i="19" s="1"/>
  <c r="AK87" i="19"/>
  <c r="AM87" i="19" s="1"/>
  <c r="AJ116" i="19"/>
  <c r="K116" i="19" s="1"/>
  <c r="AK26" i="19"/>
  <c r="AL26" i="19" s="1"/>
  <c r="AK79" i="19"/>
  <c r="AM79" i="19" s="1"/>
  <c r="AJ41" i="19"/>
  <c r="K41" i="19" s="1"/>
  <c r="U41" i="19"/>
  <c r="AJ51" i="19"/>
  <c r="K51" i="19" s="1"/>
  <c r="U51" i="19"/>
  <c r="AK117" i="19"/>
  <c r="AL117" i="19" s="1"/>
  <c r="F12" i="21"/>
  <c r="AJ55" i="19"/>
  <c r="K55" i="19" s="1"/>
  <c r="U55" i="19"/>
  <c r="AJ73" i="19"/>
  <c r="K73" i="19" s="1"/>
  <c r="U73" i="19"/>
  <c r="AK112" i="19"/>
  <c r="AJ25" i="19"/>
  <c r="K25" i="19" s="1"/>
  <c r="U25" i="19"/>
  <c r="U16" i="19"/>
  <c r="AJ16" i="19"/>
  <c r="K16" i="19" s="1"/>
  <c r="AK113" i="19"/>
  <c r="U11" i="19"/>
  <c r="AJ11" i="19"/>
  <c r="K11" i="19" s="1"/>
  <c r="AJ95" i="19"/>
  <c r="K95" i="19" s="1"/>
  <c r="U95" i="19"/>
  <c r="AK18" i="19"/>
  <c r="AL107" i="19"/>
  <c r="AM107" i="19"/>
  <c r="F80" i="21"/>
  <c r="U71" i="19"/>
  <c r="AJ71" i="19"/>
  <c r="K71" i="19" s="1"/>
  <c r="U27" i="19"/>
  <c r="AJ27" i="19"/>
  <c r="K27" i="19" s="1"/>
  <c r="U63" i="19"/>
  <c r="AJ63" i="19"/>
  <c r="K63" i="19" s="1"/>
  <c r="AJ32" i="19"/>
  <c r="K32" i="19" s="1"/>
  <c r="U32" i="19"/>
  <c r="U102" i="19"/>
  <c r="AJ102" i="19"/>
  <c r="K102" i="19" s="1"/>
  <c r="AK70" i="19"/>
  <c r="U35" i="19"/>
  <c r="AJ35" i="19"/>
  <c r="K35" i="19" s="1"/>
  <c r="U24" i="19"/>
  <c r="AJ24" i="19"/>
  <c r="K24" i="19" s="1"/>
  <c r="U12" i="19"/>
  <c r="AJ12" i="19"/>
  <c r="K12" i="19" s="1"/>
  <c r="R9" i="19"/>
  <c r="AJ66" i="19"/>
  <c r="K66" i="19" s="1"/>
  <c r="U66" i="19"/>
  <c r="AJ54" i="19"/>
  <c r="K54" i="19" s="1"/>
  <c r="U54" i="19"/>
  <c r="AJ64" i="19"/>
  <c r="K64" i="19" s="1"/>
  <c r="U64" i="19"/>
  <c r="AK111" i="19"/>
  <c r="AJ80" i="19"/>
  <c r="K80" i="19" s="1"/>
  <c r="U80" i="19"/>
  <c r="U48" i="19"/>
  <c r="AJ48" i="19"/>
  <c r="K48" i="19" s="1"/>
  <c r="AK13" i="19"/>
  <c r="AK90" i="19"/>
  <c r="AK114" i="19"/>
  <c r="AK52" i="19"/>
  <c r="AJ21" i="19"/>
  <c r="K21" i="19" s="1"/>
  <c r="U21" i="19"/>
  <c r="AK36" i="19"/>
  <c r="AJ98" i="19"/>
  <c r="K98" i="19" s="1"/>
  <c r="U98" i="19"/>
  <c r="K124" i="19"/>
  <c r="AK124" i="19"/>
  <c r="U125" i="19"/>
  <c r="AJ125" i="19"/>
  <c r="K125" i="19" s="1"/>
  <c r="K108" i="19"/>
  <c r="AK108" i="19"/>
  <c r="U115" i="19"/>
  <c r="AJ115" i="19"/>
  <c r="K115" i="19" s="1"/>
  <c r="K110" i="19"/>
  <c r="AK110" i="19"/>
  <c r="AJ28" i="19"/>
  <c r="K28" i="19" s="1"/>
  <c r="U28" i="19"/>
  <c r="AJ14" i="19"/>
  <c r="K14" i="19" s="1"/>
  <c r="U14" i="19"/>
  <c r="AK59" i="19"/>
  <c r="AK65" i="19"/>
  <c r="AK45" i="19"/>
  <c r="AK88" i="19"/>
  <c r="AK46" i="19"/>
  <c r="U97" i="19"/>
  <c r="AJ97" i="19"/>
  <c r="K97" i="19" s="1"/>
  <c r="U57" i="14"/>
  <c r="B53" i="18" s="1"/>
  <c r="AJ60" i="14"/>
  <c r="AL60" i="14" s="1"/>
  <c r="AJ57" i="14"/>
  <c r="AI58" i="14"/>
  <c r="K58" i="14" s="1"/>
  <c r="AJ59" i="14"/>
  <c r="AK59" i="14" s="1"/>
  <c r="AI54" i="14"/>
  <c r="K54" i="14" s="1"/>
  <c r="AI40" i="14"/>
  <c r="K40" i="14" s="1"/>
  <c r="T64" i="14"/>
  <c r="R62" i="14"/>
  <c r="T62" i="14" s="1"/>
  <c r="R63" i="14"/>
  <c r="T63" i="14" s="1"/>
  <c r="T61" i="14"/>
  <c r="U61" i="14" s="1"/>
  <c r="B57" i="18" s="1"/>
  <c r="T117" i="14"/>
  <c r="AI117" i="14" s="1"/>
  <c r="K117" i="14" s="1"/>
  <c r="AJ116" i="14"/>
  <c r="AI113" i="14"/>
  <c r="K113" i="14" s="1"/>
  <c r="U113" i="14"/>
  <c r="B109" i="18" s="1"/>
  <c r="U115" i="14"/>
  <c r="B111" i="18" s="1"/>
  <c r="AI115" i="14"/>
  <c r="K115" i="14" s="1"/>
  <c r="R114" i="14"/>
  <c r="T114" i="14" s="1"/>
  <c r="AI122" i="14"/>
  <c r="K122" i="14" s="1"/>
  <c r="AI118" i="14"/>
  <c r="AJ118" i="14" s="1"/>
  <c r="AI120" i="14"/>
  <c r="AJ120" i="14" s="1"/>
  <c r="AI126" i="14"/>
  <c r="K126" i="14" s="1"/>
  <c r="AI127" i="14"/>
  <c r="K127" i="14" s="1"/>
  <c r="AI125" i="14"/>
  <c r="K125" i="14" s="1"/>
  <c r="AI124" i="14"/>
  <c r="K124" i="14" s="1"/>
  <c r="AI121" i="14"/>
  <c r="AJ121" i="14" s="1"/>
  <c r="AI119" i="14"/>
  <c r="K119" i="14" s="1"/>
  <c r="T35" i="14"/>
  <c r="AI35" i="14" s="1"/>
  <c r="R34" i="14"/>
  <c r="T34" i="14" s="1"/>
  <c r="R33" i="14"/>
  <c r="T33" i="14" s="1"/>
  <c r="U36" i="14"/>
  <c r="B32" i="18" s="1"/>
  <c r="AI36" i="14"/>
  <c r="K36" i="14" s="1"/>
  <c r="AJ88" i="14"/>
  <c r="AK88" i="14" s="1"/>
  <c r="AI89" i="14"/>
  <c r="AJ89" i="14" s="1"/>
  <c r="U87" i="14"/>
  <c r="B83" i="18" s="1"/>
  <c r="AI87" i="14"/>
  <c r="K87" i="14" s="1"/>
  <c r="U85" i="14"/>
  <c r="B81" i="18" s="1"/>
  <c r="AI85" i="14"/>
  <c r="K85" i="14" s="1"/>
  <c r="U86" i="14"/>
  <c r="B82" i="18" s="1"/>
  <c r="AI86" i="14"/>
  <c r="K86" i="14" s="1"/>
  <c r="AI94" i="14"/>
  <c r="K94" i="14" s="1"/>
  <c r="AI52" i="14"/>
  <c r="K52" i="14" s="1"/>
  <c r="AI65" i="14"/>
  <c r="K65" i="14" s="1"/>
  <c r="U38" i="14"/>
  <c r="B34" i="18" s="1"/>
  <c r="AI69" i="14"/>
  <c r="K69" i="14" s="1"/>
  <c r="AI102" i="14"/>
  <c r="K102" i="14" s="1"/>
  <c r="U93" i="14"/>
  <c r="B89" i="18" s="1"/>
  <c r="AI81" i="14"/>
  <c r="K81" i="14" s="1"/>
  <c r="U74" i="14"/>
  <c r="B70" i="18" s="1"/>
  <c r="U125" i="14"/>
  <c r="B121" i="18" s="1"/>
  <c r="AI82" i="14"/>
  <c r="K82" i="14" s="1"/>
  <c r="AI72" i="14"/>
  <c r="K72" i="14" s="1"/>
  <c r="AI108" i="14"/>
  <c r="U105" i="14"/>
  <c r="B101" i="18" s="1"/>
  <c r="U104" i="14"/>
  <c r="B100" i="18" s="1"/>
  <c r="U71" i="14"/>
  <c r="B67" i="18" s="1"/>
  <c r="U31" i="14"/>
  <c r="B27" i="18" s="1"/>
  <c r="AI92" i="14"/>
  <c r="K92" i="14" s="1"/>
  <c r="U66" i="14"/>
  <c r="B62" i="18" s="1"/>
  <c r="U124" i="14"/>
  <c r="B120" i="18" s="1"/>
  <c r="AI45" i="14"/>
  <c r="K45" i="14" s="1"/>
  <c r="AI95" i="14"/>
  <c r="K95" i="14" s="1"/>
  <c r="U45" i="14"/>
  <c r="B41" i="18" s="1"/>
  <c r="U121" i="14"/>
  <c r="B117" i="18" s="1"/>
  <c r="U101" i="14"/>
  <c r="B97" i="18" s="1"/>
  <c r="U89" i="14"/>
  <c r="B85" i="18" s="1"/>
  <c r="AI79" i="14"/>
  <c r="K79" i="14" s="1"/>
  <c r="AI37" i="14"/>
  <c r="K37" i="14" s="1"/>
  <c r="AI109" i="14"/>
  <c r="K109" i="14" s="1"/>
  <c r="AI51" i="14"/>
  <c r="K51" i="14" s="1"/>
  <c r="U76" i="14"/>
  <c r="B72" i="18" s="1"/>
  <c r="AI83" i="14"/>
  <c r="K83" i="14" s="1"/>
  <c r="U68" i="14"/>
  <c r="B64" i="18" s="1"/>
  <c r="AI84" i="14"/>
  <c r="K84" i="14" s="1"/>
  <c r="U103" i="14"/>
  <c r="B99" i="18" s="1"/>
  <c r="U30" i="14"/>
  <c r="B26" i="18" s="1"/>
  <c r="U119" i="14"/>
  <c r="B115" i="18" s="1"/>
  <c r="AI110" i="14"/>
  <c r="K110" i="14" s="1"/>
  <c r="U50" i="14"/>
  <c r="B46" i="18" s="1"/>
  <c r="AI99" i="14"/>
  <c r="K99" i="14" s="1"/>
  <c r="U27" i="14"/>
  <c r="B23" i="18" s="1"/>
  <c r="U72" i="14"/>
  <c r="B68" i="18" s="1"/>
  <c r="U81" i="14"/>
  <c r="B77" i="18" s="1"/>
  <c r="AI76" i="14"/>
  <c r="K76" i="14" s="1"/>
  <c r="AI101" i="14"/>
  <c r="K101" i="14" s="1"/>
  <c r="U102" i="14"/>
  <c r="B98" i="18" s="1"/>
  <c r="AI103" i="14"/>
  <c r="K103" i="14" s="1"/>
  <c r="AI105" i="14"/>
  <c r="K105" i="14" s="1"/>
  <c r="U65" i="14"/>
  <c r="B61" i="18" s="1"/>
  <c r="AI30" i="14"/>
  <c r="K30" i="14" s="1"/>
  <c r="AI74" i="14"/>
  <c r="K74" i="14" s="1"/>
  <c r="U51" i="14"/>
  <c r="B47" i="18" s="1"/>
  <c r="AI66" i="14"/>
  <c r="K66" i="14" s="1"/>
  <c r="U109" i="14"/>
  <c r="B105" i="18" s="1"/>
  <c r="U122" i="14"/>
  <c r="B118" i="18" s="1"/>
  <c r="U92" i="14"/>
  <c r="B88" i="18" s="1"/>
  <c r="AI68" i="14"/>
  <c r="K68" i="14" s="1"/>
  <c r="U37" i="14"/>
  <c r="B33" i="18" s="1"/>
  <c r="AI93" i="14"/>
  <c r="K93" i="14" s="1"/>
  <c r="U84" i="14"/>
  <c r="B80" i="18" s="1"/>
  <c r="U127" i="14"/>
  <c r="B123" i="18" s="1"/>
  <c r="U82" i="14"/>
  <c r="B78" i="18" s="1"/>
  <c r="U69" i="14"/>
  <c r="B65" i="18" s="1"/>
  <c r="U95" i="14"/>
  <c r="B91" i="18" s="1"/>
  <c r="U99" i="14"/>
  <c r="B95" i="18" s="1"/>
  <c r="U52" i="14"/>
  <c r="B48" i="18" s="1"/>
  <c r="T123" i="14"/>
  <c r="AI27" i="14"/>
  <c r="U79" i="14"/>
  <c r="B75" i="18" s="1"/>
  <c r="U120" i="14"/>
  <c r="B116" i="18" s="1"/>
  <c r="AI31" i="14"/>
  <c r="K31" i="14" s="1"/>
  <c r="U118" i="14"/>
  <c r="B114" i="18" s="1"/>
  <c r="AI97" i="14"/>
  <c r="K97" i="14" s="1"/>
  <c r="U97" i="14"/>
  <c r="B93" i="18" s="1"/>
  <c r="AI107" i="14"/>
  <c r="U107" i="14"/>
  <c r="B103" i="18" s="1"/>
  <c r="AI50" i="14"/>
  <c r="K50" i="14" s="1"/>
  <c r="U126" i="14"/>
  <c r="B122" i="18" s="1"/>
  <c r="AI71" i="14"/>
  <c r="K71" i="14" s="1"/>
  <c r="U110" i="14"/>
  <c r="B106" i="18" s="1"/>
  <c r="AI91" i="14"/>
  <c r="U91" i="14"/>
  <c r="B87" i="18" s="1"/>
  <c r="U83" i="14"/>
  <c r="B79" i="18" s="1"/>
  <c r="AI43" i="14"/>
  <c r="K43" i="14" s="1"/>
  <c r="U43" i="14"/>
  <c r="B39" i="18" s="1"/>
  <c r="U98" i="14"/>
  <c r="B94" i="18" s="1"/>
  <c r="AI98" i="14"/>
  <c r="AI106" i="14"/>
  <c r="U106" i="14"/>
  <c r="B102" i="18" s="1"/>
  <c r="K38" i="14"/>
  <c r="AJ38" i="14"/>
  <c r="AJ112" i="14"/>
  <c r="AK112" i="14" s="1"/>
  <c r="AJ29" i="14"/>
  <c r="AK29" i="14" s="1"/>
  <c r="AJ96" i="14"/>
  <c r="AL96" i="14" s="1"/>
  <c r="AJ41" i="14"/>
  <c r="AL41" i="14" s="1"/>
  <c r="AJ104" i="14"/>
  <c r="AK104" i="14" s="1"/>
  <c r="AJ46" i="14"/>
  <c r="AL46" i="14" s="1"/>
  <c r="AJ56" i="14"/>
  <c r="AK56" i="14" s="1"/>
  <c r="AJ39" i="14"/>
  <c r="AK39" i="14" s="1"/>
  <c r="AI90" i="14"/>
  <c r="K90" i="14" s="1"/>
  <c r="U90" i="14"/>
  <c r="B86" i="18" s="1"/>
  <c r="U111" i="14"/>
  <c r="B107" i="18" s="1"/>
  <c r="AI111" i="14"/>
  <c r="K111" i="14" s="1"/>
  <c r="U44" i="14"/>
  <c r="B40" i="18" s="1"/>
  <c r="AI44" i="14"/>
  <c r="K44" i="14" s="1"/>
  <c r="U24" i="14"/>
  <c r="B20" i="18" s="1"/>
  <c r="AI24" i="14"/>
  <c r="K24" i="14" s="1"/>
  <c r="U78" i="14"/>
  <c r="B74" i="18" s="1"/>
  <c r="AI78" i="14"/>
  <c r="K78" i="14" s="1"/>
  <c r="U49" i="14"/>
  <c r="B45" i="18" s="1"/>
  <c r="AI49" i="14"/>
  <c r="K49" i="14" s="1"/>
  <c r="AI70" i="14"/>
  <c r="K70" i="14" s="1"/>
  <c r="U70" i="14"/>
  <c r="B66" i="18" s="1"/>
  <c r="U32" i="14"/>
  <c r="B28" i="18" s="1"/>
  <c r="AI32" i="14"/>
  <c r="K32" i="14" s="1"/>
  <c r="AJ100" i="14"/>
  <c r="AJ80" i="14"/>
  <c r="AJ75" i="14"/>
  <c r="AJ73" i="14"/>
  <c r="AI67" i="14"/>
  <c r="K67" i="14" s="1"/>
  <c r="U67" i="14"/>
  <c r="B63" i="18" s="1"/>
  <c r="AI55" i="14"/>
  <c r="K55" i="14" s="1"/>
  <c r="U55" i="14"/>
  <c r="B51" i="18" s="1"/>
  <c r="AJ47" i="14"/>
  <c r="U53" i="14"/>
  <c r="B49" i="18" s="1"/>
  <c r="AI53" i="14"/>
  <c r="K53" i="14" s="1"/>
  <c r="AI77" i="14"/>
  <c r="K77" i="14" s="1"/>
  <c r="U77" i="14"/>
  <c r="B73" i="18" s="1"/>
  <c r="AI25" i="14"/>
  <c r="K25" i="14" s="1"/>
  <c r="U25" i="14"/>
  <c r="B21" i="18" s="1"/>
  <c r="U48" i="14"/>
  <c r="B44" i="18" s="1"/>
  <c r="AI48" i="14"/>
  <c r="K48" i="14" s="1"/>
  <c r="U28" i="14"/>
  <c r="B24" i="18" s="1"/>
  <c r="AI28" i="14"/>
  <c r="K28" i="14" s="1"/>
  <c r="AJ42" i="14"/>
  <c r="AF16" i="17"/>
  <c r="AG16" i="17" s="1"/>
  <c r="AF17" i="17"/>
  <c r="AG17" i="17" s="1"/>
  <c r="T20" i="17"/>
  <c r="AE20" i="17"/>
  <c r="AF19" i="17"/>
  <c r="AG19" i="17" s="1"/>
  <c r="AF24" i="17"/>
  <c r="AG24" i="17" s="1"/>
  <c r="AE18" i="17"/>
  <c r="J18" i="17" s="1"/>
  <c r="T18" i="17"/>
  <c r="L6" i="17"/>
  <c r="I3" i="17"/>
  <c r="P5" i="17" s="1"/>
  <c r="V43" i="2"/>
  <c r="V42" i="2"/>
  <c r="J10" i="2"/>
  <c r="J11" i="2"/>
  <c r="T41" i="2"/>
  <c r="U41" i="2" s="1"/>
  <c r="V41" i="2" s="1"/>
  <c r="T40" i="2"/>
  <c r="U40" i="2" s="1"/>
  <c r="V40" i="2" s="1"/>
  <c r="O45" i="2"/>
  <c r="V44" i="2"/>
  <c r="AJ154" i="14" l="1"/>
  <c r="AK152" i="14"/>
  <c r="AL155" i="14"/>
  <c r="F148" i="18"/>
  <c r="F124" i="18"/>
  <c r="F142" i="18"/>
  <c r="F151" i="18"/>
  <c r="F147" i="18"/>
  <c r="AL138" i="14"/>
  <c r="F145" i="18"/>
  <c r="F128" i="18"/>
  <c r="F25" i="18"/>
  <c r="F35" i="18"/>
  <c r="F36" i="18"/>
  <c r="F52" i="18"/>
  <c r="F54" i="18"/>
  <c r="F96" i="18"/>
  <c r="AK154" i="14"/>
  <c r="AL154" i="14"/>
  <c r="F141" i="18"/>
  <c r="F140" i="18"/>
  <c r="F127" i="18"/>
  <c r="F38" i="18"/>
  <c r="F130" i="18"/>
  <c r="F92" i="18"/>
  <c r="D133" i="18"/>
  <c r="E133" i="18" s="1"/>
  <c r="F125" i="18"/>
  <c r="F104" i="18"/>
  <c r="F134" i="18"/>
  <c r="F69" i="18"/>
  <c r="D146" i="18"/>
  <c r="E146" i="18" s="1"/>
  <c r="D143" i="18"/>
  <c r="E143" i="18" s="1"/>
  <c r="D149" i="18"/>
  <c r="E149" i="18" s="1"/>
  <c r="F55" i="18"/>
  <c r="F84" i="18"/>
  <c r="F42" i="18"/>
  <c r="F71" i="18"/>
  <c r="F112" i="18"/>
  <c r="F43" i="18"/>
  <c r="F132" i="18"/>
  <c r="F76" i="18"/>
  <c r="C63" i="18"/>
  <c r="D63" i="18"/>
  <c r="E63" i="18" s="1"/>
  <c r="C86" i="18"/>
  <c r="D86" i="18"/>
  <c r="E86" i="18" s="1"/>
  <c r="C39" i="18"/>
  <c r="D39" i="18"/>
  <c r="E39" i="18" s="1"/>
  <c r="C95" i="18"/>
  <c r="D95" i="18"/>
  <c r="E95" i="18" s="1"/>
  <c r="C61" i="18"/>
  <c r="D61" i="18"/>
  <c r="E61" i="18" s="1"/>
  <c r="C115" i="18"/>
  <c r="D115" i="18"/>
  <c r="E115" i="18" s="1"/>
  <c r="C97" i="18"/>
  <c r="D97" i="18"/>
  <c r="E97" i="18" s="1"/>
  <c r="C70" i="18"/>
  <c r="D70" i="18"/>
  <c r="E70" i="18" s="1"/>
  <c r="C53" i="18"/>
  <c r="D53" i="18"/>
  <c r="E53" i="18" s="1"/>
  <c r="C129" i="18"/>
  <c r="D129" i="18"/>
  <c r="E129" i="18" s="1"/>
  <c r="C74" i="18"/>
  <c r="D74" i="18"/>
  <c r="E74" i="18" s="1"/>
  <c r="C106" i="18"/>
  <c r="D106" i="18"/>
  <c r="E106" i="18" s="1"/>
  <c r="C114" i="18"/>
  <c r="D114" i="18"/>
  <c r="E114" i="18" s="1"/>
  <c r="C80" i="18"/>
  <c r="D80" i="18"/>
  <c r="E80" i="18" s="1"/>
  <c r="C47" i="18"/>
  <c r="D47" i="18"/>
  <c r="E47" i="18" s="1"/>
  <c r="C120" i="18"/>
  <c r="D120" i="18"/>
  <c r="E120" i="18" s="1"/>
  <c r="C111" i="18"/>
  <c r="D111" i="18"/>
  <c r="E111" i="18" s="1"/>
  <c r="C144" i="18"/>
  <c r="D144" i="18"/>
  <c r="E144" i="18" s="1"/>
  <c r="C79" i="18"/>
  <c r="D79" i="18"/>
  <c r="E79" i="18" s="1"/>
  <c r="C118" i="18"/>
  <c r="D118" i="18"/>
  <c r="E118" i="18" s="1"/>
  <c r="C77" i="18"/>
  <c r="D77" i="18"/>
  <c r="E77" i="18" s="1"/>
  <c r="C46" i="18"/>
  <c r="D46" i="18"/>
  <c r="E46" i="18" s="1"/>
  <c r="C99" i="18"/>
  <c r="D99" i="18"/>
  <c r="E99" i="18" s="1"/>
  <c r="C72" i="18"/>
  <c r="D72" i="18"/>
  <c r="E72" i="18" s="1"/>
  <c r="C41" i="18"/>
  <c r="D41" i="18"/>
  <c r="E41" i="18" s="1"/>
  <c r="C62" i="18"/>
  <c r="D62" i="18"/>
  <c r="E62" i="18" s="1"/>
  <c r="C100" i="18"/>
  <c r="D100" i="18"/>
  <c r="E100" i="18" s="1"/>
  <c r="C89" i="18"/>
  <c r="D89" i="18"/>
  <c r="E89" i="18" s="1"/>
  <c r="C82" i="18"/>
  <c r="D82" i="18"/>
  <c r="E82" i="18" s="1"/>
  <c r="C83" i="18"/>
  <c r="D83" i="18"/>
  <c r="E83" i="18" s="1"/>
  <c r="C32" i="18"/>
  <c r="D32" i="18"/>
  <c r="E32" i="18" s="1"/>
  <c r="C109" i="18"/>
  <c r="D109" i="18"/>
  <c r="E109" i="18" s="1"/>
  <c r="C57" i="18"/>
  <c r="D57" i="18"/>
  <c r="E57" i="18" s="1"/>
  <c r="C137" i="18"/>
  <c r="D137" i="18"/>
  <c r="E137" i="18" s="1"/>
  <c r="C24" i="18"/>
  <c r="D24" i="18"/>
  <c r="E24" i="18" s="1"/>
  <c r="C49" i="18"/>
  <c r="D49" i="18"/>
  <c r="E49" i="18" s="1"/>
  <c r="C66" i="18"/>
  <c r="D66" i="18"/>
  <c r="E66" i="18" s="1"/>
  <c r="C102" i="18"/>
  <c r="D102" i="18"/>
  <c r="E102" i="18" s="1"/>
  <c r="C75" i="18"/>
  <c r="D75" i="18"/>
  <c r="E75" i="18" s="1"/>
  <c r="C123" i="18"/>
  <c r="D123" i="18"/>
  <c r="E123" i="18" s="1"/>
  <c r="C23" i="18"/>
  <c r="D23" i="18"/>
  <c r="E23" i="18" s="1"/>
  <c r="C64" i="18"/>
  <c r="D64" i="18"/>
  <c r="E64" i="18" s="1"/>
  <c r="C27" i="18"/>
  <c r="D27" i="18"/>
  <c r="E27" i="18" s="1"/>
  <c r="C81" i="18"/>
  <c r="D81" i="18"/>
  <c r="E81" i="18" s="1"/>
  <c r="C139" i="18"/>
  <c r="D139" i="18"/>
  <c r="E139" i="18" s="1"/>
  <c r="C126" i="18"/>
  <c r="D126" i="18"/>
  <c r="E126" i="18" s="1"/>
  <c r="C73" i="18"/>
  <c r="D73" i="18"/>
  <c r="E73" i="18" s="1"/>
  <c r="C40" i="18"/>
  <c r="D40" i="18"/>
  <c r="E40" i="18" s="1"/>
  <c r="C103" i="18"/>
  <c r="D103" i="18"/>
  <c r="E103" i="18" s="1"/>
  <c r="C91" i="18"/>
  <c r="D91" i="18"/>
  <c r="E91" i="18" s="1"/>
  <c r="C88" i="18"/>
  <c r="D88" i="18"/>
  <c r="E88" i="18" s="1"/>
  <c r="C26" i="18"/>
  <c r="D26" i="18"/>
  <c r="E26" i="18" s="1"/>
  <c r="C117" i="18"/>
  <c r="D117" i="18"/>
  <c r="E117" i="18" s="1"/>
  <c r="C67" i="18"/>
  <c r="D67" i="18"/>
  <c r="E67" i="18" s="1"/>
  <c r="C34" i="18"/>
  <c r="D34" i="18"/>
  <c r="E34" i="18" s="1"/>
  <c r="C131" i="18"/>
  <c r="D131" i="18"/>
  <c r="E131" i="18" s="1"/>
  <c r="C44" i="18"/>
  <c r="D44" i="18"/>
  <c r="E44" i="18" s="1"/>
  <c r="C51" i="18"/>
  <c r="D51" i="18"/>
  <c r="E51" i="18" s="1"/>
  <c r="C65" i="18"/>
  <c r="D65" i="18"/>
  <c r="E65" i="18" s="1"/>
  <c r="C21" i="18"/>
  <c r="D21" i="18"/>
  <c r="E21" i="18" s="1"/>
  <c r="C28" i="18"/>
  <c r="D28" i="18"/>
  <c r="E28" i="18" s="1"/>
  <c r="C45" i="18"/>
  <c r="D45" i="18"/>
  <c r="E45" i="18" s="1"/>
  <c r="C20" i="18"/>
  <c r="D20" i="18"/>
  <c r="E20" i="18" s="1"/>
  <c r="C107" i="18"/>
  <c r="D107" i="18"/>
  <c r="E107" i="18" s="1"/>
  <c r="C94" i="18"/>
  <c r="D94" i="18"/>
  <c r="E94" i="18" s="1"/>
  <c r="C87" i="18"/>
  <c r="D87" i="18"/>
  <c r="E87" i="18" s="1"/>
  <c r="C122" i="18"/>
  <c r="D122" i="18"/>
  <c r="E122" i="18" s="1"/>
  <c r="C93" i="18"/>
  <c r="D93" i="18"/>
  <c r="E93" i="18" s="1"/>
  <c r="C116" i="18"/>
  <c r="D116" i="18"/>
  <c r="E116" i="18" s="1"/>
  <c r="C48" i="18"/>
  <c r="D48" i="18"/>
  <c r="E48" i="18" s="1"/>
  <c r="C78" i="18"/>
  <c r="D78" i="18"/>
  <c r="E78" i="18" s="1"/>
  <c r="C33" i="18"/>
  <c r="D33" i="18"/>
  <c r="E33" i="18" s="1"/>
  <c r="C105" i="18"/>
  <c r="D105" i="18"/>
  <c r="E105" i="18" s="1"/>
  <c r="C98" i="18"/>
  <c r="D98" i="18"/>
  <c r="E98" i="18" s="1"/>
  <c r="C68" i="18"/>
  <c r="D68" i="18"/>
  <c r="E68" i="18" s="1"/>
  <c r="C85" i="18"/>
  <c r="D85" i="18"/>
  <c r="E85" i="18" s="1"/>
  <c r="C101" i="18"/>
  <c r="D101" i="18"/>
  <c r="E101" i="18" s="1"/>
  <c r="C121" i="18"/>
  <c r="D121" i="18"/>
  <c r="E121" i="18" s="1"/>
  <c r="F136" i="18"/>
  <c r="F50" i="18"/>
  <c r="F108" i="18"/>
  <c r="F37" i="18"/>
  <c r="F135" i="18"/>
  <c r="F90" i="18"/>
  <c r="C149" i="18"/>
  <c r="AJ153" i="14"/>
  <c r="C143" i="18"/>
  <c r="AJ151" i="14"/>
  <c r="AK151" i="14" s="1"/>
  <c r="AL150" i="14"/>
  <c r="C146" i="18"/>
  <c r="AJ148" i="14"/>
  <c r="AK144" i="14"/>
  <c r="AL144" i="14"/>
  <c r="AL145" i="14"/>
  <c r="AK145" i="14"/>
  <c r="AK130" i="14"/>
  <c r="AL142" i="14"/>
  <c r="C133" i="18"/>
  <c r="AJ140" i="14"/>
  <c r="AL140" i="14" s="1"/>
  <c r="AL136" i="14"/>
  <c r="AK134" i="14"/>
  <c r="AJ131" i="14"/>
  <c r="AK131" i="14" s="1"/>
  <c r="AJ141" i="14"/>
  <c r="AK141" i="14" s="1"/>
  <c r="AJ128" i="14"/>
  <c r="AK128" i="14" s="1"/>
  <c r="AJ135" i="14"/>
  <c r="AK135" i="14" s="1"/>
  <c r="AJ143" i="14"/>
  <c r="AL143" i="14" s="1"/>
  <c r="K132" i="14"/>
  <c r="AJ132" i="14"/>
  <c r="AK137" i="14"/>
  <c r="AL137" i="14"/>
  <c r="AJ133" i="14"/>
  <c r="AM81" i="19"/>
  <c r="AK31" i="19"/>
  <c r="AM31" i="19" s="1"/>
  <c r="AL22" i="19"/>
  <c r="AM69" i="19"/>
  <c r="AM26" i="19"/>
  <c r="AL79" i="19"/>
  <c r="AL60" i="19"/>
  <c r="AM67" i="19"/>
  <c r="AK56" i="19"/>
  <c r="AL56" i="19" s="1"/>
  <c r="AM74" i="19"/>
  <c r="AK43" i="19"/>
  <c r="AM43" i="19" s="1"/>
  <c r="K61" i="19"/>
  <c r="AK61" i="19"/>
  <c r="AM10" i="19"/>
  <c r="AL104" i="19"/>
  <c r="AM77" i="19"/>
  <c r="AK14" i="20"/>
  <c r="Q3" i="19"/>
  <c r="J4" i="19" s="1"/>
  <c r="J5" i="19" s="1"/>
  <c r="J6" i="19" s="1"/>
  <c r="AJ29" i="19"/>
  <c r="K29" i="19" s="1"/>
  <c r="AK33" i="19"/>
  <c r="AM33" i="19" s="1"/>
  <c r="AM39" i="19"/>
  <c r="AK42" i="19"/>
  <c r="AM42" i="19" s="1"/>
  <c r="AK92" i="19"/>
  <c r="AL92" i="19" s="1"/>
  <c r="AM75" i="19"/>
  <c r="AJ119" i="19"/>
  <c r="U119" i="19"/>
  <c r="AL78" i="19"/>
  <c r="AM62" i="19"/>
  <c r="AK57" i="19"/>
  <c r="AM57" i="19" s="1"/>
  <c r="AM117" i="19"/>
  <c r="AM123" i="19"/>
  <c r="AL128" i="19"/>
  <c r="AK89" i="19"/>
  <c r="AM89" i="19" s="1"/>
  <c r="AL37" i="19"/>
  <c r="AM93" i="19"/>
  <c r="AK86" i="19"/>
  <c r="AM23" i="19"/>
  <c r="AL23" i="19"/>
  <c r="AM122" i="19"/>
  <c r="AM85" i="19"/>
  <c r="AL38" i="19"/>
  <c r="AM91" i="19"/>
  <c r="AK106" i="19"/>
  <c r="AL106" i="19" s="1"/>
  <c r="K121" i="19"/>
  <c r="AK121" i="19"/>
  <c r="AL20" i="19"/>
  <c r="AK15" i="19"/>
  <c r="AM15" i="19" s="1"/>
  <c r="AL101" i="19"/>
  <c r="AK120" i="19"/>
  <c r="AM120" i="19" s="1"/>
  <c r="AK82" i="19"/>
  <c r="AL82" i="19" s="1"/>
  <c r="AK99" i="19"/>
  <c r="AM30" i="19"/>
  <c r="AL30" i="19"/>
  <c r="AL118" i="19"/>
  <c r="AM118" i="19"/>
  <c r="AM47" i="19"/>
  <c r="AK100" i="19"/>
  <c r="AL100" i="19" s="1"/>
  <c r="AM40" i="19"/>
  <c r="AM109" i="19"/>
  <c r="AL109" i="19"/>
  <c r="AK71" i="19"/>
  <c r="AL71" i="19" s="1"/>
  <c r="AK115" i="19"/>
  <c r="AM115" i="19" s="1"/>
  <c r="AK34" i="19"/>
  <c r="AM34" i="19" s="1"/>
  <c r="AM58" i="19"/>
  <c r="AL58" i="19"/>
  <c r="AK102" i="19"/>
  <c r="AL102" i="19" s="1"/>
  <c r="AK11" i="19"/>
  <c r="AL11" i="19" s="1"/>
  <c r="AL103" i="19"/>
  <c r="AK66" i="19"/>
  <c r="AL66" i="19" s="1"/>
  <c r="AK98" i="19"/>
  <c r="AM98" i="19" s="1"/>
  <c r="AK21" i="19"/>
  <c r="AL21" i="19" s="1"/>
  <c r="AK54" i="19"/>
  <c r="AL54" i="19" s="1"/>
  <c r="AL87" i="19"/>
  <c r="AL19" i="19"/>
  <c r="AK97" i="19"/>
  <c r="AL97" i="19" s="1"/>
  <c r="AK24" i="19"/>
  <c r="AL24" i="19" s="1"/>
  <c r="AK63" i="19"/>
  <c r="AL63" i="19" s="1"/>
  <c r="AK16" i="19"/>
  <c r="AL16" i="19" s="1"/>
  <c r="AM76" i="19"/>
  <c r="AK41" i="19"/>
  <c r="K44" i="19"/>
  <c r="AK44" i="19"/>
  <c r="AK17" i="19"/>
  <c r="AK48" i="19"/>
  <c r="AM48" i="19" s="1"/>
  <c r="AK80" i="19"/>
  <c r="AM80" i="19" s="1"/>
  <c r="AK51" i="19"/>
  <c r="AK116" i="19"/>
  <c r="AK49" i="19"/>
  <c r="AM45" i="19"/>
  <c r="AL45" i="19"/>
  <c r="AL59" i="19"/>
  <c r="AM59" i="19"/>
  <c r="AK28" i="19"/>
  <c r="AM108" i="19"/>
  <c r="AL108" i="19"/>
  <c r="AK125" i="19"/>
  <c r="AM114" i="19"/>
  <c r="AL114" i="19"/>
  <c r="AM13" i="19"/>
  <c r="AL13" i="19"/>
  <c r="AK12" i="19"/>
  <c r="AK35" i="19"/>
  <c r="AL65" i="19"/>
  <c r="AM65" i="19"/>
  <c r="AK14" i="19"/>
  <c r="AK64" i="19"/>
  <c r="AL112" i="19"/>
  <c r="AM112" i="19"/>
  <c r="AK55" i="19"/>
  <c r="AM46" i="19"/>
  <c r="AL46" i="19"/>
  <c r="F10" i="21"/>
  <c r="AM36" i="19"/>
  <c r="AL36" i="19"/>
  <c r="AM52" i="19"/>
  <c r="AL52" i="19"/>
  <c r="AM90" i="19"/>
  <c r="AL90" i="19"/>
  <c r="T9" i="19"/>
  <c r="AM70" i="19"/>
  <c r="AL70" i="19"/>
  <c r="AK32" i="19"/>
  <c r="AK27" i="19"/>
  <c r="AL18" i="19"/>
  <c r="AM18" i="19"/>
  <c r="AK95" i="19"/>
  <c r="AM113" i="19"/>
  <c r="AL113" i="19"/>
  <c r="AK25" i="19"/>
  <c r="AK73" i="19"/>
  <c r="AM88" i="19"/>
  <c r="AL88" i="19"/>
  <c r="AM110" i="19"/>
  <c r="AL110" i="19"/>
  <c r="AM124" i="19"/>
  <c r="AL124" i="19"/>
  <c r="AM111" i="19"/>
  <c r="AL111" i="19"/>
  <c r="AK60" i="14"/>
  <c r="AL59" i="14"/>
  <c r="AL57" i="14"/>
  <c r="AK57" i="14"/>
  <c r="AJ58" i="14"/>
  <c r="AJ40" i="14"/>
  <c r="AL40" i="14" s="1"/>
  <c r="AJ54" i="14"/>
  <c r="AK54" i="14" s="1"/>
  <c r="U117" i="14"/>
  <c r="B113" i="18" s="1"/>
  <c r="U64" i="14"/>
  <c r="B60" i="18" s="1"/>
  <c r="AI64" i="14"/>
  <c r="K64" i="14" s="1"/>
  <c r="AJ127" i="14"/>
  <c r="AL127" i="14" s="1"/>
  <c r="AI63" i="14"/>
  <c r="K63" i="14" s="1"/>
  <c r="U63" i="14"/>
  <c r="B59" i="18" s="1"/>
  <c r="U62" i="14"/>
  <c r="B58" i="18" s="1"/>
  <c r="AI62" i="14"/>
  <c r="AI61" i="14"/>
  <c r="K61" i="14" s="1"/>
  <c r="K121" i="14"/>
  <c r="AJ122" i="14"/>
  <c r="AL122" i="14" s="1"/>
  <c r="K120" i="14"/>
  <c r="AJ119" i="14"/>
  <c r="AL119" i="14" s="1"/>
  <c r="AJ124" i="14"/>
  <c r="AK124" i="14" s="1"/>
  <c r="AJ117" i="14"/>
  <c r="AK117" i="14" s="1"/>
  <c r="AL116" i="14"/>
  <c r="AK116" i="14"/>
  <c r="AJ126" i="14"/>
  <c r="AK126" i="14" s="1"/>
  <c r="K118" i="14"/>
  <c r="U114" i="14"/>
  <c r="B110" i="18" s="1"/>
  <c r="AI114" i="14"/>
  <c r="K114" i="14" s="1"/>
  <c r="AJ125" i="14"/>
  <c r="AK125" i="14" s="1"/>
  <c r="AK118" i="14"/>
  <c r="AL118" i="14"/>
  <c r="AJ115" i="14"/>
  <c r="AJ113" i="14"/>
  <c r="AI123" i="14"/>
  <c r="K123" i="14" s="1"/>
  <c r="U35" i="14"/>
  <c r="B31" i="18" s="1"/>
  <c r="AJ36" i="14"/>
  <c r="AL36" i="14" s="1"/>
  <c r="U33" i="14"/>
  <c r="B29" i="18" s="1"/>
  <c r="AI33" i="14"/>
  <c r="U34" i="14"/>
  <c r="B30" i="18" s="1"/>
  <c r="AI34" i="14"/>
  <c r="K34" i="14" s="1"/>
  <c r="AJ35" i="14"/>
  <c r="K35" i="14"/>
  <c r="AJ95" i="14"/>
  <c r="AL95" i="14" s="1"/>
  <c r="AJ86" i="14"/>
  <c r="AL86" i="14" s="1"/>
  <c r="AJ87" i="14"/>
  <c r="AL87" i="14" s="1"/>
  <c r="AL88" i="14"/>
  <c r="AJ81" i="14"/>
  <c r="AL81" i="14" s="1"/>
  <c r="AJ85" i="14"/>
  <c r="AL85" i="14" s="1"/>
  <c r="K89" i="14"/>
  <c r="AJ72" i="14"/>
  <c r="AL72" i="14" s="1"/>
  <c r="AJ45" i="14"/>
  <c r="AL45" i="14" s="1"/>
  <c r="AJ52" i="14"/>
  <c r="AK52" i="14" s="1"/>
  <c r="AJ94" i="14"/>
  <c r="AK94" i="14" s="1"/>
  <c r="AK89" i="14"/>
  <c r="AL89" i="14"/>
  <c r="AJ51" i="14"/>
  <c r="AK51" i="14" s="1"/>
  <c r="AJ65" i="14"/>
  <c r="AL65" i="14" s="1"/>
  <c r="AJ110" i="14"/>
  <c r="AJ69" i="14"/>
  <c r="AL69" i="14" s="1"/>
  <c r="AJ83" i="14"/>
  <c r="AK83" i="14" s="1"/>
  <c r="AJ109" i="14"/>
  <c r="AK109" i="14" s="1"/>
  <c r="AJ37" i="14"/>
  <c r="AL37" i="14" s="1"/>
  <c r="AJ99" i="14"/>
  <c r="AL99" i="14" s="1"/>
  <c r="AJ79" i="14"/>
  <c r="AK79" i="14" s="1"/>
  <c r="AJ92" i="14"/>
  <c r="AL92" i="14" s="1"/>
  <c r="AJ82" i="14"/>
  <c r="K108" i="14"/>
  <c r="AJ108" i="14"/>
  <c r="AK120" i="14"/>
  <c r="AJ102" i="14"/>
  <c r="AK102" i="14" s="1"/>
  <c r="AJ84" i="14"/>
  <c r="AJ101" i="14"/>
  <c r="AK101" i="14" s="1"/>
  <c r="AJ103" i="14"/>
  <c r="AL103" i="14" s="1"/>
  <c r="AJ105" i="14"/>
  <c r="AK105" i="14" s="1"/>
  <c r="AJ76" i="14"/>
  <c r="AL76" i="14" s="1"/>
  <c r="AJ71" i="14"/>
  <c r="AL71" i="14" s="1"/>
  <c r="AJ68" i="14"/>
  <c r="AL68" i="14" s="1"/>
  <c r="AJ66" i="14"/>
  <c r="AK66" i="14" s="1"/>
  <c r="AJ30" i="14"/>
  <c r="AL30" i="14" s="1"/>
  <c r="AJ74" i="14"/>
  <c r="AK74" i="14" s="1"/>
  <c r="AJ93" i="14"/>
  <c r="AK93" i="14" s="1"/>
  <c r="U123" i="14"/>
  <c r="B119" i="18" s="1"/>
  <c r="AJ50" i="14"/>
  <c r="AL50" i="14" s="1"/>
  <c r="AJ31" i="14"/>
  <c r="AL31" i="14" s="1"/>
  <c r="K27" i="14"/>
  <c r="AJ27" i="14"/>
  <c r="AJ97" i="14"/>
  <c r="AK97" i="14" s="1"/>
  <c r="K107" i="14"/>
  <c r="AJ107" i="14"/>
  <c r="AL121" i="14"/>
  <c r="AJ43" i="14"/>
  <c r="AL43" i="14" s="1"/>
  <c r="K98" i="14"/>
  <c r="AJ98" i="14"/>
  <c r="K91" i="14"/>
  <c r="AJ91" i="14"/>
  <c r="K106" i="14"/>
  <c r="AJ106" i="14"/>
  <c r="AL112" i="14"/>
  <c r="AK38" i="14"/>
  <c r="AL38" i="14"/>
  <c r="AL29" i="14"/>
  <c r="AK96" i="14"/>
  <c r="AL39" i="14"/>
  <c r="AJ49" i="14"/>
  <c r="AL49" i="14" s="1"/>
  <c r="AL56" i="14"/>
  <c r="AK41" i="14"/>
  <c r="AK46" i="14"/>
  <c r="AL104" i="14"/>
  <c r="AJ24" i="14"/>
  <c r="AK24" i="14" s="1"/>
  <c r="AJ90" i="14"/>
  <c r="AL90" i="14" s="1"/>
  <c r="AJ25" i="14"/>
  <c r="AK25" i="14" s="1"/>
  <c r="AJ77" i="14"/>
  <c r="AK77" i="14" s="1"/>
  <c r="AJ32" i="14"/>
  <c r="AL32" i="14" s="1"/>
  <c r="AJ78" i="14"/>
  <c r="AL78" i="14" s="1"/>
  <c r="AJ111" i="14"/>
  <c r="AK111" i="14" s="1"/>
  <c r="AJ28" i="14"/>
  <c r="AK47" i="14"/>
  <c r="AL47" i="14"/>
  <c r="AL100" i="14"/>
  <c r="AK100" i="14"/>
  <c r="AJ70" i="14"/>
  <c r="AJ55" i="14"/>
  <c r="AL73" i="14"/>
  <c r="AK73" i="14"/>
  <c r="AL80" i="14"/>
  <c r="AK80" i="14"/>
  <c r="AL42" i="14"/>
  <c r="AK42" i="14"/>
  <c r="AJ48" i="14"/>
  <c r="AJ53" i="14"/>
  <c r="AJ67" i="14"/>
  <c r="AL75" i="14"/>
  <c r="AK75" i="14"/>
  <c r="AJ44" i="14"/>
  <c r="J20" i="17"/>
  <c r="I4" i="17" s="1"/>
  <c r="I5" i="17" s="1"/>
  <c r="I6" i="17" s="1"/>
  <c r="AF20" i="17"/>
  <c r="AG20" i="17" s="1"/>
  <c r="AF18" i="17"/>
  <c r="AG18" i="17" s="1"/>
  <c r="I4" i="2"/>
  <c r="I5" i="2" s="1"/>
  <c r="I6" i="2" s="1"/>
  <c r="T45" i="2"/>
  <c r="U45" i="2" s="1"/>
  <c r="V45" i="2" s="1"/>
  <c r="F149" i="18" l="1"/>
  <c r="F143" i="18"/>
  <c r="F121" i="18"/>
  <c r="F85" i="18"/>
  <c r="F98" i="18"/>
  <c r="F33" i="18"/>
  <c r="F48" i="18"/>
  <c r="F93" i="18"/>
  <c r="F87" i="18"/>
  <c r="F107" i="18"/>
  <c r="F45" i="18"/>
  <c r="F21" i="18"/>
  <c r="F51" i="18"/>
  <c r="F131" i="18"/>
  <c r="F67" i="18"/>
  <c r="F26" i="18"/>
  <c r="F91" i="18"/>
  <c r="F40" i="18"/>
  <c r="F126" i="18"/>
  <c r="F81" i="18"/>
  <c r="F64" i="18"/>
  <c r="F123" i="18"/>
  <c r="F102" i="18"/>
  <c r="F129" i="18"/>
  <c r="F70" i="18"/>
  <c r="F115" i="18"/>
  <c r="F95" i="18"/>
  <c r="F86" i="18"/>
  <c r="F139" i="18"/>
  <c r="F27" i="18"/>
  <c r="F23" i="18"/>
  <c r="F75" i="18"/>
  <c r="F66" i="18"/>
  <c r="F24" i="18"/>
  <c r="F57" i="18"/>
  <c r="F32" i="18"/>
  <c r="F82" i="18"/>
  <c r="F100" i="18"/>
  <c r="F41" i="18"/>
  <c r="F99" i="18"/>
  <c r="F77" i="18"/>
  <c r="F79" i="18"/>
  <c r="F111" i="18"/>
  <c r="F47" i="18"/>
  <c r="F114" i="18"/>
  <c r="F74" i="18"/>
  <c r="F53" i="18"/>
  <c r="F97" i="18"/>
  <c r="F61" i="18"/>
  <c r="F39" i="18"/>
  <c r="F63" i="18"/>
  <c r="F133" i="18"/>
  <c r="F146" i="18"/>
  <c r="C29" i="18"/>
  <c r="D29" i="18"/>
  <c r="E29" i="18" s="1"/>
  <c r="C59" i="18"/>
  <c r="D59" i="18"/>
  <c r="E59" i="18" s="1"/>
  <c r="C60" i="18"/>
  <c r="D60" i="18"/>
  <c r="E60" i="18" s="1"/>
  <c r="C113" i="18"/>
  <c r="D113" i="18"/>
  <c r="E113" i="18" s="1"/>
  <c r="C30" i="18"/>
  <c r="D30" i="18"/>
  <c r="E30" i="18" s="1"/>
  <c r="C31" i="18"/>
  <c r="D31" i="18"/>
  <c r="E31" i="18" s="1"/>
  <c r="C110" i="18"/>
  <c r="D110" i="18"/>
  <c r="E110" i="18" s="1"/>
  <c r="F49" i="18"/>
  <c r="C119" i="18"/>
  <c r="D119" i="18"/>
  <c r="E119" i="18" s="1"/>
  <c r="C58" i="18"/>
  <c r="D58" i="18"/>
  <c r="E58" i="18" s="1"/>
  <c r="F101" i="18"/>
  <c r="F68" i="18"/>
  <c r="F105" i="18"/>
  <c r="F78" i="18"/>
  <c r="F116" i="18"/>
  <c r="F122" i="18"/>
  <c r="F94" i="18"/>
  <c r="F20" i="18"/>
  <c r="F28" i="18"/>
  <c r="F65" i="18"/>
  <c r="F44" i="18"/>
  <c r="F34" i="18"/>
  <c r="F117" i="18"/>
  <c r="F88" i="18"/>
  <c r="F103" i="18"/>
  <c r="F73" i="18"/>
  <c r="F137" i="18"/>
  <c r="F109" i="18"/>
  <c r="F83" i="18"/>
  <c r="F89" i="18"/>
  <c r="F62" i="18"/>
  <c r="F72" i="18"/>
  <c r="F46" i="18"/>
  <c r="F118" i="18"/>
  <c r="F144" i="18"/>
  <c r="F120" i="18"/>
  <c r="F80" i="18"/>
  <c r="F106" i="18"/>
  <c r="AL153" i="14"/>
  <c r="AK153" i="14"/>
  <c r="AL151" i="14"/>
  <c r="AK148" i="14"/>
  <c r="AL148" i="14"/>
  <c r="AK140" i="14"/>
  <c r="AL141" i="14"/>
  <c r="AL131" i="14"/>
  <c r="AL128" i="14"/>
  <c r="AL135" i="14"/>
  <c r="AK143" i="14"/>
  <c r="AL132" i="14"/>
  <c r="AK132" i="14"/>
  <c r="AL133" i="14"/>
  <c r="AK133" i="14"/>
  <c r="AL31" i="19"/>
  <c r="AM92" i="19"/>
  <c r="AK29" i="19"/>
  <c r="AM29" i="19" s="1"/>
  <c r="AL57" i="19"/>
  <c r="AM56" i="19"/>
  <c r="AL43" i="19"/>
  <c r="AL61" i="19"/>
  <c r="AM61" i="19"/>
  <c r="AM71" i="19"/>
  <c r="AM102" i="19"/>
  <c r="AL98" i="19"/>
  <c r="AM82" i="19"/>
  <c r="AL115" i="19"/>
  <c r="AL33" i="19"/>
  <c r="AL42" i="19"/>
  <c r="AK119" i="19"/>
  <c r="K119" i="19"/>
  <c r="AM24" i="19"/>
  <c r="AL89" i="19"/>
  <c r="AM21" i="19"/>
  <c r="AM106" i="19"/>
  <c r="AL86" i="19"/>
  <c r="AM86" i="19"/>
  <c r="AM11" i="19"/>
  <c r="AL48" i="19"/>
  <c r="AM54" i="19"/>
  <c r="AM100" i="19"/>
  <c r="AL120" i="19"/>
  <c r="AM63" i="19"/>
  <c r="AM121" i="19"/>
  <c r="AL121" i="19"/>
  <c r="AL15" i="19"/>
  <c r="AM99" i="19"/>
  <c r="AL99" i="19"/>
  <c r="AL34" i="19"/>
  <c r="AM66" i="19"/>
  <c r="AL80" i="19"/>
  <c r="AL44" i="19"/>
  <c r="AM44" i="19"/>
  <c r="AM16" i="19"/>
  <c r="AM97" i="19"/>
  <c r="AM49" i="19"/>
  <c r="AL49" i="19"/>
  <c r="AL116" i="19"/>
  <c r="AM116" i="19"/>
  <c r="AM41" i="19"/>
  <c r="AL41" i="19"/>
  <c r="AM51" i="19"/>
  <c r="AL51" i="19"/>
  <c r="AM17" i="19"/>
  <c r="AL17" i="19"/>
  <c r="AM125" i="19"/>
  <c r="AL125" i="19"/>
  <c r="AM27" i="19"/>
  <c r="AL27" i="19"/>
  <c r="U9" i="19"/>
  <c r="AJ9" i="19"/>
  <c r="K9" i="19" s="1"/>
  <c r="M6" i="19"/>
  <c r="AM14" i="19"/>
  <c r="AL14" i="19"/>
  <c r="AM73" i="19"/>
  <c r="AL73" i="19"/>
  <c r="AL95" i="19"/>
  <c r="AM95" i="19"/>
  <c r="AM32" i="19"/>
  <c r="AL32" i="19"/>
  <c r="AM64" i="19"/>
  <c r="AL64" i="19"/>
  <c r="AL35" i="19"/>
  <c r="AM35" i="19"/>
  <c r="AM25" i="19"/>
  <c r="AL25" i="19"/>
  <c r="AM55" i="19"/>
  <c r="AL55" i="19"/>
  <c r="AM12" i="19"/>
  <c r="AL12" i="19"/>
  <c r="AM28" i="19"/>
  <c r="AL28" i="19"/>
  <c r="AK40" i="14"/>
  <c r="AK58" i="14"/>
  <c r="AL58" i="14"/>
  <c r="AL54" i="14"/>
  <c r="AJ64" i="14"/>
  <c r="AJ63" i="14"/>
  <c r="K62" i="14"/>
  <c r="AJ62" i="14"/>
  <c r="AJ61" i="14"/>
  <c r="AK61" i="14" s="1"/>
  <c r="AJ34" i="14"/>
  <c r="AK34" i="14" s="1"/>
  <c r="AJ123" i="14"/>
  <c r="AK123" i="14" s="1"/>
  <c r="AL117" i="14"/>
  <c r="AJ114" i="14"/>
  <c r="AK114" i="14" s="1"/>
  <c r="AK115" i="14"/>
  <c r="AL115" i="14"/>
  <c r="AL52" i="14"/>
  <c r="AL113" i="14"/>
  <c r="AK113" i="14"/>
  <c r="AK36" i="14"/>
  <c r="AK95" i="14"/>
  <c r="AK45" i="14"/>
  <c r="AL94" i="14"/>
  <c r="AK35" i="14"/>
  <c r="AL35" i="14"/>
  <c r="AJ33" i="14"/>
  <c r="K33" i="14"/>
  <c r="AK86" i="14"/>
  <c r="AK127" i="14"/>
  <c r="AK87" i="14"/>
  <c r="AK81" i="14"/>
  <c r="AK85" i="14"/>
  <c r="AK72" i="14"/>
  <c r="AL126" i="14"/>
  <c r="AK122" i="14"/>
  <c r="AL109" i="14"/>
  <c r="AL83" i="14"/>
  <c r="AK65" i="14"/>
  <c r="AL51" i="14"/>
  <c r="AK30" i="14"/>
  <c r="AK99" i="14"/>
  <c r="AL120" i="14"/>
  <c r="AL124" i="14"/>
  <c r="AK69" i="14"/>
  <c r="AK110" i="14"/>
  <c r="AL110" i="14"/>
  <c r="AK37" i="14"/>
  <c r="AL79" i="14"/>
  <c r="AL105" i="14"/>
  <c r="AK92" i="14"/>
  <c r="AL125" i="14"/>
  <c r="AK103" i="14"/>
  <c r="AL101" i="14"/>
  <c r="AK108" i="14"/>
  <c r="AL108" i="14"/>
  <c r="AL102" i="14"/>
  <c r="AK84" i="14"/>
  <c r="AL84" i="14"/>
  <c r="AK82" i="14"/>
  <c r="AL82" i="14"/>
  <c r="AK71" i="14"/>
  <c r="AK76" i="14"/>
  <c r="AL74" i="14"/>
  <c r="AK31" i="14"/>
  <c r="AK68" i="14"/>
  <c r="AL66" i="14"/>
  <c r="AK121" i="14"/>
  <c r="AK50" i="14"/>
  <c r="AL93" i="14"/>
  <c r="AL97" i="14"/>
  <c r="AL27" i="14"/>
  <c r="AK27" i="14"/>
  <c r="AK43" i="14"/>
  <c r="AK107" i="14"/>
  <c r="AL107" i="14"/>
  <c r="AL91" i="14"/>
  <c r="AK91" i="14"/>
  <c r="AK98" i="14"/>
  <c r="AL98" i="14"/>
  <c r="AL106" i="14"/>
  <c r="AK106" i="14"/>
  <c r="AK119" i="14"/>
  <c r="AL77" i="14"/>
  <c r="AL24" i="14"/>
  <c r="AK32" i="14"/>
  <c r="AK49" i="14"/>
  <c r="AK90" i="14"/>
  <c r="AL25" i="14"/>
  <c r="AL111" i="14"/>
  <c r="AK78" i="14"/>
  <c r="AK48" i="14"/>
  <c r="AL48" i="14"/>
  <c r="AK67" i="14"/>
  <c r="AL67" i="14"/>
  <c r="AL70" i="14"/>
  <c r="AK70" i="14"/>
  <c r="AL55" i="14"/>
  <c r="AK55" i="14"/>
  <c r="AK44" i="14"/>
  <c r="AL44" i="14"/>
  <c r="AL53" i="14"/>
  <c r="AK53" i="14"/>
  <c r="AL28" i="14"/>
  <c r="AK28" i="14"/>
  <c r="H51" i="6"/>
  <c r="F110" i="18" l="1"/>
  <c r="F30" i="18"/>
  <c r="F60" i="18"/>
  <c r="F29" i="18"/>
  <c r="F31" i="18"/>
  <c r="F113" i="18"/>
  <c r="F59" i="18"/>
  <c r="F58" i="18"/>
  <c r="F119" i="18"/>
  <c r="AL29" i="19"/>
  <c r="AL119" i="19"/>
  <c r="AM119" i="19"/>
  <c r="AK9" i="19"/>
  <c r="AL61" i="14"/>
  <c r="AL64" i="14"/>
  <c r="AK64" i="14"/>
  <c r="AK63" i="14"/>
  <c r="AL63" i="14"/>
  <c r="AL34" i="14"/>
  <c r="AL114" i="14"/>
  <c r="AL62" i="14"/>
  <c r="AK62" i="14"/>
  <c r="AK33" i="14"/>
  <c r="AL33" i="14"/>
  <c r="AL123" i="14"/>
  <c r="I26" i="14"/>
  <c r="AD26" i="14" s="1"/>
  <c r="AE26" i="14" s="1"/>
  <c r="I22" i="14"/>
  <c r="AD22" i="14" s="1"/>
  <c r="AE22" i="14" s="1"/>
  <c r="H46" i="6"/>
  <c r="H52" i="6"/>
  <c r="H13" i="6"/>
  <c r="H50" i="6"/>
  <c r="H53" i="6"/>
  <c r="H11" i="6"/>
  <c r="AM9" i="19" l="1"/>
  <c r="AL9" i="19"/>
  <c r="AA26" i="14"/>
  <c r="V26" i="14"/>
  <c r="W26" i="14" s="1"/>
  <c r="AF26" i="14"/>
  <c r="X26" i="14"/>
  <c r="Y26" i="14" s="1"/>
  <c r="Z26" i="14"/>
  <c r="X22" i="14"/>
  <c r="Y22" i="14" s="1"/>
  <c r="V22" i="14"/>
  <c r="AF22" i="14"/>
  <c r="Z22" i="14"/>
  <c r="AA22" i="14"/>
  <c r="L14" i="6"/>
  <c r="M14" i="6" s="1" a="1"/>
  <c r="M14" i="6" s="1"/>
  <c r="W22" i="14" l="1"/>
  <c r="AB26" i="14"/>
  <c r="AC22" i="14"/>
  <c r="AB22" i="14"/>
  <c r="AC26" i="14"/>
  <c r="H14" i="6"/>
  <c r="AH26" i="14" l="1"/>
  <c r="J26" i="14" s="1"/>
  <c r="O26" i="14" s="1"/>
  <c r="AH22" i="14"/>
  <c r="J22" i="14" s="1"/>
  <c r="L12" i="6"/>
  <c r="M12" i="6" s="1" a="1"/>
  <c r="M12" i="6" s="1"/>
  <c r="M6" i="6" s="1"/>
  <c r="L22" i="14" l="1"/>
  <c r="J2" i="14"/>
  <c r="O22" i="14"/>
  <c r="P26" i="14"/>
  <c r="Q26" i="14" s="1"/>
  <c r="R26" i="14" s="1"/>
  <c r="T26" i="14" s="1"/>
  <c r="L26" i="14"/>
  <c r="H12" i="6"/>
  <c r="M5" i="6"/>
  <c r="M7" i="6"/>
  <c r="U26" i="14" l="1"/>
  <c r="B22" i="18" s="1"/>
  <c r="AI26" i="14"/>
  <c r="K26" i="14" s="1"/>
  <c r="P15" i="14"/>
  <c r="Q15" i="14" s="1"/>
  <c r="R15" i="14" s="1"/>
  <c r="P23" i="14"/>
  <c r="Q23" i="14" s="1"/>
  <c r="P12" i="14"/>
  <c r="Q12" i="14" s="1"/>
  <c r="P13" i="14"/>
  <c r="Q13" i="14" s="1"/>
  <c r="P16" i="14"/>
  <c r="Q16" i="14" s="1"/>
  <c r="P21" i="14"/>
  <c r="Q21" i="14" s="1"/>
  <c r="P17" i="14"/>
  <c r="Q17" i="14" s="1"/>
  <c r="R17" i="14" s="1"/>
  <c r="P19" i="14"/>
  <c r="Q19" i="14" s="1"/>
  <c r="P20" i="14"/>
  <c r="Q20" i="14" s="1"/>
  <c r="P10" i="14"/>
  <c r="Q10" i="14" s="1"/>
  <c r="P22" i="14"/>
  <c r="Q22" i="14" s="1"/>
  <c r="P9" i="14"/>
  <c r="Q9" i="14" s="1"/>
  <c r="P14" i="14"/>
  <c r="Q14" i="14" s="1"/>
  <c r="P18" i="14"/>
  <c r="Q18" i="14" s="1"/>
  <c r="P11" i="14"/>
  <c r="Q11" i="14" s="1"/>
  <c r="C22" i="18" l="1"/>
  <c r="D22" i="18"/>
  <c r="E22" i="18" s="1"/>
  <c r="AJ26" i="14"/>
  <c r="AL26" i="14" s="1"/>
  <c r="R13" i="14"/>
  <c r="T13" i="14" s="1"/>
  <c r="R9" i="14"/>
  <c r="T9" i="14" s="1"/>
  <c r="R10" i="14"/>
  <c r="T10" i="14" s="1"/>
  <c r="T15" i="14"/>
  <c r="R21" i="14"/>
  <c r="T21" i="14" s="1"/>
  <c r="R14" i="14"/>
  <c r="T14" i="14" s="1"/>
  <c r="R20" i="14"/>
  <c r="T20" i="14" s="1"/>
  <c r="R22" i="14"/>
  <c r="T22" i="14" s="1"/>
  <c r="R19" i="14"/>
  <c r="T19" i="14" s="1"/>
  <c r="R16" i="14"/>
  <c r="T16" i="14" s="1"/>
  <c r="R11" i="14"/>
  <c r="T11" i="14" s="1"/>
  <c r="R18" i="14"/>
  <c r="T18" i="14" s="1"/>
  <c r="R12" i="14"/>
  <c r="T12" i="14" s="1"/>
  <c r="R23" i="14"/>
  <c r="T23" i="14" s="1"/>
  <c r="T17" i="14"/>
  <c r="F22" i="18" l="1"/>
  <c r="M6" i="14"/>
  <c r="J3" i="14"/>
  <c r="Q5" i="14" s="1"/>
  <c r="U12" i="14"/>
  <c r="B8" i="18" s="1"/>
  <c r="AK26" i="14"/>
  <c r="Q3" i="14"/>
  <c r="AI9" i="14"/>
  <c r="K9" i="14" s="1"/>
  <c r="AI15" i="14"/>
  <c r="K15" i="14" s="1"/>
  <c r="U15" i="14"/>
  <c r="B11" i="18" s="1"/>
  <c r="U11" i="14"/>
  <c r="B7" i="18" s="1"/>
  <c r="AI11" i="14"/>
  <c r="K11" i="14" s="1"/>
  <c r="AI16" i="14"/>
  <c r="K16" i="14" s="1"/>
  <c r="U16" i="14"/>
  <c r="B12" i="18" s="1"/>
  <c r="AI20" i="14"/>
  <c r="K20" i="14" s="1"/>
  <c r="U20" i="14"/>
  <c r="B16" i="18" s="1"/>
  <c r="U22" i="14"/>
  <c r="B18" i="18" s="1"/>
  <c r="AI22" i="14"/>
  <c r="K22" i="14" s="1"/>
  <c r="AI21" i="14"/>
  <c r="K21" i="14" s="1"/>
  <c r="U21" i="14"/>
  <c r="B17" i="18" s="1"/>
  <c r="AI10" i="14"/>
  <c r="K10" i="14" s="1"/>
  <c r="U10" i="14"/>
  <c r="B6" i="18" s="1"/>
  <c r="U17" i="14"/>
  <c r="B13" i="18" s="1"/>
  <c r="AI17" i="14"/>
  <c r="K17" i="14" s="1"/>
  <c r="AI23" i="14"/>
  <c r="K23" i="14" s="1"/>
  <c r="U23" i="14"/>
  <c r="B19" i="18" s="1"/>
  <c r="AI13" i="14"/>
  <c r="K13" i="14" s="1"/>
  <c r="U13" i="14"/>
  <c r="B9" i="18" s="1"/>
  <c r="U9" i="14"/>
  <c r="B5" i="18" s="1"/>
  <c r="C5" i="18" s="1"/>
  <c r="AI12" i="14"/>
  <c r="K12" i="14" s="1"/>
  <c r="U18" i="14"/>
  <c r="B14" i="18" s="1"/>
  <c r="AI18" i="14"/>
  <c r="K18" i="14" s="1"/>
  <c r="U19" i="14"/>
  <c r="B15" i="18" s="1"/>
  <c r="AI19" i="14"/>
  <c r="K19" i="14" s="1"/>
  <c r="U14" i="14"/>
  <c r="B10" i="18" s="1"/>
  <c r="AI14" i="14"/>
  <c r="K14" i="14" s="1"/>
  <c r="C6" i="18" l="1"/>
  <c r="D6" i="18"/>
  <c r="E6" i="18" s="1"/>
  <c r="C11" i="18"/>
  <c r="D11" i="18"/>
  <c r="E11" i="18" s="1"/>
  <c r="D5" i="18"/>
  <c r="E5" i="18" s="1"/>
  <c r="C8" i="18"/>
  <c r="D8" i="18"/>
  <c r="E8" i="18" s="1"/>
  <c r="C17" i="18"/>
  <c r="D17" i="18"/>
  <c r="E17" i="18" s="1"/>
  <c r="C16" i="18"/>
  <c r="D16" i="18"/>
  <c r="E16" i="18" s="1"/>
  <c r="C19" i="18"/>
  <c r="D19" i="18"/>
  <c r="E19" i="18" s="1"/>
  <c r="C12" i="18"/>
  <c r="D12" i="18"/>
  <c r="E12" i="18" s="1"/>
  <c r="C15" i="18"/>
  <c r="D15" i="18"/>
  <c r="E15" i="18" s="1"/>
  <c r="C18" i="18"/>
  <c r="D18" i="18"/>
  <c r="E18" i="18" s="1"/>
  <c r="C9" i="18"/>
  <c r="D9" i="18"/>
  <c r="E9" i="18" s="1"/>
  <c r="C10" i="18"/>
  <c r="D10" i="18"/>
  <c r="E10" i="18" s="1"/>
  <c r="C14" i="18"/>
  <c r="D14" i="18"/>
  <c r="E14" i="18" s="1"/>
  <c r="C13" i="18"/>
  <c r="D13" i="18"/>
  <c r="E13" i="18" s="1"/>
  <c r="C7" i="18"/>
  <c r="D7" i="18"/>
  <c r="E7" i="18" s="1"/>
  <c r="J4" i="14"/>
  <c r="J5" i="14" s="1"/>
  <c r="AJ15" i="14"/>
  <c r="AJ9" i="14"/>
  <c r="AJ19" i="14"/>
  <c r="AJ18" i="14"/>
  <c r="AJ12" i="14"/>
  <c r="AJ14" i="14"/>
  <c r="AJ13" i="14"/>
  <c r="AJ23" i="14"/>
  <c r="AJ17" i="14"/>
  <c r="AJ10" i="14"/>
  <c r="AJ21" i="14"/>
  <c r="AJ22" i="14"/>
  <c r="AJ20" i="14"/>
  <c r="AJ16" i="14"/>
  <c r="AJ11" i="14"/>
  <c r="F6" i="18" l="1"/>
  <c r="F11" i="18"/>
  <c r="F7" i="18"/>
  <c r="F14" i="18"/>
  <c r="F9" i="18"/>
  <c r="F15" i="18"/>
  <c r="F19" i="18"/>
  <c r="F17" i="18"/>
  <c r="F13" i="18"/>
  <c r="F10" i="18"/>
  <c r="F18" i="18"/>
  <c r="F12" i="18"/>
  <c r="F16" i="18"/>
  <c r="F8" i="18"/>
  <c r="F5" i="18"/>
  <c r="AK23" i="14"/>
  <c r="AL23" i="14"/>
  <c r="AK14" i="14"/>
  <c r="AL14" i="14"/>
  <c r="AK11" i="14"/>
  <c r="AL11" i="14"/>
  <c r="AK21" i="14"/>
  <c r="AL21" i="14"/>
  <c r="AK18" i="14"/>
  <c r="AL18" i="14"/>
  <c r="AK9" i="14"/>
  <c r="AL9" i="14"/>
  <c r="AK22" i="14"/>
  <c r="AL22" i="14"/>
  <c r="AK15" i="14"/>
  <c r="AL15" i="14"/>
  <c r="AK20" i="14"/>
  <c r="AL20" i="14"/>
  <c r="AK13" i="14"/>
  <c r="AL13" i="14"/>
  <c r="AK12" i="14"/>
  <c r="AL12" i="14"/>
  <c r="AK16" i="14"/>
  <c r="AL16" i="14"/>
  <c r="AK10" i="14"/>
  <c r="AL10" i="14"/>
  <c r="AK17" i="14"/>
  <c r="AL17" i="14"/>
  <c r="AK19" i="14"/>
  <c r="AL19" i="14"/>
  <c r="J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ID#AAAAtiXBlX4
tc={3A514329-C2FD-4107-9595-7B7135AC3452}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 a coluna salário negociado estiver sem valor, buscamos o valor do perfil na aba "Lista", caso contrario, utilizamos o valor negociado.</t>
        </r>
      </text>
    </comment>
    <comment ref="K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ID#AAAAtiXBlYE
tc={92AC2C7C-79E3-4004-A62F-A08B3284592A}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será utilizada quando o cliente tiver budget fixo.</t>
        </r>
      </text>
    </comment>
    <comment ref="L8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======
ID#AAAAtiXBlYM
tc={5DA32E7D-0484-4C82-B457-4FA863C15998}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de markup que utilizaremos. 
Quando esta coluna estiver zerada, utilizaremos o percentual padrão alimentado na célula "Markup mínimo".</t>
        </r>
      </text>
    </comment>
    <comment ref="S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ID#AAAAtiXBlYI
tc={EFDE13D4-D63A-4E6F-8AA1-C28716AB17B6}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8% FGTS, calculado sobre o valor do salário.</t>
        </r>
      </text>
    </comment>
    <comment ref="T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ID#AAAAtiXBlYk
tc={5E315CFC-4DFD-4F71-9BE0-4BD44ABE451D}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40% do valor do FGTS já calculado sobre salário (coluna FGTS).</t>
        </r>
      </text>
    </comment>
    <comment ref="U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ID#AAAAtiXBlYc
tc={3EBCBB32-48F8-42E3-A536-1C5C78BF18E3}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(1/12), calculado sobre o valor do salário.</t>
        </r>
      </text>
    </comment>
    <comment ref="V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ID#AAAAtiXBlZI
tc={96673F5B-F164-4E85-9C13-74F50EFF55E9}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terço sobre a coluna "Férias",  calculada sobre o valor do salário.</t>
        </r>
      </text>
    </comment>
    <comment ref="W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ID#AAAAtiXBlXo
tc={734DBC97-09D2-40DE-955F-464A3FCB1C86}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(1/12).</t>
        </r>
      </text>
    </comment>
    <comment ref="X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ID#AAAAtiXBlYg
tc={9BEFA130-4A6D-45A5-9AC5-E5B3140C6F16}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mês, calculado sobre o valor do salário (prevendo uma possível demissão sem justa causa).</t>
        </r>
      </text>
    </comment>
    <comment ref="Y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ID#AAAAtiXBlXs
tc={8E30CFB4-78B5-4F1E-A2CC-C831B41E6BA5}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aproximado para vale refeição, o valor dia é alimentado na célula "Ticket Rest. Dia".</t>
        </r>
      </text>
    </comment>
    <comment ref="Z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ID#AAAAtiXBlZE
tc={42CB44CF-6C8F-4934-88C2-E64519496300}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9% de INSS, calculado sobre o valor do salário.</t>
        </r>
      </text>
    </comment>
    <comment ref="AA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ID#AAAAtiXBlYo
tc={1EAE4B04-39F2-4E3A-A3DA-0369818DEBBE}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fixo, dependente da nossa negociação com os convênios.</t>
        </r>
      </text>
    </comment>
    <comment ref="AB8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======
ID#AAAAtiXBlX8
tc={F95969BC-0D1D-4184-83A2-0AC7E0565A3F}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total dos impostos e encargos, sendo "PJ" ou "CLT", separamos os encargos para cada tipo através de cada coluna, aqui temos apenas a soma delas.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pM0geZlHgCFQOeBqpgAWnEZFhv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7DC24558-DA73-4E16-A02E-58DCC9DD29FC}">
      <text>
        <r>
          <rPr>
            <sz val="11"/>
            <color theme="1"/>
            <rFont val="Calibri"/>
            <family val="2"/>
            <scheme val="minor"/>
          </rPr>
          <t>======
ID#AAAApZwoWIk
tc={3A514329-C2FD-4107-9595-7B7135AC3452}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 a coluna salário negociado estiver sem valor, buscamos o valor do perfil na aba "Lista", caso contrario, utilizamos o valor negociado.</t>
        </r>
      </text>
    </comment>
    <comment ref="M8" authorId="0" shapeId="0" xr:uid="{5D550229-E362-40CC-9C30-97A3B53D2A3A}">
      <text>
        <r>
          <rPr>
            <sz val="11"/>
            <color theme="1"/>
            <rFont val="Calibri"/>
            <family val="2"/>
            <scheme val="minor"/>
          </rPr>
          <t>======
ID#AAAAvU02sz8
tc={92AC2C7C-79E3-4004-A62F-A08B3284592A}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será utilizada quando o cliente tiver budget fixo.</t>
        </r>
      </text>
    </comment>
    <comment ref="N8" authorId="0" shapeId="0" xr:uid="{576C6E94-B315-44C1-BE1A-9952A54FCA64}">
      <text>
        <r>
          <rPr>
            <sz val="11"/>
            <color theme="1"/>
            <rFont val="Calibri"/>
            <family val="2"/>
            <scheme val="minor"/>
          </rPr>
          <t>======
ID#AAAAvU02sz4
tc={5DA32E7D-0484-4C82-B457-4FA863C15998}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de markup que utilizaremos. 
Quando esta coluna estiver zerada, utilizaremos o percentual padrão alimentado na célula "Markup mínimo".</t>
        </r>
      </text>
    </comment>
    <comment ref="V8" authorId="0" shapeId="0" xr:uid="{63457500-2F54-49E7-9E06-1FE9AC21AB66}">
      <text>
        <r>
          <rPr>
            <sz val="11"/>
            <color theme="1"/>
            <rFont val="Calibri"/>
            <family val="2"/>
            <scheme val="minor"/>
          </rPr>
          <t>======
ID#AAAApZwoWIw
tc={EFDE13D4-D63A-4E6F-8AA1-C28716AB17B6}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8% FGTS, calculado sobre o valor do salário.</t>
        </r>
      </text>
    </comment>
    <comment ref="W8" authorId="0" shapeId="0" xr:uid="{08E3EFFF-F9B7-4351-B609-6979467AE130}">
      <text>
        <r>
          <rPr>
            <sz val="11"/>
            <color theme="1"/>
            <rFont val="Calibri"/>
            <family val="2"/>
            <scheme val="minor"/>
          </rPr>
          <t>======
ID#AAAApZwoWIU
tc={5E315CFC-4DFD-4F71-9BE0-4BD44ABE451D}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40% do valor do FGTS já calculado sobre salário (coluna FGTS).</t>
        </r>
      </text>
    </comment>
    <comment ref="X8" authorId="0" shapeId="0" xr:uid="{FAD95A5F-E1AF-4EFA-B554-60F9D82847FD}">
      <text>
        <r>
          <rPr>
            <sz val="11"/>
            <color theme="1"/>
            <rFont val="Calibri"/>
            <family val="2"/>
            <scheme val="minor"/>
          </rPr>
          <t>======
ID#AAAApZwoWI0
tc={3EBCBB32-48F8-42E3-A536-1C5C78BF18E3}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(1/12), calculado sobre o valor do salário.</t>
        </r>
      </text>
    </comment>
    <comment ref="Y8" authorId="0" shapeId="0" xr:uid="{2A8E57DC-3916-4DED-90B3-9F05222BF485}">
      <text>
        <r>
          <rPr>
            <sz val="11"/>
            <color theme="1"/>
            <rFont val="Calibri"/>
            <family val="2"/>
            <scheme val="minor"/>
          </rPr>
          <t>======
ID#AAAAvU02szs
tc={96673F5B-F164-4E85-9C13-74F50EFF55E9}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terço sobre a coluna "Férias",  calculada sobre o valor do salário.</t>
        </r>
      </text>
    </comment>
    <comment ref="Z8" authorId="0" shapeId="0" xr:uid="{3DF0F2FA-CF0C-49FB-A425-3FB1A464F528}">
      <text>
        <r>
          <rPr>
            <sz val="11"/>
            <color theme="1"/>
            <rFont val="Calibri"/>
            <family val="2"/>
            <scheme val="minor"/>
          </rPr>
          <t>======
ID#AAAApZwoWIM
tc={734DBC97-09D2-40DE-955F-464A3FCB1C86}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(1/12).</t>
        </r>
      </text>
    </comment>
    <comment ref="AD8" authorId="0" shapeId="0" xr:uid="{83BDCB1F-AA84-4CE0-BD29-679DD1C6FECF}">
      <text>
        <r>
          <rPr>
            <sz val="11"/>
            <color theme="1"/>
            <rFont val="Calibri"/>
            <family val="2"/>
            <scheme val="minor"/>
          </rPr>
          <t>======
ID#AAAAvU02sz0
tc={9BEFA130-4A6D-45A5-9AC5-E5B3140C6F16}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mês, calculado sobre o valor do salário (prevendo uma possível demissão sem justa causa).</t>
        </r>
      </text>
    </comment>
    <comment ref="AF8" authorId="0" shapeId="0" xr:uid="{69987752-B08D-47E5-9B21-9109C1C89AC3}">
      <text>
        <r>
          <rPr>
            <sz val="11"/>
            <color theme="1"/>
            <rFont val="Calibri"/>
            <family val="2"/>
            <scheme val="minor"/>
          </rPr>
          <t>======
ID#AAAApZwoWIs
tc={42CB44CF-6C8F-4934-88C2-E64519496300}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9% de INSS, calculado sobre o valor do salário.</t>
        </r>
      </text>
    </comment>
    <comment ref="AG8" authorId="0" shapeId="0" xr:uid="{C84FA8DB-7BA0-4267-8AF3-C097976EDA91}">
      <text>
        <r>
          <rPr>
            <sz val="11"/>
            <color theme="1"/>
            <rFont val="Calibri"/>
            <family val="2"/>
            <scheme val="minor"/>
          </rPr>
          <t>======
ID#AAAAvU02szw
tc={1EAE4B04-39F2-4E3A-A3DA-0369818DEBBE}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fixo, dependente da nossa negociação com os convênios.</t>
        </r>
      </text>
    </comment>
    <comment ref="AH8" authorId="0" shapeId="0" xr:uid="{57F16BFE-45A5-46E9-A152-B1909930045E}">
      <text>
        <r>
          <rPr>
            <sz val="11"/>
            <color theme="1"/>
            <rFont val="Calibri"/>
            <family val="2"/>
            <scheme val="minor"/>
          </rPr>
          <t>======
ID#AAAAvU02szo
tc={F95969BC-0D1D-4184-83A2-0AC7E0565A3F}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total dos impostos e encargos, sendo "PJ" ou "CLT", separamos os encargos para cada tipo através de cada coluna, aqui temos apenas a soma delas.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86C38A47-8F9A-41D1-BED7-B509A9D45342}">
      <text>
        <r>
          <rPr>
            <sz val="11"/>
            <color theme="1"/>
            <rFont val="Calibri"/>
            <family val="2"/>
            <scheme val="minor"/>
          </rPr>
          <t>======
ID#AAAApZwoWIk
tc={3A514329-C2FD-4107-9595-7B7135AC3452}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 a coluna salário negociado estiver sem valor, buscamos o valor do perfil na aba "Lista", caso contrario, utilizamos o valor negociado.</t>
        </r>
      </text>
    </comment>
    <comment ref="M8" authorId="0" shapeId="0" xr:uid="{A09FA097-9402-4C59-87E5-8FA4F8591F50}">
      <text>
        <r>
          <rPr>
            <sz val="11"/>
            <color theme="1"/>
            <rFont val="Calibri"/>
            <family val="2"/>
            <scheme val="minor"/>
          </rPr>
          <t>======
ID#AAAAvU02sz8
tc={92AC2C7C-79E3-4004-A62F-A08B3284592A}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será utilizada quando o cliente tiver budget fixo.</t>
        </r>
      </text>
    </comment>
    <comment ref="N8" authorId="0" shapeId="0" xr:uid="{87BDFEDE-C461-4C32-937C-AF0B7AF5DFA2}">
      <text>
        <r>
          <rPr>
            <sz val="11"/>
            <color theme="1"/>
            <rFont val="Calibri"/>
            <family val="2"/>
            <scheme val="minor"/>
          </rPr>
          <t>======
ID#AAAAvU02sz4
tc={5DA32E7D-0484-4C82-B457-4FA863C15998}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de markup que utilizaremos. 
Quando esta coluna estiver zerada, utilizaremos o percentual padrão alimentado na célula "Markup mínimo".</t>
        </r>
      </text>
    </comment>
    <comment ref="V8" authorId="0" shapeId="0" xr:uid="{8EBFAF37-E688-472B-9EDB-10D8E2BA5023}">
      <text>
        <r>
          <rPr>
            <sz val="11"/>
            <color theme="1"/>
            <rFont val="Calibri"/>
            <family val="2"/>
            <scheme val="minor"/>
          </rPr>
          <t>======
ID#AAAApZwoWIw
tc={EFDE13D4-D63A-4E6F-8AA1-C28716AB17B6}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8% FGTS, calculado sobre o valor do salário.</t>
        </r>
      </text>
    </comment>
    <comment ref="W8" authorId="0" shapeId="0" xr:uid="{DC055776-1294-440A-BDB8-E647A544BDE5}">
      <text>
        <r>
          <rPr>
            <sz val="11"/>
            <color theme="1"/>
            <rFont val="Calibri"/>
            <family val="2"/>
            <scheme val="minor"/>
          </rPr>
          <t>======
ID#AAAApZwoWIU
tc={5E315CFC-4DFD-4F71-9BE0-4BD44ABE451D}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40% do valor do FGTS já calculado sobre salário (coluna FGTS).</t>
        </r>
      </text>
    </comment>
    <comment ref="X8" authorId="0" shapeId="0" xr:uid="{544257CD-611A-4301-ABFA-E67A9FF51BFF}">
      <text>
        <r>
          <rPr>
            <sz val="11"/>
            <color theme="1"/>
            <rFont val="Calibri"/>
            <family val="2"/>
            <scheme val="minor"/>
          </rPr>
          <t>======
ID#AAAApZwoWI0
tc={3EBCBB32-48F8-42E3-A536-1C5C78BF18E3}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(1/12), calculado sobre o valor do salário.</t>
        </r>
      </text>
    </comment>
    <comment ref="Y8" authorId="0" shapeId="0" xr:uid="{A0306B5E-D090-454B-B2F2-8ABAE0B7C875}">
      <text>
        <r>
          <rPr>
            <sz val="11"/>
            <color theme="1"/>
            <rFont val="Calibri"/>
            <family val="2"/>
            <scheme val="minor"/>
          </rPr>
          <t>======
ID#AAAAvU02szs
tc={96673F5B-F164-4E85-9C13-74F50EFF55E9}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terço sobre a coluna "Férias",  calculada sobre o valor do salário.</t>
        </r>
      </text>
    </comment>
    <comment ref="Z8" authorId="0" shapeId="0" xr:uid="{0C1A7B0F-B871-49A1-8350-833BCC07F1AF}">
      <text>
        <r>
          <rPr>
            <sz val="11"/>
            <color theme="1"/>
            <rFont val="Calibri"/>
            <family val="2"/>
            <scheme val="minor"/>
          </rPr>
          <t>======
ID#AAAApZwoWIM
tc={734DBC97-09D2-40DE-955F-464A3FCB1C86}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(1/12).</t>
        </r>
      </text>
    </comment>
    <comment ref="AD8" authorId="0" shapeId="0" xr:uid="{6F5CB688-4DC3-448A-9F44-955CC0F58BFC}">
      <text>
        <r>
          <rPr>
            <sz val="11"/>
            <color theme="1"/>
            <rFont val="Calibri"/>
            <family val="2"/>
            <scheme val="minor"/>
          </rPr>
          <t>======
ID#AAAAvU02sz0
tc={9BEFA130-4A6D-45A5-9AC5-E5B3140C6F16}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mês, calculado sobre o valor do salário (prevendo uma possível demissão sem justa causa).</t>
        </r>
      </text>
    </comment>
    <comment ref="AF8" authorId="0" shapeId="0" xr:uid="{C4F9B3F7-7DC8-403A-81E7-0052E2AB7BC3}">
      <text>
        <r>
          <rPr>
            <sz val="11"/>
            <color theme="1"/>
            <rFont val="Calibri"/>
            <family val="2"/>
            <scheme val="minor"/>
          </rPr>
          <t>======
ID#AAAApZwoWIs
tc={42CB44CF-6C8F-4934-88C2-E64519496300}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9% de INSS, calculado sobre o valor do salário.</t>
        </r>
      </text>
    </comment>
    <comment ref="AH8" authorId="0" shapeId="0" xr:uid="{B35002D2-B335-4D8D-93DA-667C6AC5F450}">
      <text>
        <r>
          <rPr>
            <sz val="11"/>
            <color theme="1"/>
            <rFont val="Calibri"/>
            <family val="2"/>
            <scheme val="minor"/>
          </rPr>
          <t>======
ID#AAAAvU02szw
tc={1EAE4B04-39F2-4E3A-A3DA-0369818DEBBE}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fixo, dependente da nossa negociação com os convênios.</t>
        </r>
      </text>
    </comment>
    <comment ref="AI8" authorId="0" shapeId="0" xr:uid="{79AD452D-8A63-4A2A-A1C0-74E25958656A}">
      <text>
        <r>
          <rPr>
            <sz val="11"/>
            <color theme="1"/>
            <rFont val="Calibri"/>
            <family val="2"/>
            <scheme val="minor"/>
          </rPr>
          <t>======
ID#AAAAvU02szo
tc={F95969BC-0D1D-4184-83A2-0AC7E0565A3F}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total dos impostos e encargos, sendo "PJ" ou "CLT", separamos os encargos para cada tipo através de cada coluna, aqui temos apenas a soma delas.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84F99F7B-D1B1-45EA-BCFE-9BA7216FFC10}">
      <text>
        <r>
          <rPr>
            <sz val="11"/>
            <color theme="1"/>
            <rFont val="Calibri"/>
            <family val="2"/>
            <scheme val="minor"/>
          </rPr>
          <t>======
ID#AAAApZwoWIk
tc={3A514329-C2FD-4107-9595-7B7135AC3452}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 a coluna salário negociado estiver sem valor, buscamos o valor do perfil na aba "Lista", caso contrario, utilizamos o valor negociado.</t>
        </r>
      </text>
    </comment>
    <comment ref="M8" authorId="0" shapeId="0" xr:uid="{51856529-122B-46BE-A67E-A11820E59F1C}">
      <text>
        <r>
          <rPr>
            <sz val="11"/>
            <color theme="1"/>
            <rFont val="Calibri"/>
            <family val="2"/>
            <scheme val="minor"/>
          </rPr>
          <t>======
ID#AAAAvU02sz8
tc={92AC2C7C-79E3-4004-A62F-A08B3284592A}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será utilizada quando o cliente tiver budget fixo.</t>
        </r>
      </text>
    </comment>
    <comment ref="N8" authorId="0" shapeId="0" xr:uid="{D6D3772B-9FFC-41A0-99D6-4F4F64FCCC9F}">
      <text>
        <r>
          <rPr>
            <sz val="11"/>
            <color theme="1"/>
            <rFont val="Calibri"/>
            <family val="2"/>
            <scheme val="minor"/>
          </rPr>
          <t>======
ID#AAAAvU02sz4
tc={5DA32E7D-0484-4C82-B457-4FA863C15998}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de markup que utilizaremos. 
Quando esta coluna estiver zerada, utilizaremos o percentual padrão alimentado na célula "Markup mínimo".</t>
        </r>
      </text>
    </comment>
    <comment ref="V8" authorId="0" shapeId="0" xr:uid="{6933329C-2316-49A2-8B58-16733C4FBEE8}">
      <text>
        <r>
          <rPr>
            <sz val="11"/>
            <color theme="1"/>
            <rFont val="Calibri"/>
            <family val="2"/>
            <scheme val="minor"/>
          </rPr>
          <t>======
ID#AAAApZwoWIw
tc={EFDE13D4-D63A-4E6F-8AA1-C28716AB17B6}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8% FGTS, calculado sobre o valor do salário.</t>
        </r>
      </text>
    </comment>
    <comment ref="W8" authorId="0" shapeId="0" xr:uid="{B63F430A-FCCF-4669-8332-8B21872D87BC}">
      <text>
        <r>
          <rPr>
            <sz val="11"/>
            <color theme="1"/>
            <rFont val="Calibri"/>
            <family val="2"/>
            <scheme val="minor"/>
          </rPr>
          <t>======
ID#AAAApZwoWIU
tc={5E315CFC-4DFD-4F71-9BE0-4BD44ABE451D}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40% do valor do FGTS já calculado sobre salário (coluna FGTS).</t>
        </r>
      </text>
    </comment>
    <comment ref="X8" authorId="0" shapeId="0" xr:uid="{1C29099A-FAE5-40C2-B3F4-171CA96EDF94}">
      <text>
        <r>
          <rPr>
            <sz val="11"/>
            <color theme="1"/>
            <rFont val="Calibri"/>
            <family val="2"/>
            <scheme val="minor"/>
          </rPr>
          <t>======
ID#AAAApZwoWI0
tc={3EBCBB32-48F8-42E3-A536-1C5C78BF18E3}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(1/12), calculado sobre o valor do salário.</t>
        </r>
      </text>
    </comment>
    <comment ref="Y8" authorId="0" shapeId="0" xr:uid="{DDD57263-5EE6-4E21-8624-7B6B3D7B1FC6}">
      <text>
        <r>
          <rPr>
            <sz val="11"/>
            <color theme="1"/>
            <rFont val="Calibri"/>
            <family val="2"/>
            <scheme val="minor"/>
          </rPr>
          <t>======
ID#AAAAvU02szs
tc={96673F5B-F164-4E85-9C13-74F50EFF55E9}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terço sobre a coluna "Férias",  calculada sobre o valor do salário.</t>
        </r>
      </text>
    </comment>
    <comment ref="Z8" authorId="0" shapeId="0" xr:uid="{6D17BE47-B1B7-4073-A96C-DFD77C601654}">
      <text>
        <r>
          <rPr>
            <sz val="11"/>
            <color theme="1"/>
            <rFont val="Calibri"/>
            <family val="2"/>
            <scheme val="minor"/>
          </rPr>
          <t>======
ID#AAAApZwoWIM
tc={734DBC97-09D2-40DE-955F-464A3FCB1C86}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(1/12).</t>
        </r>
      </text>
    </comment>
    <comment ref="AD8" authorId="0" shapeId="0" xr:uid="{F32C05FE-45AF-4871-BEFC-57119BB0DABB}">
      <text>
        <r>
          <rPr>
            <sz val="11"/>
            <color theme="1"/>
            <rFont val="Calibri"/>
            <family val="2"/>
            <scheme val="minor"/>
          </rPr>
          <t>======
ID#AAAAvU02sz0
tc={9BEFA130-4A6D-45A5-9AC5-E5B3140C6F16}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mês, calculado sobre o valor do salário (prevendo uma possível demissão sem justa causa).</t>
        </r>
      </text>
    </comment>
    <comment ref="AF8" authorId="0" shapeId="0" xr:uid="{C170DA4E-8BED-4271-90FA-DE0757536A11}">
      <text>
        <r>
          <rPr>
            <sz val="11"/>
            <color theme="1"/>
            <rFont val="Calibri"/>
            <family val="2"/>
            <scheme val="minor"/>
          </rPr>
          <t>======
ID#AAAApZwoWIs
tc={42CB44CF-6C8F-4934-88C2-E64519496300}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9% de INSS, calculado sobre o valor do salário.</t>
        </r>
      </text>
    </comment>
    <comment ref="AG8" authorId="0" shapeId="0" xr:uid="{4EAEA80D-958B-4861-9ADB-9608FBB9C6D9}">
      <text>
        <r>
          <rPr>
            <sz val="11"/>
            <color theme="1"/>
            <rFont val="Calibri"/>
            <family val="2"/>
            <scheme val="minor"/>
          </rPr>
          <t>======
ID#AAAAvU02szw
tc={1EAE4B04-39F2-4E3A-A3DA-0369818DEBBE}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fixo, dependente da nossa negociação com os convênios.</t>
        </r>
      </text>
    </comment>
    <comment ref="AH8" authorId="0" shapeId="0" xr:uid="{E6ABD9DB-E9CA-4AB9-8A3A-2DF07718FB2B}">
      <text>
        <r>
          <rPr>
            <sz val="11"/>
            <color theme="1"/>
            <rFont val="Calibri"/>
            <family val="2"/>
            <scheme val="minor"/>
          </rPr>
          <t>======
ID#AAAAvU02szo
tc={F95969BC-0D1D-4184-83A2-0AC7E0565A3F}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total dos impostos e encargos, sendo "PJ" ou "CLT", separamos os encargos para cada tipo através de cada coluna, aqui temos apenas a soma delas.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97EE2A8F-CB3A-4706-8EC2-44C30CF1C3D3}">
      <text>
        <r>
          <rPr>
            <sz val="11"/>
            <color theme="1"/>
            <rFont val="Calibri"/>
            <family val="2"/>
            <scheme val="minor"/>
          </rPr>
          <t>======
ID#AAAApZwoWIk
tc={3A514329-C2FD-4107-9595-7B7135AC3452}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 a coluna salário negociado estiver sem valor, buscamos o valor do perfil na aba "Lista", caso contrario, utilizamos o valor negociado.</t>
        </r>
      </text>
    </comment>
    <comment ref="L8" authorId="0" shapeId="0" xr:uid="{A96492EF-1CAF-469C-8652-6D4E1906632C}">
      <text>
        <r>
          <rPr>
            <sz val="11"/>
            <color theme="1"/>
            <rFont val="Calibri"/>
            <family val="2"/>
            <scheme val="minor"/>
          </rPr>
          <t>======
ID#AAAAvU02sz8
tc={92AC2C7C-79E3-4004-A62F-A08B3284592A}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Coluna será utilizada quando o cliente tiver budget fixo.</t>
        </r>
      </text>
    </comment>
    <comment ref="M8" authorId="0" shapeId="0" xr:uid="{6EAB9A80-D462-4745-A73D-D77D41106024}">
      <text>
        <r>
          <rPr>
            <sz val="11"/>
            <color theme="1"/>
            <rFont val="Calibri"/>
            <family val="2"/>
            <scheme val="minor"/>
          </rPr>
          <t>======
ID#AAAAvU02sz4
tc={5DA32E7D-0484-4C82-B457-4FA863C15998}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de markup que utilizaremos. 
Quando esta coluna estiver zerada, utilizaremos o percentual padrão alimentado na célula "Markup mínimo".</t>
        </r>
      </text>
    </comment>
    <comment ref="U8" authorId="0" shapeId="0" xr:uid="{B0C73012-AB38-4989-B4CD-AB7DC3444922}">
      <text>
        <r>
          <rPr>
            <sz val="11"/>
            <color theme="1"/>
            <rFont val="Calibri"/>
            <family val="2"/>
            <scheme val="minor"/>
          </rPr>
          <t>======
ID#AAAApZwoWIw
tc={EFDE13D4-D63A-4E6F-8AA1-C28716AB17B6}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8% FGTS, calculado sobre o valor do salário.</t>
        </r>
      </text>
    </comment>
    <comment ref="V8" authorId="0" shapeId="0" xr:uid="{BCCBC846-3C74-49FB-8D18-D3B4B2187AD5}">
      <text>
        <r>
          <rPr>
            <sz val="11"/>
            <color theme="1"/>
            <rFont val="Calibri"/>
            <family val="2"/>
            <scheme val="minor"/>
          </rPr>
          <t>======
ID#AAAApZwoWIU
tc={5E315CFC-4DFD-4F71-9BE0-4BD44ABE451D}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40% do valor do FGTS já calculado sobre salário (coluna FGTS).</t>
        </r>
      </text>
    </comment>
    <comment ref="W8" authorId="0" shapeId="0" xr:uid="{C80FF2AB-2311-4A19-9FDE-1DE2995881DA}">
      <text>
        <r>
          <rPr>
            <sz val="11"/>
            <color theme="1"/>
            <rFont val="Calibri"/>
            <family val="2"/>
            <scheme val="minor"/>
          </rPr>
          <t>======
ID#AAAApZwoWI0
tc={3EBCBB32-48F8-42E3-A536-1C5C78BF18E3}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(1/12), calculado sobre o valor do salário.</t>
        </r>
      </text>
    </comment>
    <comment ref="X8" authorId="0" shapeId="0" xr:uid="{0C70B05E-0EAB-453A-877B-79A1A31CAC96}">
      <text>
        <r>
          <rPr>
            <sz val="11"/>
            <color theme="1"/>
            <rFont val="Calibri"/>
            <family val="2"/>
            <scheme val="minor"/>
          </rPr>
          <t>======
ID#AAAAvU02szs
tc={96673F5B-F164-4E85-9C13-74F50EFF55E9}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terço sobre a coluna "Férias",  calculada sobre o valor do salário.</t>
        </r>
      </text>
    </comment>
    <comment ref="Y8" authorId="0" shapeId="0" xr:uid="{3B4E2F20-B9A1-4500-A655-BC9075AEC327}">
      <text>
        <r>
          <rPr>
            <sz val="11"/>
            <color theme="1"/>
            <rFont val="Calibri"/>
            <family val="2"/>
            <scheme val="minor"/>
          </rPr>
          <t>======
ID#AAAApZwoWIM
tc={734DBC97-09D2-40DE-955F-464A3FCB1C86}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 (1/12).</t>
        </r>
      </text>
    </comment>
    <comment ref="Z8" authorId="0" shapeId="0" xr:uid="{D98FF13F-9FBE-48D7-A88D-0ACD8B06864D}">
      <text>
        <r>
          <rPr>
            <sz val="11"/>
            <color theme="1"/>
            <rFont val="Calibri"/>
            <family val="2"/>
            <scheme val="minor"/>
          </rPr>
          <t>======
ID#AAAAvU02sz0
tc={9BEFA130-4A6D-45A5-9AC5-E5B3140C6F16}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doze avos por mês, calculado sobre o valor do salário (prevendo uma possível demissão sem justa causa).</t>
        </r>
      </text>
    </comment>
    <comment ref="AA8" authorId="0" shapeId="0" xr:uid="{751C67E3-8967-4A80-90BD-000BA1AC4D3B}">
      <text>
        <r>
          <rPr>
            <sz val="11"/>
            <color theme="1"/>
            <rFont val="Calibri"/>
            <family val="2"/>
            <scheme val="minor"/>
          </rPr>
          <t>======
ID#AAAApZwoWI4
tc={8E30CFB4-78B5-4F1E-A2CC-C831B41E6BA5}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aproximado para vale refeição, o valor dia é alimentado na célula "Ticket Rest. Dia".</t>
        </r>
      </text>
    </comment>
    <comment ref="AB8" authorId="0" shapeId="0" xr:uid="{35AF39EC-9EE1-4409-BF58-8A3CBCC41F32}">
      <text>
        <r>
          <rPr>
            <sz val="11"/>
            <color theme="1"/>
            <rFont val="Calibri"/>
            <family val="2"/>
            <scheme val="minor"/>
          </rPr>
          <t>======
ID#AAAApZwoWIs
tc={42CB44CF-6C8F-4934-88C2-E64519496300}    (2022-10-26 16:16:19)
[Comentário encadeado]
Sua versão do Excel permite que você leia este comentário encadeado, no entanto, as edições serão removidas se o arquivo for aberto em uma versão mais recente do Excel. Saiba mais: https://go.microsoft.com/fwlink/?linkid=870924
Comentário:
    9% de INSS, calculado sobre o valor do salário.</t>
        </r>
      </text>
    </comment>
    <comment ref="AC8" authorId="0" shapeId="0" xr:uid="{8B0612FA-8AF3-419A-8AE1-2234D6D34135}">
      <text>
        <r>
          <rPr>
            <sz val="11"/>
            <color theme="1"/>
            <rFont val="Calibri"/>
            <family val="2"/>
            <scheme val="minor"/>
          </rPr>
          <t>======
ID#AAAAvU02szw
tc={1EAE4B04-39F2-4E3A-A3DA-0369818DEBBE}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fixo, dependente da nossa negociação com os convênios.</t>
        </r>
      </text>
    </comment>
    <comment ref="AD8" authorId="0" shapeId="0" xr:uid="{99133352-9A8A-4512-9AFB-59CFCF860047}">
      <text>
        <r>
          <rPr>
            <sz val="11"/>
            <color theme="1"/>
            <rFont val="Calibri"/>
            <family val="2"/>
            <scheme val="minor"/>
          </rPr>
          <t>======
ID#AAAAvU02szo
tc={F95969BC-0D1D-4184-83A2-0AC7E0565A3F}    (2022-10-26 16:16:18)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total dos impostos e encargos, sendo "PJ" ou "CLT", separamos os encargos para cada tipo através de cada coluna, aqui temos apenas a soma delas.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<sst xmlns="http://schemas.openxmlformats.org/spreadsheetml/2006/main" count="3768" uniqueCount="1476">
  <si>
    <t>Configuração de custos</t>
  </si>
  <si>
    <t>Atributos sobre a forma de trabalho do cliente</t>
  </si>
  <si>
    <t>Config</t>
  </si>
  <si>
    <t>% Base</t>
  </si>
  <si>
    <t>$ Incremento</t>
  </si>
  <si>
    <t>Fornece máquina</t>
  </si>
  <si>
    <t>VERDADEIRO</t>
  </si>
  <si>
    <t>Fornece monitor adicional</t>
  </si>
  <si>
    <t>Fornece licenças necessárias</t>
  </si>
  <si>
    <t xml:space="preserve">Horas abertas </t>
  </si>
  <si>
    <t>Modo de trabalho</t>
  </si>
  <si>
    <t>Full Home</t>
  </si>
  <si>
    <t>Aceita colaboradores de outros estados</t>
  </si>
  <si>
    <t xml:space="preserve">Risco de atraso </t>
  </si>
  <si>
    <t>Baixo</t>
  </si>
  <si>
    <t>RESUMO</t>
  </si>
  <si>
    <t>Base horas mês</t>
  </si>
  <si>
    <t>$ salários + encargos</t>
  </si>
  <si>
    <t>FGTS</t>
  </si>
  <si>
    <t>Nº colab bilable</t>
  </si>
  <si>
    <t>Valor convênio</t>
  </si>
  <si>
    <t>% Comissão vend.</t>
  </si>
  <si>
    <t>$ faturamento</t>
  </si>
  <si>
    <t>FGTS Multa</t>
  </si>
  <si>
    <t>Nº colab no bilable</t>
  </si>
  <si>
    <t>Valor comissão</t>
  </si>
  <si>
    <t>% Imposto NF</t>
  </si>
  <si>
    <t>$ Custos</t>
  </si>
  <si>
    <t>INSS</t>
  </si>
  <si>
    <t>% Rateio no Bilable</t>
  </si>
  <si>
    <t>$ lucratividade</t>
  </si>
  <si>
    <t>Ticket Rest. Dia</t>
  </si>
  <si>
    <t>Total Billable</t>
  </si>
  <si>
    <t>Taxa de risco</t>
  </si>
  <si>
    <t>% lucro real</t>
  </si>
  <si>
    <t>Tarifa média hr.</t>
  </si>
  <si>
    <t>Total No Bilable</t>
  </si>
  <si>
    <t>CONFIGURAÇÃO EQUIPE</t>
  </si>
  <si>
    <t>CONFIG RECURSO</t>
  </si>
  <si>
    <t>C U S T O S   C O M     C O L A B O R A D O R E S</t>
  </si>
  <si>
    <t xml:space="preserve">T A R I F A / F A T U R A M E N T O </t>
  </si>
  <si>
    <t xml:space="preserve">C U S T O S  C L T </t>
  </si>
  <si>
    <t>IMPOSTOS</t>
  </si>
  <si>
    <t>LUCRATIVIDADE</t>
  </si>
  <si>
    <t>Necessidade cliente</t>
  </si>
  <si>
    <t>Reg</t>
  </si>
  <si>
    <t>H.trab</t>
  </si>
  <si>
    <t>Billable</t>
  </si>
  <si>
    <t>$ Negociado/salário</t>
  </si>
  <si>
    <t>$ salário cheio</t>
  </si>
  <si>
    <t>$ Salário real</t>
  </si>
  <si>
    <t>$ Custo Colab</t>
  </si>
  <si>
    <t>$ Custo colab + Imp</t>
  </si>
  <si>
    <t>$ Tarifa negociada</t>
  </si>
  <si>
    <t>Markup</t>
  </si>
  <si>
    <t>$ Risco</t>
  </si>
  <si>
    <t>$ Tar. cheia</t>
  </si>
  <si>
    <t>$ Tar. calculada</t>
  </si>
  <si>
    <t>$ Comissão</t>
  </si>
  <si>
    <t>$ Tarifa bilable</t>
  </si>
  <si>
    <t>Valor hora</t>
  </si>
  <si>
    <t>FGTS multa</t>
  </si>
  <si>
    <t>Férias</t>
  </si>
  <si>
    <t>1/3 férias</t>
  </si>
  <si>
    <t>13º salário</t>
  </si>
  <si>
    <t>Aviso Remuner</t>
  </si>
  <si>
    <t>Vl. Restaurante</t>
  </si>
  <si>
    <t>Convênio</t>
  </si>
  <si>
    <t>$ Total Encargos</t>
  </si>
  <si>
    <t>Imposto Nota</t>
  </si>
  <si>
    <t>$ lucro</t>
  </si>
  <si>
    <t xml:space="preserve">% Lucro </t>
  </si>
  <si>
    <t>Gerente T.I. Gestão</t>
  </si>
  <si>
    <t>PJ</t>
  </si>
  <si>
    <t>Não</t>
  </si>
  <si>
    <t>Coordenador de Qualidade de Software Gestão</t>
  </si>
  <si>
    <t>Sim</t>
  </si>
  <si>
    <t>Analista Q.A. Sênior</t>
  </si>
  <si>
    <t>Analista Q.A. Pleno</t>
  </si>
  <si>
    <t>Analista Q.A. Júnior</t>
  </si>
  <si>
    <t>Q</t>
  </si>
  <si>
    <t>P</t>
  </si>
  <si>
    <t>I</t>
  </si>
  <si>
    <t>M</t>
  </si>
  <si>
    <t>AB</t>
  </si>
  <si>
    <t>Tarifa com rateio</t>
  </si>
  <si>
    <t>Comissão</t>
  </si>
  <si>
    <t>Salario</t>
  </si>
  <si>
    <t>Risco</t>
  </si>
  <si>
    <t>Imposto</t>
  </si>
  <si>
    <t>Custo</t>
  </si>
  <si>
    <t>Lucro</t>
  </si>
  <si>
    <t>Custo hora</t>
  </si>
  <si>
    <t>$ Tarifa</t>
  </si>
  <si>
    <t>Loc. Equip.</t>
  </si>
  <si>
    <t>Soma de horas</t>
  </si>
  <si>
    <t>hora média</t>
  </si>
  <si>
    <t>Composição de preços (CLT e PJ)</t>
  </si>
  <si>
    <t>Diferença de CLT para PJ</t>
  </si>
  <si>
    <t>Júnior</t>
  </si>
  <si>
    <t>Pleno</t>
  </si>
  <si>
    <t>Sênior</t>
  </si>
  <si>
    <t>Automatizador</t>
  </si>
  <si>
    <t>Especialista</t>
  </si>
  <si>
    <t>Agilista</t>
  </si>
  <si>
    <t>Gestão</t>
  </si>
  <si>
    <t>Especialidade</t>
  </si>
  <si>
    <t>Perfil</t>
  </si>
  <si>
    <t>Senioridade</t>
  </si>
  <si>
    <t>CLT</t>
  </si>
  <si>
    <t>Tipo</t>
  </si>
  <si>
    <t>Check list de ferramentas utilizadas no cliente</t>
  </si>
  <si>
    <t>Foco</t>
  </si>
  <si>
    <t>Softwares</t>
  </si>
  <si>
    <t>Free</t>
  </si>
  <si>
    <t>Do Cliente</t>
  </si>
  <si>
    <t>Status</t>
  </si>
  <si>
    <t>Obs.</t>
  </si>
  <si>
    <t>Dt conclusão</t>
  </si>
  <si>
    <t>modelo</t>
  </si>
  <si>
    <t>Híbrido</t>
  </si>
  <si>
    <t>Perc.Hib.</t>
  </si>
  <si>
    <t>AVN</t>
  </si>
  <si>
    <t>Utilizar valores da Tabela</t>
  </si>
  <si>
    <t>Mínimo CLT</t>
  </si>
  <si>
    <t>Média CLT</t>
  </si>
  <si>
    <t>Máximo CLT</t>
  </si>
  <si>
    <t>TECH HUB</t>
  </si>
  <si>
    <t>TALENT</t>
  </si>
  <si>
    <t>GLASS DOR</t>
  </si>
  <si>
    <t>FONTE PESQUISA</t>
  </si>
  <si>
    <t>BASE</t>
  </si>
  <si>
    <t>Diferença</t>
  </si>
  <si>
    <t>Definição</t>
  </si>
  <si>
    <t>% Dif</t>
  </si>
  <si>
    <t xml:space="preserve">% </t>
  </si>
  <si>
    <t>ROBERT HALF</t>
  </si>
  <si>
    <t>CATHO</t>
  </si>
  <si>
    <t>Dif. Alta</t>
  </si>
  <si>
    <t>Dif. Média</t>
  </si>
  <si>
    <t>Dif. Baixa</t>
  </si>
  <si>
    <t>Administrador/Consultor Salesforce - Junior</t>
  </si>
  <si>
    <t>Administrador/Consultor Salesforce - Pleno</t>
  </si>
  <si>
    <t>Administrador/Consultor Salesforce - Senior</t>
  </si>
  <si>
    <t>Administrador/Consultor Salesforce - Especialista</t>
  </si>
  <si>
    <t>Analista de Suporte (N2) - Pleno</t>
  </si>
  <si>
    <t>Analista de Suporte (N2) - Senior</t>
  </si>
  <si>
    <t>Analista de Testes de Performance - Pleno</t>
  </si>
  <si>
    <t>Analista de Testes de Performance - Senior</t>
  </si>
  <si>
    <t>Analista de Testes de Performance - Especialista</t>
  </si>
  <si>
    <t>Engenheiro de Dados - Pleno</t>
  </si>
  <si>
    <t xml:space="preserve">Engenheiro de Dados - Senior </t>
  </si>
  <si>
    <t>Agilista - Junior</t>
  </si>
  <si>
    <t>Analista Funcional de Suporte (N2) - Junior</t>
  </si>
  <si>
    <t>Analista Funcional de Suporte (N2) - Pleno</t>
  </si>
  <si>
    <t>Analista Funcional de Suporte (N2) - Senior</t>
  </si>
  <si>
    <t>Analista Funcional de Suporte (N2) - Especialista</t>
  </si>
  <si>
    <t>Analista de Web Analytics - Junior</t>
  </si>
  <si>
    <t>Analista de Web Analytics - Pleno</t>
  </si>
  <si>
    <t>Analista de Web Analytics - Senior</t>
  </si>
  <si>
    <t>Analista de Web Analytics - Especialista</t>
  </si>
  <si>
    <t>Desenvolvedor - PL-SQL/C#/Delphi - Junior</t>
  </si>
  <si>
    <t>Desenvolvedor - PL-SQL/C#/Delphi - Pleno</t>
  </si>
  <si>
    <t>Desenvolvedor - PL-SQL/C#/Delphi - Senior</t>
  </si>
  <si>
    <t>Desenvolvedor - PL-SQL/C#/Delphi - Especialista</t>
  </si>
  <si>
    <t>Desenvolvedor ANDROID - Junior</t>
  </si>
  <si>
    <t>Desenvolvedor ANDROID - Pleno</t>
  </si>
  <si>
    <t>Desenvolvedor ANDROID - Senior</t>
  </si>
  <si>
    <t>Desenvolvedor ANDROID - Especialista</t>
  </si>
  <si>
    <t>Desenvolvedor IOS - Junior</t>
  </si>
  <si>
    <t>Desenvolvedor IOS - Pleno</t>
  </si>
  <si>
    <t>Desenvolvedor IOS - Senior</t>
  </si>
  <si>
    <t>Desenvolvedor IOS - Especialista</t>
  </si>
  <si>
    <t>Design Lead - Junior</t>
  </si>
  <si>
    <t>Design Lead - Pleno</t>
  </si>
  <si>
    <t>Design Lead - Senior</t>
  </si>
  <si>
    <t>Design Lead - Especialista</t>
  </si>
  <si>
    <t>Gerente de Projetos - Senior</t>
  </si>
  <si>
    <t>Product Owner - Pleno</t>
  </si>
  <si>
    <t>SER - Junior</t>
  </si>
  <si>
    <t>SER - Pleno</t>
  </si>
  <si>
    <t>SER - Senior</t>
  </si>
  <si>
    <t>SER - Especialista</t>
  </si>
  <si>
    <t>UX Research - Junior</t>
  </si>
  <si>
    <t>UX Research - Pleno</t>
  </si>
  <si>
    <t>UX Research - Senior</t>
  </si>
  <si>
    <t>UX Research - Especialista</t>
  </si>
  <si>
    <t>Arquiteto de Soluções BI Especialista/Líder</t>
  </si>
  <si>
    <t>Arquiteto de Soluções BI Junior</t>
  </si>
  <si>
    <t>Arquiteto de Soluções BI Pleno</t>
  </si>
  <si>
    <t>Arquiteto de Soluções BI Senior</t>
  </si>
  <si>
    <t>Arquiteto SalesForce Senior</t>
  </si>
  <si>
    <t>PO Sr</t>
  </si>
  <si>
    <t>Encargos</t>
  </si>
  <si>
    <t xml:space="preserve">Imposto </t>
  </si>
  <si>
    <t>Salário</t>
  </si>
  <si>
    <t>Valor Dor</t>
  </si>
  <si>
    <t>Analista de Testes de Performance - Junior</t>
  </si>
  <si>
    <t>DEV FullStack Java Pleno</t>
  </si>
  <si>
    <t>DEV FullStack Node/React Pleno</t>
  </si>
  <si>
    <t>DEV FullStack Node/React Senior</t>
  </si>
  <si>
    <t>QA AUT. Senior</t>
  </si>
  <si>
    <t>FGTS Sobre Aviso</t>
  </si>
  <si>
    <t>FGTS sobre 13º e Férias</t>
  </si>
  <si>
    <t>INSS+RAT+TERC</t>
  </si>
  <si>
    <t>INSS+RAT+Terc (13º e Fér)</t>
  </si>
  <si>
    <t>Incluídos</t>
  </si>
  <si>
    <t>Ok</t>
  </si>
  <si>
    <t>Alterados</t>
  </si>
  <si>
    <t>Ajustes do cálculo CLT que precisamos ajustar em todas tabelas</t>
  </si>
  <si>
    <t>Remover</t>
  </si>
  <si>
    <t>Marg Contrib</t>
  </si>
  <si>
    <t>Analista de privacidade</t>
  </si>
  <si>
    <t>Analista de continuidade de negócios</t>
  </si>
  <si>
    <t>Enviar</t>
  </si>
  <si>
    <t>SIM</t>
  </si>
  <si>
    <t>Arquiteto OutSystems Senior</t>
  </si>
  <si>
    <t>Tech Lead</t>
  </si>
  <si>
    <t>Agilista - Junior Júnior</t>
  </si>
  <si>
    <t>Analista de Suporte (N1)</t>
  </si>
  <si>
    <t>Analista de Suporte (N2)</t>
  </si>
  <si>
    <t>Analista de Negócios</t>
  </si>
  <si>
    <t>Analista de Qualidade</t>
  </si>
  <si>
    <t>Analista UX</t>
  </si>
  <si>
    <t>Arquiteto de infraestrutura</t>
  </si>
  <si>
    <t>Arquiteto de Soluções</t>
  </si>
  <si>
    <t>Desenvolvedor BackEnd</t>
  </si>
  <si>
    <t>Desenvolvedor FrontEnd</t>
  </si>
  <si>
    <t>Desenvolvedor FullStack</t>
  </si>
  <si>
    <t>Desenvolvedor Mobile</t>
  </si>
  <si>
    <t>Desenvolvedor Salesforce</t>
  </si>
  <si>
    <t>DevSecOps</t>
  </si>
  <si>
    <t>Engenheiro de Dados</t>
  </si>
  <si>
    <t>Gerente de Projetos</t>
  </si>
  <si>
    <t>Product Owner</t>
  </si>
  <si>
    <t>RPA</t>
  </si>
  <si>
    <t>Scrum Master</t>
  </si>
  <si>
    <t>Machine Learning Engineer</t>
  </si>
  <si>
    <t>Analista de Processos</t>
  </si>
  <si>
    <t>Analista de Inteligência Artificial</t>
  </si>
  <si>
    <t>Analista de Dados/ BI</t>
  </si>
  <si>
    <t>Cientista de Dados</t>
  </si>
  <si>
    <t>Analista de Segurança da Informação</t>
  </si>
  <si>
    <t>Analista de SI – Gestão de Acessos/ Identidade</t>
  </si>
  <si>
    <t>Agilista Especialista</t>
  </si>
  <si>
    <t>Agilista Pleno</t>
  </si>
  <si>
    <t>Agilista Sênior</t>
  </si>
  <si>
    <t>Analista de Dados/ BI Especialista</t>
  </si>
  <si>
    <t>Analista de Dados/ BI Júnior</t>
  </si>
  <si>
    <t>Analista de Dados/ BI Pleno</t>
  </si>
  <si>
    <t>Analista de Dados/ BI Sênior</t>
  </si>
  <si>
    <t>Analista de Inteligência Artificial Especialista</t>
  </si>
  <si>
    <t>Analista de Inteligência Artificial Júnior</t>
  </si>
  <si>
    <t>Analista de Inteligência Artificial Pleno</t>
  </si>
  <si>
    <t>Analista de Inteligência Artificial Sênior</t>
  </si>
  <si>
    <t>Analista de Processos Especialista</t>
  </si>
  <si>
    <t>Analista de Processos Júnior</t>
  </si>
  <si>
    <t>Analista de Processos Pleno</t>
  </si>
  <si>
    <t>Analista de Processos Sênior</t>
  </si>
  <si>
    <t>Analista de Qualidade Especialista</t>
  </si>
  <si>
    <t>Analista de Qualidade Júnior</t>
  </si>
  <si>
    <t>Analista de Qualidade Pleno</t>
  </si>
  <si>
    <t>Analista de Qualidade Sênior</t>
  </si>
  <si>
    <t>Analista de Negócios Especialista</t>
  </si>
  <si>
    <t>Analista de Negócios Júnior</t>
  </si>
  <si>
    <t>Analista de Negócios Pleno</t>
  </si>
  <si>
    <t>Analista de Negócios Sênior</t>
  </si>
  <si>
    <t>Analista de Suporte (N1) Júnior</t>
  </si>
  <si>
    <t>Analista de Suporte (N1) Pleno</t>
  </si>
  <si>
    <t>Analista de Suporte (N1) Sênior</t>
  </si>
  <si>
    <t>Analista de Suporte (N2) Júnior</t>
  </si>
  <si>
    <t>Analista de Suporte (N2) Pleno</t>
  </si>
  <si>
    <t>Analista de Suporte (N2) Sênior</t>
  </si>
  <si>
    <t>Analista UX Especialista</t>
  </si>
  <si>
    <t>Analista UX Júnior</t>
  </si>
  <si>
    <t>Analista UX Pleno</t>
  </si>
  <si>
    <t>Analista UX Sênior</t>
  </si>
  <si>
    <t>Arquiteto de infraestrutura Especialista</t>
  </si>
  <si>
    <t>Arquiteto de infraestrutura Pleno</t>
  </si>
  <si>
    <t>Arquiteto de infraestrutura Sênior</t>
  </si>
  <si>
    <t>Arquiteto de Soluções Especialista</t>
  </si>
  <si>
    <t>Arquiteto de Soluções Pleno</t>
  </si>
  <si>
    <t>Arquiteto de Soluções Sênior</t>
  </si>
  <si>
    <t>Cientista de Dados Especialista</t>
  </si>
  <si>
    <t>Cientista de Dados Júnior</t>
  </si>
  <si>
    <t>Cientista de Dados Pleno</t>
  </si>
  <si>
    <t>Cientista de Dados Sênior</t>
  </si>
  <si>
    <t>Desenvolvedor BackEnd Especialista</t>
  </si>
  <si>
    <t>Desenvolvedor BackEnd Júnior</t>
  </si>
  <si>
    <t>Desenvolvedor BackEnd Pleno</t>
  </si>
  <si>
    <t>Desenvolvedor BackEnd Sênior</t>
  </si>
  <si>
    <t>Desenvolvedor FrontEnd Especialista</t>
  </si>
  <si>
    <t>Desenvolvedor FrontEnd Júnior</t>
  </si>
  <si>
    <t>Desenvolvedor FrontEnd Pleno</t>
  </si>
  <si>
    <t>Desenvolvedor FrontEnd Sênior</t>
  </si>
  <si>
    <t>Desenvolvedor FullStack Especialista</t>
  </si>
  <si>
    <t>Desenvolvedor FullStack Júnior</t>
  </si>
  <si>
    <t>Desenvolvedor FullStack Pleno</t>
  </si>
  <si>
    <t>Desenvolvedor FullStack Sênior</t>
  </si>
  <si>
    <t>Desenvolvedor Mobile Especialista</t>
  </si>
  <si>
    <t>Desenvolvedor Mobile Júnior</t>
  </si>
  <si>
    <t>Desenvolvedor Mobile Pleno</t>
  </si>
  <si>
    <t>Desenvolvedor Mobile Sênior</t>
  </si>
  <si>
    <t>Desenvolvedor Salesforce Especialista</t>
  </si>
  <si>
    <t>Desenvolvedor Salesforce Júnior</t>
  </si>
  <si>
    <t>Desenvolvedor Salesforce Pleno</t>
  </si>
  <si>
    <t>Desenvolvedor Salesforce Sênior</t>
  </si>
  <si>
    <t>DevSecOps Especialista</t>
  </si>
  <si>
    <t>DevSecOps Júnior</t>
  </si>
  <si>
    <t>DevSecOps Pleno</t>
  </si>
  <si>
    <t>DevSecOps Sênior</t>
  </si>
  <si>
    <t>Engenheiro de Dados Especialista</t>
  </si>
  <si>
    <t>Engenheiro de Dados Júnior</t>
  </si>
  <si>
    <t>Engenheiro de Dados Pleno</t>
  </si>
  <si>
    <t>Engenheiro de Dados Sênior</t>
  </si>
  <si>
    <t>Gerente de Projetos Júnior</t>
  </si>
  <si>
    <t>Gerente de Projetos Pleno</t>
  </si>
  <si>
    <t>Gerente de Projetos Sênior</t>
  </si>
  <si>
    <t>Machine Learning Engineer Especialista</t>
  </si>
  <si>
    <t>Machine Learning Engineer Júnior</t>
  </si>
  <si>
    <t>Machine Learning Engineer Pleno</t>
  </si>
  <si>
    <t>Machine Learning Engineer Sênior</t>
  </si>
  <si>
    <t>Product Owner Júnior</t>
  </si>
  <si>
    <t>Product Owner Pleno</t>
  </si>
  <si>
    <t>Product Owner Sênior</t>
  </si>
  <si>
    <t>RPA Especialista</t>
  </si>
  <si>
    <t>RPA Júnior</t>
  </si>
  <si>
    <t>RPA Pleno</t>
  </si>
  <si>
    <t>RPA Sênior</t>
  </si>
  <si>
    <t>SAP Especialista</t>
  </si>
  <si>
    <t>SAP Júnior</t>
  </si>
  <si>
    <t>SAP Pleno</t>
  </si>
  <si>
    <t>SAP Sênior</t>
  </si>
  <si>
    <t>Scrum Master Júnior</t>
  </si>
  <si>
    <t>Scrum Master Pleno</t>
  </si>
  <si>
    <t>Scrum Master Sênior</t>
  </si>
  <si>
    <t>Tech Lead Especialista</t>
  </si>
  <si>
    <t>Tech Lead Pleno</t>
  </si>
  <si>
    <t>Tech Lead Sênior</t>
  </si>
  <si>
    <t>Analista de SI – Gestão de Acessos/ Identidade Júnior</t>
  </si>
  <si>
    <t>Analista de SI – Gestão de Acessos/ Identidade Pleno</t>
  </si>
  <si>
    <t>Analista de SI – Gestão de Acessos/ Identidade Sênior</t>
  </si>
  <si>
    <t>Analista de Segurança da Informação Especialista</t>
  </si>
  <si>
    <t>Analista de Segurança da Informação Júnior</t>
  </si>
  <si>
    <t>Analista de Segurança da Informação Pleno</t>
  </si>
  <si>
    <t>Analista de Segurança da Informação Sênior</t>
  </si>
  <si>
    <t>Vale Refeição/Alimentação</t>
  </si>
  <si>
    <t>Base CLT</t>
  </si>
  <si>
    <t>Redução benefício</t>
  </si>
  <si>
    <t>DBA - Administrador de Banco de Dados</t>
  </si>
  <si>
    <t>Engenheiro de Cloud (AWS / Azure / GCP)</t>
  </si>
  <si>
    <t>SRE - Site Reliability Engenier</t>
  </si>
  <si>
    <t>Engenheiro de Cloud (AWS / Azure / GCP) Especialista</t>
  </si>
  <si>
    <t>Engenheiro de Cloud (AWS / Azure / GCP) Júnior</t>
  </si>
  <si>
    <t>Engenheiro de Cloud (AWS / Azure / GCP) Pleno</t>
  </si>
  <si>
    <t>Engenheiro de Cloud (AWS / Azure / GCP) Sênior</t>
  </si>
  <si>
    <t>Analista de redes/infraestrutura</t>
  </si>
  <si>
    <t>Analista de redes/infraestrutura Especialista</t>
  </si>
  <si>
    <t>Analista de redes/infraestrutura Júnior</t>
  </si>
  <si>
    <t>Analista de redes/infraestrutura Pleno</t>
  </si>
  <si>
    <t>Analista de redes/infraestrutura Sênior</t>
  </si>
  <si>
    <t>SRE - Site Reliability Engenier Especialista</t>
  </si>
  <si>
    <t>SRE - Site Reliability Engenier Júnior</t>
  </si>
  <si>
    <t>SRE - Site Reliability Engenier Pleno</t>
  </si>
  <si>
    <t>SRE - Site Reliability Engenier Sênior</t>
  </si>
  <si>
    <t>DBA - Administrador de Banco de Dados Especialista</t>
  </si>
  <si>
    <t>DBA - Administrador de Banco de Dados Júnior</t>
  </si>
  <si>
    <t>DBA - Administrador de Banco de Dados Pleno</t>
  </si>
  <si>
    <t>DBA - Administrador de Banco de Dados Sênior</t>
  </si>
  <si>
    <t>Coordenador de T.I.</t>
  </si>
  <si>
    <t>Coordenador de T.I. Sênior</t>
  </si>
  <si>
    <t>Tarifa híbrido/presencial</t>
  </si>
  <si>
    <t>Tarifa home office</t>
  </si>
  <si>
    <t>Diferença home office</t>
  </si>
  <si>
    <t>Home office</t>
  </si>
  <si>
    <t>$ hora</t>
  </si>
  <si>
    <t>$ mensal</t>
  </si>
  <si>
    <t>Transporte</t>
  </si>
  <si>
    <t>Analista de Governança de TI Especialista REMOTO</t>
  </si>
  <si>
    <t>3006385 Analista de Governança de TI Especialista REMOTO</t>
  </si>
  <si>
    <t>Analista de Governança de TI Especialista PRESENCIAL</t>
  </si>
  <si>
    <t>3006386 Analista de Governança de TI Especialista PRESENCIAL</t>
  </si>
  <si>
    <t>Analista de Governança de TI JR REMOTO</t>
  </si>
  <si>
    <t>3006387 Analista de Governança de TI JR REMOTO</t>
  </si>
  <si>
    <t>Analista de Governança de TI JR PRESENCIAL</t>
  </si>
  <si>
    <t>3006388 Analista de Governança de TI JR PRESENCIAL</t>
  </si>
  <si>
    <t>Analista de Governança de TI PL REMOTO</t>
  </si>
  <si>
    <t>3006389 Analista de Governança de TI PL REMOTO</t>
  </si>
  <si>
    <t>Analista de Governança de TI PL PRESENCIAL</t>
  </si>
  <si>
    <t>3006373 Analista de Governança de TI PL PRESENCIAL</t>
  </si>
  <si>
    <t>Analista de Governança de TI SR REMOTO</t>
  </si>
  <si>
    <t>3006391 Analista de Governança de TI SR REMOTO</t>
  </si>
  <si>
    <t>Analista de Governança de TI SR PRESENCIAL</t>
  </si>
  <si>
    <t>3006390 Analista de Governança de TI SR PRESENCIAL</t>
  </si>
  <si>
    <t>Analista DevOps Especialista REMOTO</t>
  </si>
  <si>
    <t>3006374 Analista DevOps Especialista REMOTO</t>
  </si>
  <si>
    <t>Analista DevOps Especialista PRESENCIAL</t>
  </si>
  <si>
    <t>3006379 Analista DevOps Especialista PRESENCIAL</t>
  </si>
  <si>
    <t>Analista DevOps JR REMOTO</t>
  </si>
  <si>
    <t>3006398 Analista DevOps JR REMOTO</t>
  </si>
  <si>
    <t>Analista DevOps JR PRESENCIAL</t>
  </si>
  <si>
    <t>3006393 Analista DevOps JR PRESENCIAL</t>
  </si>
  <si>
    <t>Analista DevOps PL REMOTO</t>
  </si>
  <si>
    <t>3006405 Analista DevOps PL REMOTO</t>
  </si>
  <si>
    <t>Analista DevOps PL PRESENCIAL</t>
  </si>
  <si>
    <t>3006397 Analista DevOps PL PRESENCIAL</t>
  </si>
  <si>
    <t>Analista DevOps SR REMOTO</t>
  </si>
  <si>
    <t>3006392 Analista DevOps SR REMOTO</t>
  </si>
  <si>
    <t>Analista DevOps SR PRESENCIAL</t>
  </si>
  <si>
    <t>3006402 Analista DevOps SR PRESENCIAL</t>
  </si>
  <si>
    <t>Analista Funcional SAP MM Especialista REMOTO</t>
  </si>
  <si>
    <t>3006395 Analista Funcional SAP MM Especialista REMOTO</t>
  </si>
  <si>
    <t>Analista Funcional SAP MM Especialista PRESENCIAL</t>
  </si>
  <si>
    <t>3006406 Analista Funcional SAP MM Especialista PRESENCIAL</t>
  </si>
  <si>
    <t>Analista Funcional SAP MM JR REMOTO</t>
  </si>
  <si>
    <t>3006401 Analista Funcional SAP MM JR REMOTO</t>
  </si>
  <si>
    <t>Analista Funcional SAP MM JR PRESENCIAL</t>
  </si>
  <si>
    <t>3006376 Analista Funcional SAP MM JR PRESENCIAL</t>
  </si>
  <si>
    <t>Analista Funcional SAP MM PL REMOTO</t>
  </si>
  <si>
    <t>3006375 Analista Funcional SAP MM PL REMOTO</t>
  </si>
  <si>
    <t>Analista Funcional SAP MM PL PRESENCIAL</t>
  </si>
  <si>
    <t>3006396 Analista Funcional SAP MM PL PRESENCIAL</t>
  </si>
  <si>
    <t>Analista Funcional SAP MM SR REMOTO</t>
  </si>
  <si>
    <t>3006412 Analista Funcional SAP MM SR REMOTO</t>
  </si>
  <si>
    <t>Analista Funcional SAP MM SR PRESENCIAL</t>
  </si>
  <si>
    <t>3006408 Analista Funcional SAP MM SR PRESENCIAL</t>
  </si>
  <si>
    <t>Analista Infraestrutura Especialista REMOTO</t>
  </si>
  <si>
    <t>3006394 Analista Infraestrutura Especialista REMOTO</t>
  </si>
  <si>
    <t>Analista Infraestrutura Especialista PRESENCIAL</t>
  </si>
  <si>
    <t>3006421 Analista Infraestrutura Especialista PRESENCIAL</t>
  </si>
  <si>
    <t>Analista Infraestrutura JR REMOTO</t>
  </si>
  <si>
    <t>3006409 Analista Infraestrutura JR REMOTO</t>
  </si>
  <si>
    <t>Analista Infraestrutura JR PRESENCIAL</t>
  </si>
  <si>
    <t>3006377 Analista Infraestrutura JR PRESENCIAL</t>
  </si>
  <si>
    <t>Analista Infraestrutura PL REMOTO</t>
  </si>
  <si>
    <t>3006407 Analista Infraestrutura PL REMOTO</t>
  </si>
  <si>
    <t>Analista Infraestrutura PL PRESENCIAL</t>
  </si>
  <si>
    <t>3006378 Analista Infraestrutura PL PRESENCIAL</t>
  </si>
  <si>
    <t>Analista Infraestrutura SR REMOTO</t>
  </si>
  <si>
    <t>3006400 Analista Infraestrutura SR REMOTO</t>
  </si>
  <si>
    <t>Analista Infraestrutura SR PRESENCIAL</t>
  </si>
  <si>
    <t>3006416 Analista Infraestrutura SR PRESENCIAL</t>
  </si>
  <si>
    <t>Analista RPM Especialista REMOTO</t>
  </si>
  <si>
    <t>3006404 Analista RPM Especialista REMOTO</t>
  </si>
  <si>
    <t>Analista RPM Especialista PRESENCIAL</t>
  </si>
  <si>
    <t>3006410 Analista RPM Especialista PRESENCIAL</t>
  </si>
  <si>
    <t>Analista RPM JR REMOTO</t>
  </si>
  <si>
    <t>3006403 Analista RPM JR REMOTO</t>
  </si>
  <si>
    <t>Analista RPM JR PRESENCIAL</t>
  </si>
  <si>
    <t>3006411 Analista RPM JR PRESENCIAL</t>
  </si>
  <si>
    <t>Analista RPM PL REMOTO</t>
  </si>
  <si>
    <t>3006399 Analista RPM PL REMOTO</t>
  </si>
  <si>
    <t>Analista RPM PL PRESENCIAL</t>
  </si>
  <si>
    <t>3006414 Analista RPM PL PRESENCIAL</t>
  </si>
  <si>
    <t>Analista RPM SR REMOTO</t>
  </si>
  <si>
    <t>3006417 Analista RPM SR REMOTO</t>
  </si>
  <si>
    <t>Analista RPM SR PRESENCIAL</t>
  </si>
  <si>
    <t>3006428 Analista RPM SR PRESENCIAL</t>
  </si>
  <si>
    <t>Arquiteto de Soluções Back End REMOTO</t>
  </si>
  <si>
    <t>3006413 Arquiteto de Soluções Back End REMOTO</t>
  </si>
  <si>
    <t>Arquiteto de Soluções Back End PRESENCIAL</t>
  </si>
  <si>
    <t>3006429 Arquiteto de Soluções Back End PRESENCIAL</t>
  </si>
  <si>
    <t>Assistente de Suporte Técnico JR REMOTO</t>
  </si>
  <si>
    <t>3006420 Assistente de Suporte Técnico JR REMOTO</t>
  </si>
  <si>
    <t>Assistente de Suporte Técnico JR PRESENCIAL</t>
  </si>
  <si>
    <t>3006415 Assistente de Suporte Técnico JR PRESENCIAL</t>
  </si>
  <si>
    <t>Assistente de Suporte Técnico PL REMOTO</t>
  </si>
  <si>
    <t>3006424 Assistente de Suporte Técnico PL REMOTO</t>
  </si>
  <si>
    <t>Assistente de Suporte Técnico PL PRESENCIAL</t>
  </si>
  <si>
    <t>3006422 Assistente de Suporte Técnico PL PRESENCIAL</t>
  </si>
  <si>
    <t>Assistente de Suporte Técnico SR REMOTO</t>
  </si>
  <si>
    <t>3006440 Assistente de Suporte Técnico SR REMOTO</t>
  </si>
  <si>
    <t>Assistente de Suporte Técnico SR PRESENCIAL</t>
  </si>
  <si>
    <t>3006430 Assistente de Suporte Técnico SR PRESENCIAL</t>
  </si>
  <si>
    <t>Desenvolvedor Front End Especialista REMOTO</t>
  </si>
  <si>
    <t>3006441 Desenvolvedor Front End Especialista REMOTO</t>
  </si>
  <si>
    <t>Desenvolvedor Front End Especialista PRESENCIAL</t>
  </si>
  <si>
    <t>3006425 Desenvolvedor Front End Especialista PRESENCIAL</t>
  </si>
  <si>
    <t>Desenvolvedor Front End JR REMOTO</t>
  </si>
  <si>
    <t>3006426 Desenvolvedor Front End JR REMOTO</t>
  </si>
  <si>
    <t>Desenvolvedor Front End JR PRESENCIAL</t>
  </si>
  <si>
    <t>3006418 Desenvolvedor Front End JR PRESENCIAL</t>
  </si>
  <si>
    <t>Desenvolvedor Front End PL REMOTO</t>
  </si>
  <si>
    <t>3006423 Desenvolvedor Front End PL REMOTO</t>
  </si>
  <si>
    <t>Desenvolvedor Front End PL PRESENCIAL</t>
  </si>
  <si>
    <t>3006427 Desenvolvedor Front End PL PRESENCIAL</t>
  </si>
  <si>
    <t>Desenvolvedor Front End SR REMOTO</t>
  </si>
  <si>
    <t>3006442 Desenvolvedor Front End SR REMOTO</t>
  </si>
  <si>
    <t>Desenvolvedor Front End SR PRESENCIAL</t>
  </si>
  <si>
    <t>3006419 Desenvolvedor Front End SR PRESENCIAL</t>
  </si>
  <si>
    <t>Agile Coach JR REMOTO</t>
  </si>
  <si>
    <t>3005124 Agile Coach JR REMOTO</t>
  </si>
  <si>
    <t>Agile Coach JR PRESENCIAL</t>
  </si>
  <si>
    <t>3005165 Agile Coach JR PRESENCIAL</t>
  </si>
  <si>
    <t>Agile Coach PL REMOTO</t>
  </si>
  <si>
    <t>3005130 Agile Coach PL REMOTO</t>
  </si>
  <si>
    <t>Agile Coach PL PRESENCIAL</t>
  </si>
  <si>
    <t>3005167 Agile Coach PL PRESENCIAL</t>
  </si>
  <si>
    <t>Agile Coach SR REMOTO</t>
  </si>
  <si>
    <t>3005125 Agile Coach SR REMOTO</t>
  </si>
  <si>
    <t>Agile Coach SR PRESENCIAL</t>
  </si>
  <si>
    <t>3005166 Agile Coach SR PRESENCIAL</t>
  </si>
  <si>
    <t>Agile Master JR REMOTO</t>
  </si>
  <si>
    <t>3005375 Agile Master JR REMOTO</t>
  </si>
  <si>
    <t>Agile Master JR PRESENCIAL</t>
  </si>
  <si>
    <t>3005374 Agile Master JR PRESENCIAL</t>
  </si>
  <si>
    <t>Agile Master PL REMOTO</t>
  </si>
  <si>
    <t>3005377 Agile Master PL REMOTO</t>
  </si>
  <si>
    <t>Agile Master PL PRESENCIAL</t>
  </si>
  <si>
    <t>3005376 Agile Master PL PRESENCIAL</t>
  </si>
  <si>
    <t>Agile Master SR REMOTO</t>
  </si>
  <si>
    <t>3005379 Agile Master SR REMOTO</t>
  </si>
  <si>
    <t>Agile Master SR PRESENCIAL</t>
  </si>
  <si>
    <t>3005378 Agile Master SR PRESENCIAL</t>
  </si>
  <si>
    <t>Analista Administrador Jira Especialista REMOTO</t>
  </si>
  <si>
    <t>3005381 Analista Administrador Jira Especialista REMOTO</t>
  </si>
  <si>
    <t>Analista Administrador Jira Especialista PRESENCIAL</t>
  </si>
  <si>
    <t>3005380 Analista Administrador Jira Especialista PRESENCIAL</t>
  </si>
  <si>
    <t>Analista Administrador Jira JR REMOTO</t>
  </si>
  <si>
    <t>3005383 Analista Administrador Jira JR REMOTO</t>
  </si>
  <si>
    <t>Analista Administrador Jira JR PRESENCIAL</t>
  </si>
  <si>
    <t>3005382 Analista Administrador Jira JR PRESENCIAL</t>
  </si>
  <si>
    <t>Analista Administrador Jira PL REMOTO</t>
  </si>
  <si>
    <t>3004719 Analista Administrador Jira PL REMOTO</t>
  </si>
  <si>
    <t>Analista Administrador Jira PL PRESENCIAL</t>
  </si>
  <si>
    <t>3004825 Analista Administrador Jira PL PRESENCIAL</t>
  </si>
  <si>
    <t>Analista Administrador Jira SR REMOTO</t>
  </si>
  <si>
    <t>3004718 Analista Administrador Jira SR REMOTO</t>
  </si>
  <si>
    <t>Analista Administrador Jira SR PRESENCIAL</t>
  </si>
  <si>
    <t>3004824 Analista Administrador Jira SR PRESENCIAL</t>
  </si>
  <si>
    <t>Analista AS400 Especialista REMOTO</t>
  </si>
  <si>
    <t>3004768 Analista AS400 Especialista REMOTO</t>
  </si>
  <si>
    <t>Analista AS400 Especialista PRESENCIAL</t>
  </si>
  <si>
    <t>3004870 Analista AS400 Especialista PRESENCIAL</t>
  </si>
  <si>
    <t>Analista AS400 JR REMOTO</t>
  </si>
  <si>
    <t>3005385 Analista AS400 JR REMOTO</t>
  </si>
  <si>
    <t>Analista AS400 JR PRESENCIAL</t>
  </si>
  <si>
    <t>3005384 Analista AS400 JR PRESENCIAL</t>
  </si>
  <si>
    <t>Analista AS400 PL REMOTO</t>
  </si>
  <si>
    <t>3005387 Analista AS400 PL REMOTO</t>
  </si>
  <si>
    <t>Analista AS400 PL PRESENCIAL</t>
  </si>
  <si>
    <t>3005386 Analista AS400 PL PRESENCIAL</t>
  </si>
  <si>
    <t>Analista AS400 SR REMOTO</t>
  </si>
  <si>
    <t>3005389 Analista AS400 SR REMOTO</t>
  </si>
  <si>
    <t>Analista AS400 SR PRESENCIAL</t>
  </si>
  <si>
    <t>3005388 Analista AS400 SR PRESENCIAL</t>
  </si>
  <si>
    <t>Analista Bot Especialista REMOTO</t>
  </si>
  <si>
    <t>3005395 Analista Bot Especialista REMOTO</t>
  </si>
  <si>
    <t>Analista Bot Especialista PRESENCIAL</t>
  </si>
  <si>
    <t>3005394 Analista Bot Especialista PRESENCIAL</t>
  </si>
  <si>
    <t>Analista Bot JR REMOTO</t>
  </si>
  <si>
    <t>3005397 Analista Bot JR REMOTO</t>
  </si>
  <si>
    <t>Analista Bot JR PRESENCIAL</t>
  </si>
  <si>
    <t>3005396 Analista Bot JR PRESENCIAL</t>
  </si>
  <si>
    <t>Analista Bot PL REMOTO</t>
  </si>
  <si>
    <t>3005399 Analista Bot PL REMOTO</t>
  </si>
  <si>
    <t>Analista Bot PL PRESENCIAL</t>
  </si>
  <si>
    <t>3005398 Analista Bot PL PRESENCIAL</t>
  </si>
  <si>
    <t>Analista Bot SR REMOTO</t>
  </si>
  <si>
    <t>3005401 Analista Bot SR REMOTO</t>
  </si>
  <si>
    <t>Analista Bot SR PRESENCIAL</t>
  </si>
  <si>
    <t>3005400 Analista Bot SR PRESENCIAL</t>
  </si>
  <si>
    <t>Analista Cybersecurity Especialista REMOTO</t>
  </si>
  <si>
    <t>3005403 Analista Cybersecurity Especialista REMOTO</t>
  </si>
  <si>
    <t>Analista Cybersecurity Especialista PRESENCIAL</t>
  </si>
  <si>
    <t>3005402 Analista Cybersecurity Especialista PRESENCIAL</t>
  </si>
  <si>
    <t>Analista Cybersecurity JR REMOTO</t>
  </si>
  <si>
    <t>3005405 Analista Cybersecurity JR REMOTO</t>
  </si>
  <si>
    <t>Analista Cybersecurity JR PRESENCIAL</t>
  </si>
  <si>
    <t>3005404 Analista Cybersecurity JR PRESENCIAL</t>
  </si>
  <si>
    <t>Analista Cybersecurity PL REMOTO</t>
  </si>
  <si>
    <t>3005407 Analista Cybersecurity PL REMOTO</t>
  </si>
  <si>
    <t>Analista Cybersecurity PL PRESENCIAL</t>
  </si>
  <si>
    <t>3005406 Analista Cybersecurity PL PRESENCIAL</t>
  </si>
  <si>
    <t>Analista Cybersecurity SR REMOTO</t>
  </si>
  <si>
    <t>3005409 Analista Cybersecurity SR REMOTO</t>
  </si>
  <si>
    <t>Analista Cybersecurity SR PRESENCIAL</t>
  </si>
  <si>
    <t>3005408 Analista Cybersecurity SR PRESENCIAL</t>
  </si>
  <si>
    <t>Analista DBA Especialista REMOTO</t>
  </si>
  <si>
    <t>3005411 Analista DBA Especialista REMOTO</t>
  </si>
  <si>
    <t>Analista DBA Especialista PRESENCIAL</t>
  </si>
  <si>
    <t>3005410 Analista DBA Especialista PRESENCIAL</t>
  </si>
  <si>
    <t>Analista DBA JR REMOTO</t>
  </si>
  <si>
    <t>3005413 Analista DBA JR REMOTO</t>
  </si>
  <si>
    <t>Analista DBA JR PRESENCIAL</t>
  </si>
  <si>
    <t>3005412 Analista DBA JR PRESENCIAL</t>
  </si>
  <si>
    <t>Analista DBA PL REMOTO</t>
  </si>
  <si>
    <t>3005097 Analista DBA PL REMOTO</t>
  </si>
  <si>
    <t>Analista DBA PL PRESENCIAL</t>
  </si>
  <si>
    <t>3005136 Analista DBA PL PRESENCIAL</t>
  </si>
  <si>
    <t>Analista DBA SR REMOTO</t>
  </si>
  <si>
    <t>3005415 Analista DBA SR REMOTO</t>
  </si>
  <si>
    <t>Analista DBA SR PRESENCIAL</t>
  </si>
  <si>
    <t>3005414 Analista DBA SR PRESENCIAL</t>
  </si>
  <si>
    <t>Analista de dados Especialista REMOTO</t>
  </si>
  <si>
    <t>3005417 Analista de dados Especialista REMOTO</t>
  </si>
  <si>
    <t>Analista de dados Especialista PRESENCIAL</t>
  </si>
  <si>
    <t>3005416 Analista de dados Especialista PRESENCIAL</t>
  </si>
  <si>
    <t>Analista de dados JR REMOTO</t>
  </si>
  <si>
    <t>3005419 Analista de dados JR REMOTO</t>
  </si>
  <si>
    <t>Analista de dados JR PRESENCIAL</t>
  </si>
  <si>
    <t>3005418 Analista de dados JR PRESENCIAL</t>
  </si>
  <si>
    <t>Analista de dados PL REMOTO</t>
  </si>
  <si>
    <t>3005421 Analista de dados PL REMOTO</t>
  </si>
  <si>
    <t>Analista de dados PL PRESENCIAL</t>
  </si>
  <si>
    <t>3005420 Analista de dados PL PRESENCIAL</t>
  </si>
  <si>
    <t>Analista de dados SR REMOTO</t>
  </si>
  <si>
    <t>3005423 Analista de dados SR REMOTO</t>
  </si>
  <si>
    <t>Analista de dados SR PRESENCIAL</t>
  </si>
  <si>
    <t>3005422 Analista de dados SR PRESENCIAL</t>
  </si>
  <si>
    <t>Analista de Processos e Negócios Especialista REMOTO</t>
  </si>
  <si>
    <t>3005425 Analista de Processos e Negócios Especialista REMOTO</t>
  </si>
  <si>
    <t>Analista de Processos e Negócios Especialista PRESENCIAL</t>
  </si>
  <si>
    <t>3005424 Analista de Processos e Negócios Especialista PRESENCIAL</t>
  </si>
  <si>
    <t>Analista de Processos e Negócios JR REMOTO</t>
  </si>
  <si>
    <t>3005427 Analista de Processos e Negócios JR REMOTO</t>
  </si>
  <si>
    <t>Analista de Processos e Negócios JR PRESENCIAL</t>
  </si>
  <si>
    <t>3005426 Analista de Processos e Negócios JR PRESENCIAL</t>
  </si>
  <si>
    <t>Analista de Processos e Negócios PL REMOTO</t>
  </si>
  <si>
    <t>3005429 Analista de Processos e Negócios PL REMOTO</t>
  </si>
  <si>
    <t>Analista de Processos e Negócios PL PRESENCIAL</t>
  </si>
  <si>
    <t>3005428 Analista de Processos e Negócios PL PRESENCIAL</t>
  </si>
  <si>
    <t>Analista de Processos e Negócios SR REMOTO</t>
  </si>
  <si>
    <t>3005431 Analista de Processos e Negócios SR REMOTO</t>
  </si>
  <si>
    <t>Analista de Processos e Negócios SR PRESENCIAL</t>
  </si>
  <si>
    <t>3005430 Analista de Processos e Negócios SR PRESENCIAL</t>
  </si>
  <si>
    <t>Analista de Processos Especialista REMOTO</t>
  </si>
  <si>
    <t>3005433 Analista de Processos Especialista REMOTO</t>
  </si>
  <si>
    <t>Analista de Processos Especialista PRESENCIAL</t>
  </si>
  <si>
    <t>3005432 Analista de Processos Especialista PRESENCIAL</t>
  </si>
  <si>
    <t>Analista de Processos JR REMOTO</t>
  </si>
  <si>
    <t>3005435 Analista de Processos JR REMOTO</t>
  </si>
  <si>
    <t>Analista de Processos JR PRESENCIAL</t>
  </si>
  <si>
    <t>3005434 Analista de Processos JR PRESENCIAL</t>
  </si>
  <si>
    <t>Analista de Processos PL REMOTO</t>
  </si>
  <si>
    <t>3005437 Analista de Processos PL REMOTO</t>
  </si>
  <si>
    <t>Analista de Processos PL PRESENCIAL</t>
  </si>
  <si>
    <t>3005436 Analista de Processos PL PRESENCIAL</t>
  </si>
  <si>
    <t>Analista de Processos SR REMOTO</t>
  </si>
  <si>
    <t>3005439 Analista de Processos SR REMOTO</t>
  </si>
  <si>
    <t>Analista de Processos SR PRESENCIAL</t>
  </si>
  <si>
    <t>3005438 Analista de Processos SR PRESENCIAL</t>
  </si>
  <si>
    <t>Analista de Segurança da Informação Especialista REMOTO</t>
  </si>
  <si>
    <t>3005441 Analista de Segurança da Informação Especialista REMOTO</t>
  </si>
  <si>
    <t>Analista de Segurança da Informação Especialista PRESENCIAL</t>
  </si>
  <si>
    <t>3005440 Analista de Segurança da Informação Especialista PRESENCIAL</t>
  </si>
  <si>
    <t>Analista de Segurança da Informação JR REMOTO</t>
  </si>
  <si>
    <t>3005443 Analista de Segurança da Informação JR REMOTO</t>
  </si>
  <si>
    <t>Analista de Segurança da Informação JR PRESENCIAL</t>
  </si>
  <si>
    <t>3005442 Analista de Segurança da Informação JR PRESENCIAL</t>
  </si>
  <si>
    <t>Analista de Segurança da Informação PL REMOTO</t>
  </si>
  <si>
    <t>3005445 Analista de Segurança da Informação PL REMOTO</t>
  </si>
  <si>
    <t>Analista de Segurança da Informação PL PRESENCIAL</t>
  </si>
  <si>
    <t>3005444 Analista de Segurança da Informação PL PRESENCIAL</t>
  </si>
  <si>
    <t>Analista de Segurança da Informação SR REMOTO</t>
  </si>
  <si>
    <t>3005447 Analista de Segurança da Informação SR REMOTO</t>
  </si>
  <si>
    <t>Analista de Segurança da Informação SR PRESENCIAL</t>
  </si>
  <si>
    <t>3005446 Analista de Segurança da Informação SR PRESENCIAL</t>
  </si>
  <si>
    <t>Analista de Sistemas Synchro Especialista PRESENCIAL</t>
  </si>
  <si>
    <t>3005448 Analista de Sistemas Synchro Especialista PRESENCIAL</t>
  </si>
  <si>
    <t>Analista de Sistemas Synchro Especialista REMOTO</t>
  </si>
  <si>
    <t>3005449 Analista de Sistemas Synchro Especialista REMOTO</t>
  </si>
  <si>
    <t>Analista de Sistemas Synchro JR PRESENCIAL</t>
  </si>
  <si>
    <t>3005450 Analista de Sistemas Synchro JR PRESENCIAL</t>
  </si>
  <si>
    <t>Analista de Sistemas Synchro JR REMOTO</t>
  </si>
  <si>
    <t>3005451 Analista de Sistemas Synchro JR REMOTO</t>
  </si>
  <si>
    <t>Analista de Sistemas Synchro PL PRESENCIAL</t>
  </si>
  <si>
    <t>3005452 Analista de Sistemas Synchro PL PRESENCIAL</t>
  </si>
  <si>
    <t>Analista de Sistemas Synchro PL REMOTO</t>
  </si>
  <si>
    <t>3005453 Analista de Sistemas Synchro PL REMOTO</t>
  </si>
  <si>
    <t>Analista de Sistemas Synchro SR PRESENCIAL</t>
  </si>
  <si>
    <t>3004861 Analista de Sistemas Synchro SR PRESENCIAL</t>
  </si>
  <si>
    <t>Analista de Sistemas Synchro SR REMOTO</t>
  </si>
  <si>
    <t>3004763 Analista de Sistemas Synchro SR REMOTO</t>
  </si>
  <si>
    <t>Analista de Suporte Técnico JR REMOTO</t>
  </si>
  <si>
    <t>3002338 Analista de Suporte Técnico JR REMOTO</t>
  </si>
  <si>
    <t>Analista de Suporte Técnico JR PRESENCIAL</t>
  </si>
  <si>
    <t>3005082 Analista de Suporte Técnico JR PRESENCIAL</t>
  </si>
  <si>
    <t>Analista de Suporte Técnico Líder REMOTO</t>
  </si>
  <si>
    <t>3005455 Analista de Suporte Técnico Líder REMOTO</t>
  </si>
  <si>
    <t>Analista de Suporte Técnico Líder PRESENCIAL</t>
  </si>
  <si>
    <t>3005454 Analista de Suporte Técnico Líder PRESENCIAL</t>
  </si>
  <si>
    <t>Analista de Suporte Técnico PL REMOTO</t>
  </si>
  <si>
    <t>3005457 Analista de Suporte Técnico PL REMOTO</t>
  </si>
  <si>
    <t>Analista de Suporte Técnico PL PRESENCIAL</t>
  </si>
  <si>
    <t>3005456 Analista de Suporte Técnico PL PRESENCIAL</t>
  </si>
  <si>
    <t>Analista de Suporte Técnico SR REMOTO</t>
  </si>
  <si>
    <t>3005459 Analista de Suporte Técnico SR REMOTO</t>
  </si>
  <si>
    <t>Analista de Suporte Técnico SR PRESENCIAL</t>
  </si>
  <si>
    <t>3005458 Analista de Suporte Técnico SR PRESENCIAL</t>
  </si>
  <si>
    <t>Analista de Testes Automatizador Especialista REMOTO</t>
  </si>
  <si>
    <t>3005107 Analista de Testes Automatizador Especialista REMOTO</t>
  </si>
  <si>
    <t>Analista de Testes Automatizador Especialista PRESENCIAL</t>
  </si>
  <si>
    <t>3005146 Analista de Testes Automatizador Especialista PRESENCIAL</t>
  </si>
  <si>
    <t>Analista de Testes Automatizador JR REMOTO</t>
  </si>
  <si>
    <t>3004724 Analista de Testes Automatizador JR REMOTO</t>
  </si>
  <si>
    <t>Analista de Testes Automatizador JR PRESENCIAL</t>
  </si>
  <si>
    <t>3004821 Analista de Testes Automatizador JR PRESENCIAL</t>
  </si>
  <si>
    <t>Analista de Testes Automatizador PL REMOTO</t>
  </si>
  <si>
    <t>3005461 Analista de Testes Automatizador PL REMOTO</t>
  </si>
  <si>
    <t>Analista de Testes Automatizador PL PRESENCIAL</t>
  </si>
  <si>
    <t>3005460 Analista de Testes Automatizador PL PRESENCIAL</t>
  </si>
  <si>
    <t>Analista de Testes Automatizador SR REMOTO</t>
  </si>
  <si>
    <t>3004715 Analista de Testes Automatizador SR REMOTO</t>
  </si>
  <si>
    <t>Analista de Testes Automatizador SR PRESENCIAL</t>
  </si>
  <si>
    <t>3004820 Analista de Testes Automatizador SR PRESENCIAL</t>
  </si>
  <si>
    <t>Analista de Testes Especialista REMOTO</t>
  </si>
  <si>
    <t>3004716 Analista de Testes Especialista REMOTO</t>
  </si>
  <si>
    <t>Analista de Testes Especialista PRESENCIAL</t>
  </si>
  <si>
    <t>3004822 Analista de Testes Especialista PRESENCIAL</t>
  </si>
  <si>
    <t>Analista de Testes JR REMOTO</t>
  </si>
  <si>
    <t>3005108 Analista de Testes JR REMOTO</t>
  </si>
  <si>
    <t>Analista de Testes JR PRESENCIAL</t>
  </si>
  <si>
    <t>3005145 Analista de Testes JR PRESENCIAL</t>
  </si>
  <si>
    <t>Analista de Testes PL REMOTO</t>
  </si>
  <si>
    <t>3004717 Analista de Testes PL REMOTO</t>
  </si>
  <si>
    <t>Analista de Testes PL PRESENCIAL</t>
  </si>
  <si>
    <t>3004823 Analista de Testes PL PRESENCIAL</t>
  </si>
  <si>
    <t>Analista de Testes SR REMOTO</t>
  </si>
  <si>
    <t>3004701 Analista de Testes SR REMOTO</t>
  </si>
  <si>
    <t>Analista de Testes SR PRESENCIAL</t>
  </si>
  <si>
    <t>3004798 Analista de Testes SR PRESENCIAL</t>
  </si>
  <si>
    <t>Analista de Web Analytics Especialista REMOTO</t>
  </si>
  <si>
    <t>3005463 Analista de Web Analytics Especialista REMOTO</t>
  </si>
  <si>
    <t>Analista de Web Analytics Especialista PRESENCIAL</t>
  </si>
  <si>
    <t>3005462 Analista de Web Analytics Especialista PRESENCIAL</t>
  </si>
  <si>
    <t>Analista de Web Analytics JR REMOTO</t>
  </si>
  <si>
    <t>3004726 Analista de Web Analytics JR REMOTO</t>
  </si>
  <si>
    <t>Analista de Web Analytics JR PRESENCIAL</t>
  </si>
  <si>
    <t>3004827 Analista de Web Analytics JR PRESENCIAL</t>
  </si>
  <si>
    <t>Analista de Web Analytics PL REMOTO</t>
  </si>
  <si>
    <t>3004730 Analista de Web Analytics PL REMOTO</t>
  </si>
  <si>
    <t>Analista de Web Analytics PL PRESENCIAL</t>
  </si>
  <si>
    <t>3004831 Analista de Web Analytics PL PRESENCIAL</t>
  </si>
  <si>
    <t>Analista de Web Analytics SR REMOTO</t>
  </si>
  <si>
    <t>3004728 Analista de Web Analytics SR REMOTO</t>
  </si>
  <si>
    <t>Analista de Web Analytics SR PRESENCIAL</t>
  </si>
  <si>
    <t>3004832 Analista de Web Analytics SR PRESENCIAL</t>
  </si>
  <si>
    <t>Analista Desenvolvedor ABAP Especialista REMOTO</t>
  </si>
  <si>
    <t>3005465 Analista Desenvolvedor ABAP Especialista REMOTO</t>
  </si>
  <si>
    <t>Analista Desenvolvedor ABAP Especialista PRESENCIAL</t>
  </si>
  <si>
    <t>3005464 Analista Desenvolvedor ABAP Especialista PRESENCIAL</t>
  </si>
  <si>
    <t>Analista Desenvolvedor ABAP JR REMOTO</t>
  </si>
  <si>
    <t>3005467 Analista Desenvolvedor ABAP JR REMOTO</t>
  </si>
  <si>
    <t>Analista Desenvolvedor ABAP JR PRESENCIAL</t>
  </si>
  <si>
    <t>3005466 Analista Desenvolvedor ABAP JR PRESENCIAL</t>
  </si>
  <si>
    <t>Analista Desenvolvedor ABAP PL REMOTO</t>
  </si>
  <si>
    <t>3005469 Analista Desenvolvedor ABAP PL REMOTO</t>
  </si>
  <si>
    <t>Analista Desenvolvedor ABAP PL PRESENCIAL</t>
  </si>
  <si>
    <t>3005468 Analista Desenvolvedor ABAP PL PRESENCIAL</t>
  </si>
  <si>
    <t>Analista Desenvolvedor ABAP SR REMOTO</t>
  </si>
  <si>
    <t>3004686 Analista Desenvolvedor ABAP SR REMOTO</t>
  </si>
  <si>
    <t>Analista Desenvolvedor ABAP SR PRESENCIAL</t>
  </si>
  <si>
    <t>3004786 Analista Desenvolvedor ABAP SR PRESENCIAL</t>
  </si>
  <si>
    <t>Analista Desenvolver RPA Especialista REMOTO</t>
  </si>
  <si>
    <t>3004708 Analista Desenvolver RPA Especialista REMOTO</t>
  </si>
  <si>
    <t>Analista Desenvolver RPA Especialista PRESENCIAL</t>
  </si>
  <si>
    <t>3004807 Analista Desenvolver RPA Especialista PRESENCIAL</t>
  </si>
  <si>
    <t>Analista Desenvolver RPA JR REMOTO</t>
  </si>
  <si>
    <t>3005471 Analista Desenvolver RPA JR REMOTO</t>
  </si>
  <si>
    <t>Analista Desenvolver RPA JR PRESENCIAL</t>
  </si>
  <si>
    <t>3005470 Analista Desenvolver RPA JR PRESENCIAL</t>
  </si>
  <si>
    <t>Analista Desenvolver RPA PL REMOTO</t>
  </si>
  <si>
    <t>3005473 Analista Desenvolver RPA PL REMOTO</t>
  </si>
  <si>
    <t>Analista Desenvolver RPA PL PRESENCIAL</t>
  </si>
  <si>
    <t>3005472 Analista Desenvolver RPA PL PRESENCIAL</t>
  </si>
  <si>
    <t>Analista Desenvolver RPA SR REMOTO</t>
  </si>
  <si>
    <t>3004712 Analista Desenvolver RPA SR REMOTO</t>
  </si>
  <si>
    <t>Analista Desenvolver RPA SR PRESENCIAL</t>
  </si>
  <si>
    <t>3004818 Analista Desenvolver RPA SR PRESENCIAL</t>
  </si>
  <si>
    <t>Analista ETL/ODI Especialista REMOTO</t>
  </si>
  <si>
    <t>3005475 Analista ETL/ODI Especialista REMOTO</t>
  </si>
  <si>
    <t>Analista ETL/ODI Especialista PRESENCIAL</t>
  </si>
  <si>
    <t>3005474 Analista ETL/ODI Especialista PRESENCIAL</t>
  </si>
  <si>
    <t>Analista ETL/ODI JR REMOTO</t>
  </si>
  <si>
    <t>3005477 Analista ETL/ODI JR REMOTO</t>
  </si>
  <si>
    <t>Analista ETL/ODI JR PRESENCIAL</t>
  </si>
  <si>
    <t>3005476 Analista ETL/ODI JR PRESENCIAL</t>
  </si>
  <si>
    <t>Analista ETL/ODI PL REMOTO</t>
  </si>
  <si>
    <t>3004689 Analista ETL/ODI PL REMOTO</t>
  </si>
  <si>
    <t>Analista ETL/ODI PL PRESENCIAL</t>
  </si>
  <si>
    <t>3004797 Analista ETL/ODI PL PRESENCIAL</t>
  </si>
  <si>
    <t>Analista ETL/ODI SR REMOTO</t>
  </si>
  <si>
    <t>3004688 Analista ETL/ODI SR REMOTO</t>
  </si>
  <si>
    <t>Analista ETL/ODI SR PRESENCIAL</t>
  </si>
  <si>
    <t>3004800 Analista ETL/ODI SR PRESENCIAL</t>
  </si>
  <si>
    <t>Analista ETL/ODI/RedShift Especialista REMOTO</t>
  </si>
  <si>
    <t>3005479 Analista ETL/ODI/RedShift Especialista REMOTO</t>
  </si>
  <si>
    <t>Analista ETL/ODI/RedShift Especialista PRESENCIAL</t>
  </si>
  <si>
    <t>3005478 Analista ETL/ODI/RedShift Especialista PRESENCIAL</t>
  </si>
  <si>
    <t>Analista ETL/ODI/RedShift JR REMOTO</t>
  </si>
  <si>
    <t>3005481 Analista ETL/ODI/RedShift JR REMOTO</t>
  </si>
  <si>
    <t>Analista ETL/ODI/RedShift JR PRESENCIAL</t>
  </si>
  <si>
    <t>3005480 Analista ETL/ODI/RedShift JR PRESENCIAL</t>
  </si>
  <si>
    <t>Analista ETL/ODI/RedShift PL REMOTO</t>
  </si>
  <si>
    <t>3005483 Analista ETL/ODI/RedShift PL REMOTO</t>
  </si>
  <si>
    <t>Analista ETL/ODI/RedShift PL PRESENCIAL</t>
  </si>
  <si>
    <t>3005482 Analista ETL/ODI/RedShift PL PRESENCIAL</t>
  </si>
  <si>
    <t>Analista ETL/ODI/RedShift SR REMOTO</t>
  </si>
  <si>
    <t>3004721 Analista ETL/ODI/RedShift SR REMOTO</t>
  </si>
  <si>
    <t>Analista ETL/ODI/RedShift SR PRESENCIAL</t>
  </si>
  <si>
    <t>3004816 Analista ETL/ODI/RedShift SR PRESENCIAL</t>
  </si>
  <si>
    <t>Analista Funcional SAP FI Especialista REMOTO</t>
  </si>
  <si>
    <t>3004691 Analista Funcional SAP FI Especialista REMOTO</t>
  </si>
  <si>
    <t>Analista Funcional SAP FI Especialista PRESENCIAL</t>
  </si>
  <si>
    <t>3004785 Analista Funcional SAP FI Especialista PRESENCIAL</t>
  </si>
  <si>
    <t>Analista Funcional SAP FI JR REMOTO</t>
  </si>
  <si>
    <t>3005103 Analista Funcional SAP FI JR REMOTO</t>
  </si>
  <si>
    <t>Analista Funcional SAP FI JR PRESENCIAL</t>
  </si>
  <si>
    <t>3005139 Analista Funcional SAP FI JR PRESENCIAL</t>
  </si>
  <si>
    <t>Analista Funcional SAP FI PL REMOTO</t>
  </si>
  <si>
    <t>3005102 Analista Funcional SAP FI PL REMOTO</t>
  </si>
  <si>
    <t>Analista Funcional SAP FI PL PRESENCIAL</t>
  </si>
  <si>
    <t>3005142 Analista Funcional SAP FI PL PRESENCIAL</t>
  </si>
  <si>
    <t>Analista Funcional SAP FI SR REMOTO</t>
  </si>
  <si>
    <t>3005099 Analista Funcional SAP FI SR REMOTO</t>
  </si>
  <si>
    <t>Analista Funcional SAP FI SR PRESENCIAL</t>
  </si>
  <si>
    <t>3005151 Analista Funcional SAP FI SR PRESENCIAL</t>
  </si>
  <si>
    <t>Analista Hyperion Especialista REMOTO</t>
  </si>
  <si>
    <t>3005489 Analista Hyperion Especialista REMOTO</t>
  </si>
  <si>
    <t>Analista Hyperion Especialista PRESENCIAL</t>
  </si>
  <si>
    <t>3005488 Analista Hyperion Especialista PRESENCIAL</t>
  </si>
  <si>
    <t>Analista Hyperion JR REMOTO</t>
  </si>
  <si>
    <t>3005491 Analista Hyperion JR REMOTO</t>
  </si>
  <si>
    <t>Analista Hyperion JR PRESENCIAL</t>
  </si>
  <si>
    <t>3005490 Analista Hyperion JR PRESENCIAL</t>
  </si>
  <si>
    <t>Analista Hyperion PL REMOTO</t>
  </si>
  <si>
    <t>3005493 Analista Hyperion PL REMOTO</t>
  </si>
  <si>
    <t>Analista Hyperion PL PRESENCIAL</t>
  </si>
  <si>
    <t>3005492 Analista Hyperion PL PRESENCIAL</t>
  </si>
  <si>
    <t>Analista Hyperion SR REMOTO</t>
  </si>
  <si>
    <t>3005495 Analista Hyperion SR REMOTO</t>
  </si>
  <si>
    <t>Analista Hyperion SR PRESENCIAL</t>
  </si>
  <si>
    <t>3005494 Analista Hyperion SR PRESENCIAL</t>
  </si>
  <si>
    <t>Analista Integração OSB Especialista REMOTO</t>
  </si>
  <si>
    <t>3005497 Analista Integração OSB Especialista REMOTO</t>
  </si>
  <si>
    <t>Analista Integração OSB Especialista PRESENCIAL</t>
  </si>
  <si>
    <t>3005496 Analista Integração OSB Especialista PRESENCIAL</t>
  </si>
  <si>
    <t>Analista Integração OSB JR REMOTO</t>
  </si>
  <si>
    <t>3005499 Analista Integração OSB JR REMOTO</t>
  </si>
  <si>
    <t>Analista Integração OSB JR PRESENCIAL</t>
  </si>
  <si>
    <t>3005498 Analista Integração OSB JR PRESENCIAL</t>
  </si>
  <si>
    <t>Analista Integração OSB PL REMOTO</t>
  </si>
  <si>
    <t>3005501 Analista Integração OSB PL REMOTO</t>
  </si>
  <si>
    <t>Analista Integração OSB PL PRESENCIAL</t>
  </si>
  <si>
    <t>3005500 Analista Integração OSB PL PRESENCIAL</t>
  </si>
  <si>
    <t>Analista Integração OSB SR REMOTO</t>
  </si>
  <si>
    <t>3004709 Analista Integração OSB SR REMOTO</t>
  </si>
  <si>
    <t>Analista Integração OSB SR PRESENCIAL</t>
  </si>
  <si>
    <t>3004814 Analista Integração OSB SR PRESENCIAL</t>
  </si>
  <si>
    <t>Analista Middleware Especialista REMOTO</t>
  </si>
  <si>
    <t>3004759 Analista Middleware Especialista REMOTO</t>
  </si>
  <si>
    <t>Analista Middleware Especialista PRESENCIAL</t>
  </si>
  <si>
    <t>3004871 Analista Middleware Especialista PRESENCIAL</t>
  </si>
  <si>
    <t>Analista Middleware JR REMOTO</t>
  </si>
  <si>
    <t>3005503 Analista Middleware JR REMOTO</t>
  </si>
  <si>
    <t>Analista Middleware JR PRESENCIAL</t>
  </si>
  <si>
    <t>3005502 Analista Middleware JR PRESENCIAL</t>
  </si>
  <si>
    <t>Analista Middleware PL REMOTO</t>
  </si>
  <si>
    <t>3005505 Analista Middleware PL REMOTO</t>
  </si>
  <si>
    <t>Analista Middleware PL PRESENCIAL</t>
  </si>
  <si>
    <t>3005504 Analista Middleware PL PRESENCIAL</t>
  </si>
  <si>
    <t>Analista Middleware SR REMOTO</t>
  </si>
  <si>
    <t>3005507 Analista Middleware SR REMOTO</t>
  </si>
  <si>
    <t>Analista Middleware SR PRESENCIAL</t>
  </si>
  <si>
    <t>3005506 Analista Middleware SR PRESENCIAL</t>
  </si>
  <si>
    <t>Analista OKI Especialista REMOTO</t>
  </si>
  <si>
    <t>3004699 Analista OKI Especialista REMOTO</t>
  </si>
  <si>
    <t>Analista OKI Especialista PRESENCIAL</t>
  </si>
  <si>
    <t>3004799 Analista OKI Especialista PRESENCIAL</t>
  </si>
  <si>
    <t>Analista OKI JR REMOTO</t>
  </si>
  <si>
    <t>3005509 Analista OKI JR REMOTO</t>
  </si>
  <si>
    <t>Analista OKI JR PRESENCIAL</t>
  </si>
  <si>
    <t>3005508 Analista OKI JR PRESENCIAL</t>
  </si>
  <si>
    <t>Analista OKI PL REMOTO</t>
  </si>
  <si>
    <t>3005511 Analista OKI PL REMOTO</t>
  </si>
  <si>
    <t>Analista OKI PL PRESENCIAL</t>
  </si>
  <si>
    <t>3005510 Analista OKI PL PRESENCIAL</t>
  </si>
  <si>
    <t>Analista OKI SR REMOTO</t>
  </si>
  <si>
    <t>3005513 Analista OKI SR REMOTO</t>
  </si>
  <si>
    <t>Analista OKI SR PRESENCIAL</t>
  </si>
  <si>
    <t>3005512 Analista OKI SR PRESENCIAL</t>
  </si>
  <si>
    <t>Analista Oracle Retail Especialista REMOTO</t>
  </si>
  <si>
    <t>3004766 Analista Oracle Retail Especialista REMOTO</t>
  </si>
  <si>
    <t>Analista Oracle Retail Especialista PRESENCIAL</t>
  </si>
  <si>
    <t>3004865 Analista Oracle Retail Especialista PRESENCIAL</t>
  </si>
  <si>
    <t>Analista Oracle Retail JR REMOTO</t>
  </si>
  <si>
    <t>3005515 Analista Oracle Retail JR REMOTO</t>
  </si>
  <si>
    <t>Analista Oracle Retail JR PRESENCIAL</t>
  </si>
  <si>
    <t>3005514 Analista Oracle Retail JR PRESENCIAL</t>
  </si>
  <si>
    <t>Analista Oracle Retail PL REMOTO</t>
  </si>
  <si>
    <t>3005517 Analista Oracle Retail PL REMOTO</t>
  </si>
  <si>
    <t>Analista Oracle Retail PL PRESENCIAL</t>
  </si>
  <si>
    <t>3005516 Analista Oracle Retail PL PRESENCIAL</t>
  </si>
  <si>
    <t>Analista Oracle Retail SR REMOTO</t>
  </si>
  <si>
    <t>3005519 Analista Oracle Retail SR REMOTO</t>
  </si>
  <si>
    <t>Analista Oracle Retail SR PRESENCIAL</t>
  </si>
  <si>
    <t>3005518 Analista Oracle Retail SR PRESENCIAL</t>
  </si>
  <si>
    <t>Analista Power BI Especialista REMOTO</t>
  </si>
  <si>
    <t>3005521 Analista Power BI Especialista REMOTO</t>
  </si>
  <si>
    <t>Analista Power BI Especialista PRESENCIAL</t>
  </si>
  <si>
    <t>3005520 Analista Power BI Especialista PRESENCIAL</t>
  </si>
  <si>
    <t>Analista Power BI JR REMOTO</t>
  </si>
  <si>
    <t>3005523 Analista Power BI JR REMOTO</t>
  </si>
  <si>
    <t>Analista Power BI JR PRESENCIAL</t>
  </si>
  <si>
    <t>3005522 Analista Power BI JR PRESENCIAL</t>
  </si>
  <si>
    <t>Analista Power BI PL REMOTO</t>
  </si>
  <si>
    <t>3005525 Analista Power BI PL REMOTO</t>
  </si>
  <si>
    <t>Analista Power BI PL PRESENCIAL</t>
  </si>
  <si>
    <t>3005524 Analista Power BI PL PRESENCIAL</t>
  </si>
  <si>
    <t>Analista Power BI SR REMOTO</t>
  </si>
  <si>
    <t>3004720 Analista Power BI SR REMOTO</t>
  </si>
  <si>
    <t>Analista Power BI SR PRESENCIAL</t>
  </si>
  <si>
    <t>3004815 Analista Power BI SR PRESENCIAL</t>
  </si>
  <si>
    <t>Analista SEO Especialista REMOTO</t>
  </si>
  <si>
    <t>3005527 Analista SEO Especialista REMOTO</t>
  </si>
  <si>
    <t>Analista SEO Especialista PRESENCIAL</t>
  </si>
  <si>
    <t>3005526 Analista SEO Especialista PRESENCIAL</t>
  </si>
  <si>
    <t>Analista SEO JR REMOTO</t>
  </si>
  <si>
    <t>3005529 Analista SEO JR REMOTO</t>
  </si>
  <si>
    <t>Analista SEO JR PRESENCIAL</t>
  </si>
  <si>
    <t>3005528 Analista SEO JR PRESENCIAL</t>
  </si>
  <si>
    <t>Analista SEO PL REMOTO</t>
  </si>
  <si>
    <t>3005531 Analista SEO PL REMOTO</t>
  </si>
  <si>
    <t>Analista SEO PL PRESENCIAL</t>
  </si>
  <si>
    <t>3005530 Analista SEO PL PRESENCIAL</t>
  </si>
  <si>
    <t>Analista SEO SR REMOTO</t>
  </si>
  <si>
    <t>3005533 Analista SEO SR REMOTO</t>
  </si>
  <si>
    <t>Analista SEO SR PRESENCIAL</t>
  </si>
  <si>
    <t>3005532 Analista SEO SR PRESENCIAL</t>
  </si>
  <si>
    <t>Analista Sistemas Especialista REMOTO</t>
  </si>
  <si>
    <t>3005535 Analista Sistemas Especialista REMOTO</t>
  </si>
  <si>
    <t>Analista Sistemas Especialista PRESENCIAL</t>
  </si>
  <si>
    <t>3005534 Analista Sistemas Especialista PRESENCIAL</t>
  </si>
  <si>
    <t>Analista Sistemas JR REMOTO</t>
  </si>
  <si>
    <t>3005537 Analista Sistemas JR REMOTO</t>
  </si>
  <si>
    <t>Analista Sistemas JR PRESENCIAL</t>
  </si>
  <si>
    <t>3005536 Analista Sistemas JR PRESENCIAL</t>
  </si>
  <si>
    <t>Analista Sistemas PL REMOTO</t>
  </si>
  <si>
    <t>3005539 Analista Sistemas PL REMOTO</t>
  </si>
  <si>
    <t>Analista Sistemas PL PRESENCIAL</t>
  </si>
  <si>
    <t>3005538 Analista Sistemas PL PRESENCIAL</t>
  </si>
  <si>
    <t>Analista Sistemas SR REMOTO</t>
  </si>
  <si>
    <t>3005541 Analista Sistemas SR REMOTO</t>
  </si>
  <si>
    <t>Analista Sistemas SR PRESENCIAL</t>
  </si>
  <si>
    <t>3005540 Analista Sistemas SR PRESENCIAL</t>
  </si>
  <si>
    <t>Analista Windows Especialista REMOTO</t>
  </si>
  <si>
    <t>3005543 Analista Windows Especialista REMOTO</t>
  </si>
  <si>
    <t>Analista Windows Especialista PRESENCIAL</t>
  </si>
  <si>
    <t>3005542 Analista Windows Especialista PRESENCIAL</t>
  </si>
  <si>
    <t>Analista Windows JR REMOTO</t>
  </si>
  <si>
    <t>3005545 Analista Windows JR REMOTO</t>
  </si>
  <si>
    <t>Analista Windows JR PRESENCIAL</t>
  </si>
  <si>
    <t>3005544 Analista Windows JR PRESENCIAL</t>
  </si>
  <si>
    <t>Analista Windows PL REMOTO</t>
  </si>
  <si>
    <t>3005547 Analista Windows PL REMOTO</t>
  </si>
  <si>
    <t>Analista Windows PL PRESENCIAL</t>
  </si>
  <si>
    <t>3005546 Analista Windows PL PRESENCIAL</t>
  </si>
  <si>
    <t>Analista Windows SR REMOTO</t>
  </si>
  <si>
    <t>3004769 Analista Windows SR REMOTO</t>
  </si>
  <si>
    <t>Analista Windows SR PRESENCIAL</t>
  </si>
  <si>
    <t>3004858 Analista Windows SR PRESENCIAL</t>
  </si>
  <si>
    <t>Analista Xstore Especialista PRESENCIAL</t>
  </si>
  <si>
    <t>3004862 Analista Xstore Especialista PRESENCIAL</t>
  </si>
  <si>
    <t>Analista Xstore Especialista REMOTO</t>
  </si>
  <si>
    <t>3004764 Analista Xstore Especialista REMOTO</t>
  </si>
  <si>
    <t>Analista Xstore JR PRESENCIAL</t>
  </si>
  <si>
    <t>3005548 Analista Xstore JR PRESENCIAL</t>
  </si>
  <si>
    <t>Analista Xstore JR REMOTO</t>
  </si>
  <si>
    <t>3005549 Analista Xstore JR REMOTO</t>
  </si>
  <si>
    <t>Analista Xstore PL PRESENCIAL</t>
  </si>
  <si>
    <t>3005550 Analista Xstore PL PRESENCIAL</t>
  </si>
  <si>
    <t>Analista Xstore PL REMOTO</t>
  </si>
  <si>
    <t>3005551 Analista Xstore PL REMOTO</t>
  </si>
  <si>
    <t>Analista Xstore SR PRESENCIAL</t>
  </si>
  <si>
    <t>3005552 Analista Xstore SR PRESENCIAL</t>
  </si>
  <si>
    <t>Analista Xstore SR REMOTO</t>
  </si>
  <si>
    <t>3005553 Analista Xstore SR REMOTO</t>
  </si>
  <si>
    <t>Arquiteto Android Especialista REMOTO</t>
  </si>
  <si>
    <t>3005555 Arquiteto Android Especialista REMOTO</t>
  </si>
  <si>
    <t>Arquiteto Android Especialista PRESENCIAL</t>
  </si>
  <si>
    <t>3005554 Arquiteto Android Especialista PRESENCIAL</t>
  </si>
  <si>
    <t>Arquiteto Android JR REMOTO</t>
  </si>
  <si>
    <t>3005557 Arquiteto Android JR REMOTO</t>
  </si>
  <si>
    <t>Arquiteto Android JR PRESENCIAL</t>
  </si>
  <si>
    <t>3005556 Arquiteto Android JR PRESENCIAL</t>
  </si>
  <si>
    <t>Arquiteto Android PL REMOTO</t>
  </si>
  <si>
    <t>3005559 Arquiteto Android PL REMOTO</t>
  </si>
  <si>
    <t>Arquiteto Android PL PRESENCIAL</t>
  </si>
  <si>
    <t>3005558 Arquiteto Android PL PRESENCIAL</t>
  </si>
  <si>
    <t>Arquiteto Android SR REMOTO</t>
  </si>
  <si>
    <t>3005561 Arquiteto Android SR REMOTO</t>
  </si>
  <si>
    <t>Arquiteto Android SR PRESENCIAL</t>
  </si>
  <si>
    <t>3005560 Arquiteto Android SR PRESENCIAL</t>
  </si>
  <si>
    <t>Arquiteto Bot REMOTO</t>
  </si>
  <si>
    <t>3005563 Arquiteto Bot REMOTO</t>
  </si>
  <si>
    <t>Arquiteto Bot PRESENCIAL</t>
  </si>
  <si>
    <t>3005562 Arquiteto Bot PRESENCIAL</t>
  </si>
  <si>
    <t>Arquiteto de Soluções REMOTO</t>
  </si>
  <si>
    <t>3005565 Arquiteto de Soluções REMOTO</t>
  </si>
  <si>
    <t>Arquiteto de Soluções PRESENCIAL</t>
  </si>
  <si>
    <t>3005564 Arquiteto de Soluções PRESENCIAL</t>
  </si>
  <si>
    <t>Arquiteto de Soluções Java REMOTO</t>
  </si>
  <si>
    <t>3005569 Arquiteto de Soluções Java REMOTO</t>
  </si>
  <si>
    <t>Arquiteto de Soluções Java PRESENCIAL</t>
  </si>
  <si>
    <t>3005568 Arquiteto de Soluções Java PRESENCIAL</t>
  </si>
  <si>
    <t>Arquiteto de Soluções Power BI Especialista REMOTO</t>
  </si>
  <si>
    <t>3005571 Arquiteto de Soluções Power BI Especialista REMOTO</t>
  </si>
  <si>
    <t>Arquiteto de Soluções Power BI Especialista PRESENCIAL</t>
  </si>
  <si>
    <t>3005570 Arquiteto de Soluções Power BI Especialista PRESENCIAL</t>
  </si>
  <si>
    <t>Arquiteto de Soluções Power BI JR REMOTO</t>
  </si>
  <si>
    <t>3005573 Arquiteto de Soluções Power BI JR REMOTO</t>
  </si>
  <si>
    <t>Arquiteto de Soluções Power BI JR PRESENCIAL</t>
  </si>
  <si>
    <t>3005572 Arquiteto de Soluções Power BI JR PRESENCIAL</t>
  </si>
  <si>
    <t>Arquiteto de Soluções Power BI PL REMOTO</t>
  </si>
  <si>
    <t>3005575 Arquiteto de Soluções Power BI PL REMOTO</t>
  </si>
  <si>
    <t>Arquiteto de Soluções Power BI PL PRESENCIAL</t>
  </si>
  <si>
    <t>3005574 Arquiteto de Soluções Power BI PL PRESENCIAL</t>
  </si>
  <si>
    <t>Arquiteto de Soluções Power BI SR REMOTO</t>
  </si>
  <si>
    <t>3005577 Arquiteto de Soluções Power BI SR REMOTO</t>
  </si>
  <si>
    <t>Arquiteto de Soluções Power BI SR PRESENCIAL</t>
  </si>
  <si>
    <t>3005576 Arquiteto de Soluções Power BI SR PRESENCIAL</t>
  </si>
  <si>
    <t>Arquiteto IOS Especialista REMOTO</t>
  </si>
  <si>
    <t>3005579 Arquiteto IOS Especialista REMOTO</t>
  </si>
  <si>
    <t>Arquiteto IOS Especialista PRESENCIAL</t>
  </si>
  <si>
    <t>3005578 Arquiteto IOS Especialista PRESENCIAL</t>
  </si>
  <si>
    <t>Arquiteto IOS JR REMOTO</t>
  </si>
  <si>
    <t>3005581 Arquiteto IOS JR REMOTO</t>
  </si>
  <si>
    <t>Arquiteto IOS JR PRESENCIAL</t>
  </si>
  <si>
    <t>3005580 Arquiteto IOS JR PRESENCIAL</t>
  </si>
  <si>
    <t>Arquiteto IOS PL REMOTO</t>
  </si>
  <si>
    <t>3005583 Arquiteto IOS PL REMOTO</t>
  </si>
  <si>
    <t>Arquiteto IOS PL PRESENCIAL</t>
  </si>
  <si>
    <t>3005582 Arquiteto IOS PL PRESENCIAL</t>
  </si>
  <si>
    <t>Arquiteto IOS SR REMOTO</t>
  </si>
  <si>
    <t>3005585 Arquiteto IOS SR REMOTO</t>
  </si>
  <si>
    <t>Arquiteto IOS SR PRESENCIAL</t>
  </si>
  <si>
    <t>3005584 Arquiteto IOS SR PRESENCIAL</t>
  </si>
  <si>
    <t>Cientista de dados Especialista REMOTO</t>
  </si>
  <si>
    <t>3005587 Cientista de dados Especialista REMOTO</t>
  </si>
  <si>
    <t>Cientista de dados Especialista PRESENCIAL</t>
  </si>
  <si>
    <t>3005586 Cientista de dados Especialista PRESENCIAL</t>
  </si>
  <si>
    <t>Cientista de dados JR REMOTO</t>
  </si>
  <si>
    <t>3005589 Cientista de dados JR REMOTO</t>
  </si>
  <si>
    <t>Cientista de dados JR PRESENCIAL</t>
  </si>
  <si>
    <t>3005588 Cientista de dados JR PRESENCIAL</t>
  </si>
  <si>
    <t>Cientista de dados PL REMOTO</t>
  </si>
  <si>
    <t>3004703 Cientista de dados PL REMOTO</t>
  </si>
  <si>
    <t>Cientista de dados PL PRESENCIAL</t>
  </si>
  <si>
    <t>3004804 Cientista de dados PL PRESENCIAL</t>
  </si>
  <si>
    <t>Cientista de dados SR REMOTO</t>
  </si>
  <si>
    <t>3004698 Cientista de dados SR REMOTO</t>
  </si>
  <si>
    <t>Cientista de dados SR PRESENCIAL</t>
  </si>
  <si>
    <t>3004803 Cientista de dados SR PRESENCIAL</t>
  </si>
  <si>
    <t>Consultor CRM Salesforce Sales Especialista REMOTO</t>
  </si>
  <si>
    <t>3004751 Consultor CRM Salesforce Sales Especialista REMOTO</t>
  </si>
  <si>
    <t>Consultor CRM Salesforce Sales Especialista PRESENCIAL</t>
  </si>
  <si>
    <t>3004852 Consultor CRM Salesforce Sales Especialista PRESENCIAL</t>
  </si>
  <si>
    <t>Consultor CRM Salesforce Sales JR REMOTO</t>
  </si>
  <si>
    <t>3004738 Consultor CRM Salesforce Sales JR REMOTO</t>
  </si>
  <si>
    <t>Consultor CRM Salesforce Sales JR PRESENCIAL</t>
  </si>
  <si>
    <t>3004850 Consultor CRM Salesforce Sales JR PRESENCIAL</t>
  </si>
  <si>
    <t>Consultor CRM Salesforce Sales PL REMOTO</t>
  </si>
  <si>
    <t>3004739 Consultor CRM Salesforce Sales PL REMOTO</t>
  </si>
  <si>
    <t>Consultor CRM Salesforce Sales PL PRESENCIAL</t>
  </si>
  <si>
    <t>3004851 Consultor CRM Salesforce Sales PL PRESENCIAL</t>
  </si>
  <si>
    <t>Consultor CRM Salesforce Sales SR REMOTO</t>
  </si>
  <si>
    <t>3004750 Consultor CRM Salesforce Sales SR REMOTO</t>
  </si>
  <si>
    <t>Consultor CRM Salesforce Sales SR PRESENCIAL</t>
  </si>
  <si>
    <t>3004839 Consultor CRM Salesforce Sales SR PRESENCIAL</t>
  </si>
  <si>
    <t>Consultor CRM Salesforce Service Especialista REMOTO</t>
  </si>
  <si>
    <t>3004737 Consultor CRM Salesforce Service Especialista REMOTO</t>
  </si>
  <si>
    <t>Consultor CRM Salesforce Service Especialista PRESENCIAL</t>
  </si>
  <si>
    <t>3004849 Consultor CRM Salesforce Service Especialista PRESENCIAL</t>
  </si>
  <si>
    <t>Consultor CRM Salesforce Service JR REMOTO</t>
  </si>
  <si>
    <t>3004747 Consultor CRM Salesforce Service JR REMOTO</t>
  </si>
  <si>
    <t>Consultor CRM Salesforce Service JR PRESENCIAL</t>
  </si>
  <si>
    <t>3004847 Consultor CRM Salesforce Service JR PRESENCIAL</t>
  </si>
  <si>
    <t>Consultor CRM Salesforce Service PL REMOTO</t>
  </si>
  <si>
    <t>3004736 Consultor CRM Salesforce Service PL REMOTO</t>
  </si>
  <si>
    <t>Consultor CRM Salesforce Service PL PRESENCIAL</t>
  </si>
  <si>
    <t>3004838 Consultor CRM Salesforce Service PL PRESENCIAL</t>
  </si>
  <si>
    <t>Consultor CRM Salesforce Service SR REMOTO</t>
  </si>
  <si>
    <t>3004749 Consultor CRM Salesforce Service SR REMOTO</t>
  </si>
  <si>
    <t>Consultor CRM Salesforce Service SR PRESENCIAL</t>
  </si>
  <si>
    <t>3004848 Consultor CRM Salesforce Service SR PRESENCIAL</t>
  </si>
  <si>
    <t>Consultor de Telecom Especialista REMOTO</t>
  </si>
  <si>
    <t>3004727 Consultor de Telecom Especialista REMOTO</t>
  </si>
  <si>
    <t>Consultor de Telecom Especialista PRESENCIAL</t>
  </si>
  <si>
    <t>3004830 Consultor de Telecom Especialista PRESENCIAL</t>
  </si>
  <si>
    <t>Consultor de Telecom JR REMOTO</t>
  </si>
  <si>
    <t>3005591 Consultor de Telecom JR REMOTO</t>
  </si>
  <si>
    <t>Consultor de Telecom JR PRESENCIAL</t>
  </si>
  <si>
    <t>3005590 Consultor de Telecom JR PRESENCIAL</t>
  </si>
  <si>
    <t>Consultor de Telecom PL REMOTO</t>
  </si>
  <si>
    <t>3005593 Consultor de Telecom PL REMOTO</t>
  </si>
  <si>
    <t>Consultor de Telecom PL PRESENCIAL</t>
  </si>
  <si>
    <t>3005592 Consultor de Telecom PL PRESENCIAL</t>
  </si>
  <si>
    <t>Consultor de Telecom SR REMOTO</t>
  </si>
  <si>
    <t>3005595 Consultor de Telecom SR REMOTO</t>
  </si>
  <si>
    <t>Consultor de Telecom SR PRESENCIAL</t>
  </si>
  <si>
    <t>3005594 Consultor de Telecom SR PRESENCIAL</t>
  </si>
  <si>
    <t>Consultor Manhattan Especialista PRESENCIAL</t>
  </si>
  <si>
    <t>3004810 Consultor Manhattan Especialista PRESENCIAL</t>
  </si>
  <si>
    <t>Consultor Manhattan Especialista REMOTO</t>
  </si>
  <si>
    <t>3004711 Consultor Manhattan Especialista REMOTO</t>
  </si>
  <si>
    <t>Consultor Manhattan JR PRESENCIAL</t>
  </si>
  <si>
    <t>3005596 Consultor Manhattan JR PRESENCIAL</t>
  </si>
  <si>
    <t>Consultor Manhattan JR REMOTO</t>
  </si>
  <si>
    <t>3005597 Consultor Manhattan JR REMOTO</t>
  </si>
  <si>
    <t>Consultor Manhattan PL PRESENCIAL</t>
  </si>
  <si>
    <t>3005598 Consultor Manhattan PL PRESENCIAL</t>
  </si>
  <si>
    <t>Consultor Manhattan PL REMOTO</t>
  </si>
  <si>
    <t>3005599 Consultor Manhattan PL REMOTO</t>
  </si>
  <si>
    <t>Consultor Manhattan SR PRESENCIAL</t>
  </si>
  <si>
    <t>3005600 Consultor Manhattan SR PRESENCIAL</t>
  </si>
  <si>
    <t>Consultor Manhattan SR REMOTO</t>
  </si>
  <si>
    <t>3005601 Consultor Manhattan SR REMOTO</t>
  </si>
  <si>
    <t>Consultor Market Cloud Salesforce Especialista REMOTO</t>
  </si>
  <si>
    <t>3004761 Consultor Market Cloud Salesforce Especialista REMOTO</t>
  </si>
  <si>
    <t>Consultor Market Cloud Salesforce Especialista PRESENCIAL</t>
  </si>
  <si>
    <t>3004856 Consultor Market Cloud Salesforce Especialista PRESENCIAL</t>
  </si>
  <si>
    <t>Consultor Market Cloud Salesforce JR REMOTO</t>
  </si>
  <si>
    <t>3004752 Consultor Market Cloud Salesforce JR REMOTO</t>
  </si>
  <si>
    <t>Consultor Market Cloud Salesforce JR PRESENCIAL</t>
  </si>
  <si>
    <t>3004853 Consultor Market Cloud Salesforce JR PRESENCIAL</t>
  </si>
  <si>
    <t>Consultor Market Cloud Salesforce PL REMOTO</t>
  </si>
  <si>
    <t>3004753 Consultor Market Cloud Salesforce PL REMOTO</t>
  </si>
  <si>
    <t>Consultor Market Cloud Salesforce PL PRESENCIAL</t>
  </si>
  <si>
    <t>3004854 Consultor Market Cloud Salesforce PL PRESENCIAL</t>
  </si>
  <si>
    <t>Consultor Market Cloud Salesforce SR REMOTO</t>
  </si>
  <si>
    <t>3004760 Consultor Market Cloud Salesforce SR REMOTO</t>
  </si>
  <si>
    <t>Consultor Market Cloud Salesforce SR PRESENCIAL</t>
  </si>
  <si>
    <t>3004855 Consultor Market Cloud Salesforce SR PRESENCIAL</t>
  </si>
  <si>
    <t>Coordenador de Sistemas REMOTO</t>
  </si>
  <si>
    <t>3005603 Coordenador de Sistemas REMOTO</t>
  </si>
  <si>
    <t>Coordenador de Sistemas PRESENCIAL</t>
  </si>
  <si>
    <t>3005602 Coordenador de Sistemas PRESENCIAL</t>
  </si>
  <si>
    <t>DBM Especialista REMOTO</t>
  </si>
  <si>
    <t>3005605 DBM Especialista REMOTO</t>
  </si>
  <si>
    <t>DBM Especialista PRESENCIAL</t>
  </si>
  <si>
    <t>3005604 DBM Especialista PRESENCIAL</t>
  </si>
  <si>
    <t>DBM JR REMOTO</t>
  </si>
  <si>
    <t>3005607 DBM JR REMOTO</t>
  </si>
  <si>
    <t>DBM JR PRESENCIAL</t>
  </si>
  <si>
    <t>3005606 DBM JR PRESENCIAL</t>
  </si>
  <si>
    <t>DBM PL REMOTO</t>
  </si>
  <si>
    <t>3005609 DBM PL REMOTO</t>
  </si>
  <si>
    <t>DBM PL PRESENCIAL</t>
  </si>
  <si>
    <t>3005608 DBM PL PRESENCIAL</t>
  </si>
  <si>
    <t>DBM SR REMOTO</t>
  </si>
  <si>
    <t>3005611 DBM SR REMOTO</t>
  </si>
  <si>
    <t>DBM SR PRESENCIAL</t>
  </si>
  <si>
    <t>3005610 DBM SR PRESENCIAL</t>
  </si>
  <si>
    <t>Desenvolvedor Android Especialista REMOTO</t>
  </si>
  <si>
    <t>3005615 Desenvolvedor Android Especialista REMOTO</t>
  </si>
  <si>
    <t>Desenvolvedor Android Especialista PRESENCIAL</t>
  </si>
  <si>
    <t>3005614 Desenvolvedor Android Especialista PRESENCIAL</t>
  </si>
  <si>
    <t>Desenvolvedor Android JR REMOTO</t>
  </si>
  <si>
    <t>3005617 Desenvolvedor Android JR REMOTO</t>
  </si>
  <si>
    <t>Desenvolvedor Android JR PRESENCIAL</t>
  </si>
  <si>
    <t>3005616 Desenvolvedor Android JR PRESENCIAL</t>
  </si>
  <si>
    <t>Desenvolvedor Android PL REMOTO</t>
  </si>
  <si>
    <t>3004771 Desenvolvedor Android PL REMOTO</t>
  </si>
  <si>
    <t>Desenvolvedor Android PL PRESENCIAL</t>
  </si>
  <si>
    <t>3004880 Desenvolvedor Android PL PRESENCIAL</t>
  </si>
  <si>
    <t>Desenvolvedor Android SR REMOTO</t>
  </si>
  <si>
    <t>3004684 Desenvolvedor Android SR REMOTO</t>
  </si>
  <si>
    <t>Desenvolvedor Android SR PRESENCIAL</t>
  </si>
  <si>
    <t>3004791 Desenvolvedor Android SR PRESENCIAL</t>
  </si>
  <si>
    <t>Desenvolvedor Back End Especialista REMOTO</t>
  </si>
  <si>
    <t>3005619 Desenvolvedor Back End Especialista REMOTO</t>
  </si>
  <si>
    <t>Desenvolvedor Back End Especialista PRESENCIAL</t>
  </si>
  <si>
    <t>3005618 Desenvolvedor Back End Especialista PRESENCIAL</t>
  </si>
  <si>
    <t>Desenvolvedor Back End JR REMOTO</t>
  </si>
  <si>
    <t>3005621 Desenvolvedor Back End JR REMOTO</t>
  </si>
  <si>
    <t>Desenvolvedor Back End JR PRESENCIAL</t>
  </si>
  <si>
    <t>3005620 Desenvolvedor Back End JR PRESENCIAL</t>
  </si>
  <si>
    <t>Desenvolvedor Back End PL REMOTO</t>
  </si>
  <si>
    <t>3005623 Desenvolvedor Back End PL REMOTO</t>
  </si>
  <si>
    <t>Desenvolvedor Back End PL PRESENCIAL</t>
  </si>
  <si>
    <t>3005622 Desenvolvedor Back End PL PRESENCIAL</t>
  </si>
  <si>
    <t>Desenvolvedor Back End SR REMOTO</t>
  </si>
  <si>
    <t>3005625 Desenvolvedor Back End SR REMOTO</t>
  </si>
  <si>
    <t>Desenvolvedor Back End SR PRESENCIAL</t>
  </si>
  <si>
    <t>3005624 Desenvolvedor Back End SR PRESENCIAL</t>
  </si>
  <si>
    <t>Desenvolvedor COBOL Visual Age Especialista REMOTO</t>
  </si>
  <si>
    <t>3004765 Desenvolvedor COBOL Visual Age Especialista REMOTO</t>
  </si>
  <si>
    <t>Desenvolvedor COBOL Visual Age Especialista PRESENCIAL</t>
  </si>
  <si>
    <t>3004864 Desenvolvedor COBOL Visual Age Especialista PRESENCIAL</t>
  </si>
  <si>
    <t>Desenvolvedor COBOL Visual Age JR REMOTO</t>
  </si>
  <si>
    <t>3005627 Desenvolvedor COBOL Visual Age JR REMOTO</t>
  </si>
  <si>
    <t>Desenvolvedor COBOL Visual Age JR PRESENCIAL</t>
  </si>
  <si>
    <t>3005626 Desenvolvedor COBOL Visual Age JR PRESENCIAL</t>
  </si>
  <si>
    <t>Desenvolvedor COBOL Visual Age PL REMOTO</t>
  </si>
  <si>
    <t>3005629 Desenvolvedor COBOL Visual Age PL REMOTO</t>
  </si>
  <si>
    <t>Desenvolvedor COBOL Visual Age PL PRESENCIAL</t>
  </si>
  <si>
    <t>3005628 Desenvolvedor COBOL Visual Age PL PRESENCIAL</t>
  </si>
  <si>
    <t>Desenvolvedor COBOL Visual Age SR REMOTO</t>
  </si>
  <si>
    <t>3004704 Desenvolvedor COBOL Visual Age SR REMOTO</t>
  </si>
  <si>
    <t>Desenvolvedor COBOL Visual Age SR PRESENCIAL</t>
  </si>
  <si>
    <t>3004806 Desenvolvedor COBOL Visual Age SR PRESENCIAL</t>
  </si>
  <si>
    <t>Desenvolvedor Full Stack Especialista REMOTO</t>
  </si>
  <si>
    <t>3005641 Desenvolvedor Full Stack Especialista REMOTO</t>
  </si>
  <si>
    <t>Desenvolvedor Full Stack Especialista PRESENCIAL</t>
  </si>
  <si>
    <t>3005640 Desenvolvedor Full Stack Especialista PRESENCIAL</t>
  </si>
  <si>
    <t>Desenvolvedor Full Stack JR REMOTO</t>
  </si>
  <si>
    <t>3005643 Desenvolvedor Full Stack JR REMOTO</t>
  </si>
  <si>
    <t>Desenvolvedor Full Stack JR PRESENCIAL</t>
  </si>
  <si>
    <t>3005642 Desenvolvedor Full Stack JR PRESENCIAL</t>
  </si>
  <si>
    <t>Desenvolvedor Full Stack PL REMOTO</t>
  </si>
  <si>
    <t>3005645 Desenvolvedor Full Stack PL REMOTO</t>
  </si>
  <si>
    <t>Desenvolvedor Full Stack PL PRESENCIAL</t>
  </si>
  <si>
    <t>3005644 Desenvolvedor Full Stack PL PRESENCIAL</t>
  </si>
  <si>
    <t>Desenvolvedor Full Stack SR REMOTO</t>
  </si>
  <si>
    <t>3005647 Desenvolvedor Full Stack SR REMOTO</t>
  </si>
  <si>
    <t>Desenvolvedor Full Stack SR PRESENCIAL</t>
  </si>
  <si>
    <t>3005646 Desenvolvedor Full Stack SR PRESENCIAL</t>
  </si>
  <si>
    <t>Desenvolvedor IOS Especialista REMOTO</t>
  </si>
  <si>
    <t>3005649 Desenvolvedor IOS Especialista REMOTO</t>
  </si>
  <si>
    <t>Desenvolvedor IOS Especialista PRESENCIAL</t>
  </si>
  <si>
    <t>3005648 Desenvolvedor IOS Especialista PRESENCIAL</t>
  </si>
  <si>
    <t>Desenvolvedor IOS JR REMOTO</t>
  </si>
  <si>
    <t>3005651 Desenvolvedor IOS JR REMOTO</t>
  </si>
  <si>
    <t>Desenvolvedor IOS JR PRESENCIAL</t>
  </si>
  <si>
    <t>3005650 Desenvolvedor IOS JR PRESENCIAL</t>
  </si>
  <si>
    <t>Desenvolvedor IOS PL REMOTO</t>
  </si>
  <si>
    <t>3005653 Desenvolvedor IOS PL REMOTO</t>
  </si>
  <si>
    <t>Desenvolvedor IOS PL PRESENCIAL</t>
  </si>
  <si>
    <t>3005652 Desenvolvedor IOS PL PRESENCIAL</t>
  </si>
  <si>
    <t>Desenvolvedor IOS SR REMOTO</t>
  </si>
  <si>
    <t>3004734 Desenvolvedor IOS SR REMOTO</t>
  </si>
  <si>
    <t>Desenvolvedor IOS SR PRESENCIAL</t>
  </si>
  <si>
    <t>3004841 Desenvolvedor IOS SR PRESENCIAL</t>
  </si>
  <si>
    <t>Desenvolvedor Java JR REMOTO</t>
  </si>
  <si>
    <t>3005667 Desenvolvedor Java JR REMOTO</t>
  </si>
  <si>
    <t>Desenvolvedor Java JR PRESENCIAL</t>
  </si>
  <si>
    <t>3005666 Desenvolvedor Java JR PRESENCIAL</t>
  </si>
  <si>
    <t>Desenvolvedor Java PL REMOTO</t>
  </si>
  <si>
    <t>3005669 Desenvolvedor Java PL REMOTO</t>
  </si>
  <si>
    <t>Desenvolvedor Java PL PRESENCIAL</t>
  </si>
  <si>
    <t>3005668 Desenvolvedor Java PL PRESENCIAL</t>
  </si>
  <si>
    <t>Desenvolvedor Java SR REMOTO</t>
  </si>
  <si>
    <t>3005671 Desenvolvedor Java SR REMOTO</t>
  </si>
  <si>
    <t>Desenvolvedor Java SR PRESENCIAL</t>
  </si>
  <si>
    <t>3005670 Desenvolvedor Java SR PRESENCIAL</t>
  </si>
  <si>
    <t>Desenvolvedor Node Especialista REMOTO</t>
  </si>
  <si>
    <t>3005673 Desenvolvedor Node Especialista REMOTO</t>
  </si>
  <si>
    <t>Desenvolvedor Node Especialista PRESENCIAL</t>
  </si>
  <si>
    <t>3005672 Desenvolvedor Node Especialista PRESENCIAL</t>
  </si>
  <si>
    <t>Desenvolvedor Node JR REMOTO</t>
  </si>
  <si>
    <t>3005675 Desenvolvedor Node JR REMOTO</t>
  </si>
  <si>
    <t>Desenvolvedor Node JR PRESENCIAL</t>
  </si>
  <si>
    <t>3005674 Desenvolvedor Node JR PRESENCIAL</t>
  </si>
  <si>
    <t>Desenvolvedor Node PL REMOTO</t>
  </si>
  <si>
    <t>3005677 Desenvolvedor Node PL REMOTO</t>
  </si>
  <si>
    <t>Desenvolvedor Node PL PRESENCIAL</t>
  </si>
  <si>
    <t>3005676 Desenvolvedor Node PL PRESENCIAL</t>
  </si>
  <si>
    <t>Desenvolvedor Node SR REMOTO</t>
  </si>
  <si>
    <t>3004746 Desenvolvedor Node SR REMOTO</t>
  </si>
  <si>
    <t>Desenvolvedor Node SR PRESENCIAL</t>
  </si>
  <si>
    <t>3004846 Desenvolvedor Node SR PRESENCIAL</t>
  </si>
  <si>
    <t>Engenheiro de dados Especialista REMOTO</t>
  </si>
  <si>
    <t>3005679 Engenheiro de dados Especialista REMOTO</t>
  </si>
  <si>
    <t>Engenheiro de dados Especialista PRESENCIAL</t>
  </si>
  <si>
    <t>3005678 Engenheiro de dados Especialista PRESENCIAL</t>
  </si>
  <si>
    <t>Engenheiro de dados JR REMOTO</t>
  </si>
  <si>
    <t>3005681 Engenheiro de dados JR REMOTO</t>
  </si>
  <si>
    <t>Engenheiro de dados JR PRESENCIAL</t>
  </si>
  <si>
    <t>3005680 Engenheiro de dados JR PRESENCIAL</t>
  </si>
  <si>
    <t>Engenheiro de dados PL REMOTO</t>
  </si>
  <si>
    <t>3005683 Engenheiro de dados PL REMOTO</t>
  </si>
  <si>
    <t>Engenheiro de dados PL PRESENCIAL</t>
  </si>
  <si>
    <t>3005682 Engenheiro de dados PL PRESENCIAL</t>
  </si>
  <si>
    <t>Engenheiro de dados SR REMOTO</t>
  </si>
  <si>
    <t>3004702 Engenheiro de dados SR REMOTO</t>
  </si>
  <si>
    <t>Engenheiro de dados SR PRESENCIAL</t>
  </si>
  <si>
    <t>3004802 Engenheiro de dados SR PRESENCIAL</t>
  </si>
  <si>
    <t>Engenheiro de dados WEB + APP Especialista REMOTO</t>
  </si>
  <si>
    <t>3005685 Engenheiro de dados WEB + APP Especialista REMOTO</t>
  </si>
  <si>
    <t>Engenheiro de dados WEB + APP Especialista PRESENCIAL</t>
  </si>
  <si>
    <t>3005684 Engenheiro de dados WEB + APP Especialista PRESENCIAL</t>
  </si>
  <si>
    <t>Engenheiro de dados WEB + APP JR REMOTO</t>
  </si>
  <si>
    <t>3004729 Engenheiro de dados WEB + APP JR REMOTO</t>
  </si>
  <si>
    <t>Engenheiro de dados WEB + APP JR PRESENCIAL</t>
  </si>
  <si>
    <t>3004833 Engenheiro de dados WEB + APP JR PRESENCIAL</t>
  </si>
  <si>
    <t>Engenheiro de dados WEB + APP PL REMOTO</t>
  </si>
  <si>
    <t>3004731 Engenheiro de dados WEB + APP PL REMOTO</t>
  </si>
  <si>
    <t>Engenheiro de dados WEB + APP PL PRESENCIAL</t>
  </si>
  <si>
    <t>3004828 Engenheiro de dados WEB + APP PL PRESENCIAL</t>
  </si>
  <si>
    <t>Engenheiro de dados WEB + APP SR REMOTO</t>
  </si>
  <si>
    <t>3004732 Engenheiro de dados WEB + APP SR REMOTO</t>
  </si>
  <si>
    <t>Engenheiro de dados WEB + APP SR PRESENCIAL</t>
  </si>
  <si>
    <t>3004829 Engenheiro de dados WEB + APP SR PRESENCIAL</t>
  </si>
  <si>
    <t>Engenheiro de Machine Learning Especialista REMOTO</t>
  </si>
  <si>
    <t>3005119 Engenheiro de Machine Learning Especialista REMOTO</t>
  </si>
  <si>
    <t>Engenheiro de Machine Learning Especialista PRESENCIAL</t>
  </si>
  <si>
    <t>3005158 Engenheiro de Machine Learning Especialista PRESENCIAL</t>
  </si>
  <si>
    <t>Engenheiro de Machine Learning JR REMOTO</t>
  </si>
  <si>
    <t>3005117 Engenheiro de Machine Learning JR REMOTO</t>
  </si>
  <si>
    <t>Engenheiro de Machine Learning JR PRESENCIAL</t>
  </si>
  <si>
    <t>3005161 Engenheiro de Machine Learning JR PRESENCIAL</t>
  </si>
  <si>
    <t>Engenheiro de Machine Learning PL REMOTO</t>
  </si>
  <si>
    <t>3005123 Engenheiro de Machine Learning PL REMOTO</t>
  </si>
  <si>
    <t>Engenheiro de Machine Learning PL PRESENCIAL</t>
  </si>
  <si>
    <t>3005163 Engenheiro de Machine Learning PL PRESENCIAL</t>
  </si>
  <si>
    <t>Engenheiro de Machine Learning SR REMOTO</t>
  </si>
  <si>
    <t>3005118 Engenheiro de Machine Learning SR REMOTO</t>
  </si>
  <si>
    <t>Engenheiro de Machine Learning SR PRESENCIAL</t>
  </si>
  <si>
    <t>3005164 Engenheiro de Machine Learning SR PRESENCIAL</t>
  </si>
  <si>
    <t>Especialista Pentester REMOTO</t>
  </si>
  <si>
    <t>3005687 Especialista Pentester REMOTO</t>
  </si>
  <si>
    <t>Especialista Pentester PRESENCIAL</t>
  </si>
  <si>
    <t>3005686 Especialista Pentester PRESENCIAL</t>
  </si>
  <si>
    <t>Operador de Computador JR REMOTO</t>
  </si>
  <si>
    <t>3004725 Operador de Computador JR REMOTO</t>
  </si>
  <si>
    <t>Operador de Computador JR PRESENCIAL</t>
  </si>
  <si>
    <t>3004826 Operador de Computador JR PRESENCIAL</t>
  </si>
  <si>
    <t>Operador de Computador Líder REMOTO</t>
  </si>
  <si>
    <t>3005689 Operador de Computador Líder REMOTO</t>
  </si>
  <si>
    <t>Operador de Computador Líder PRESENCIAL</t>
  </si>
  <si>
    <t>3005688 Operador de Computador Líder PRESENCIAL</t>
  </si>
  <si>
    <t>Operador de Computador Noturno JR REMOTO</t>
  </si>
  <si>
    <t>3004758 Operador de Computador Noturno JR REMOTO</t>
  </si>
  <si>
    <t>Operador de Computador Noturno JR PRESENCIAL</t>
  </si>
  <si>
    <t>3004868 Operador de Computador Noturno JR PRESENCIAL</t>
  </si>
  <si>
    <t>Operador de Computador Noturno Líder REMOTO</t>
  </si>
  <si>
    <t>3005695 Operador de Computador Noturno Líder REMOTO</t>
  </si>
  <si>
    <t>Operador de Computador Noturno Líder PRESENCIAL</t>
  </si>
  <si>
    <t>3005694 Operador de Computador Noturno Líder PRESENCIAL</t>
  </si>
  <si>
    <t>Operador de Computador Noturno PL REMOTO</t>
  </si>
  <si>
    <t>3005697 Operador de Computador Noturno PL REMOTO</t>
  </si>
  <si>
    <t>Operador de Computador Noturno PL PRESENCIAL</t>
  </si>
  <si>
    <t>3005696 Operador de Computador Noturno PL PRESENCIAL</t>
  </si>
  <si>
    <t>Operador de Computador Noturno SR REMOTO</t>
  </si>
  <si>
    <t>3005699 Operador de Computador Noturno SR REMOTO</t>
  </si>
  <si>
    <t>Operador de Computador Noturno SR PRESENCIAL</t>
  </si>
  <si>
    <t>3005698 Operador de Computador Noturno SR PRESENCIAL</t>
  </si>
  <si>
    <t>Operador de Computador PL REMOTO</t>
  </si>
  <si>
    <t>3005691 Operador de Computador PL REMOTO</t>
  </si>
  <si>
    <t>Operador de Computador PL PRESENCIAL</t>
  </si>
  <si>
    <t>3005690 Operador de Computador PL PRESENCIAL</t>
  </si>
  <si>
    <t>Operador de Computador SR REMOTO</t>
  </si>
  <si>
    <t>3005693 Operador de Computador SR REMOTO</t>
  </si>
  <si>
    <t>Operador de Computador SR PRESENCIAL</t>
  </si>
  <si>
    <t>3005692 Operador de Computador SR PRESENCIAL</t>
  </si>
  <si>
    <t>Product Owner Especialista REMOTO</t>
  </si>
  <si>
    <t>3005701 Product Owner Especialista REMOTO</t>
  </si>
  <si>
    <t>Product Owner Especialista PRESENCIAL</t>
  </si>
  <si>
    <t>3005700 Product Owner Especialista PRESENCIAL</t>
  </si>
  <si>
    <t>Product Owner JR REMOTO</t>
  </si>
  <si>
    <t>3004774 Product Owner JR REMOTO</t>
  </si>
  <si>
    <t>Product Owner JR PRESENCIAL</t>
  </si>
  <si>
    <t>3004882 Product Owner JR PRESENCIAL</t>
  </si>
  <si>
    <t>Product Owner PL REMOTO</t>
  </si>
  <si>
    <t>3004773 Product Owner PL REMOTO</t>
  </si>
  <si>
    <t>Product Owner PL PRESENCIAL</t>
  </si>
  <si>
    <t>3004872 Product Owner PL PRESENCIAL</t>
  </si>
  <si>
    <t>Product Owner SR REMOTO</t>
  </si>
  <si>
    <t>3004700 Product Owner SR REMOTO</t>
  </si>
  <si>
    <t>Product Owner SR PRESENCIAL</t>
  </si>
  <si>
    <t>3004801 Product Owner SR PRESENCIAL</t>
  </si>
  <si>
    <t>Scrum Master JR REMOTO</t>
  </si>
  <si>
    <t>3004743 Scrum Master JR REMOTO</t>
  </si>
  <si>
    <t>Scrum Master JR PRESENCIAL</t>
  </si>
  <si>
    <t>3004835 Scrum Master JR PRESENCIAL</t>
  </si>
  <si>
    <t>Scrum Master PL REMOTO</t>
  </si>
  <si>
    <t>3004744 Scrum Master PL REMOTO</t>
  </si>
  <si>
    <t>Scrum Master PL PRESENCIAL</t>
  </si>
  <si>
    <t>3004845 Scrum Master PL PRESENCIAL</t>
  </si>
  <si>
    <t>Scrum Master SR REMOTO</t>
  </si>
  <si>
    <t>3004745 Scrum Master SR REMOTO</t>
  </si>
  <si>
    <t>Scrum Master SR PRESENCIAL</t>
  </si>
  <si>
    <t>3004836 Scrum Master SR PRESENCIAL</t>
  </si>
  <si>
    <t>Tech Lead REMOTO</t>
  </si>
  <si>
    <t>3004772 Tech Lead REMOTO</t>
  </si>
  <si>
    <t>Tech Lead PRESENCIAL</t>
  </si>
  <si>
    <t>3004881 Tech Lead PRESENCIAL</t>
  </si>
  <si>
    <t>Techlead Android Especialista REMOTO</t>
  </si>
  <si>
    <t>3005703 Techlead Android Especialista REMOTO</t>
  </si>
  <si>
    <t>Techlead Android Especialista PRESENCIAL</t>
  </si>
  <si>
    <t>3005702 Techlead Android Especialista PRESENCIAL</t>
  </si>
  <si>
    <t>Techlead IOS Especialista REMOTO</t>
  </si>
  <si>
    <t>3005705 Techlead IOS Especialista REMOTO</t>
  </si>
  <si>
    <t>Techlead IOS Especialista PRESENCIAL</t>
  </si>
  <si>
    <t>3005704 Techlead IOS Especialista PRESENCIAL</t>
  </si>
  <si>
    <t>UI Especialista REMOTO</t>
  </si>
  <si>
    <t>3005707 UI Especialista REMOTO</t>
  </si>
  <si>
    <t>UI Especialista PRESENCIAL</t>
  </si>
  <si>
    <t>3005706 UI Especialista PRESENCIAL</t>
  </si>
  <si>
    <t>UI JR REMOTO</t>
  </si>
  <si>
    <t>3004777 UI JR REMOTO</t>
  </si>
  <si>
    <t>UI JR PRESENCIAL</t>
  </si>
  <si>
    <t>3004886 UI JR PRESENCIAL</t>
  </si>
  <si>
    <t>UI PL REMOTO</t>
  </si>
  <si>
    <t>3004776 UI PL REMOTO</t>
  </si>
  <si>
    <t>UI PL PRESENCIAL</t>
  </si>
  <si>
    <t>3004874 UI PL PRESENCIAL</t>
  </si>
  <si>
    <t>UI SR REMOTO</t>
  </si>
  <si>
    <t>3004782 UI SR REMOTO</t>
  </si>
  <si>
    <t>UI SR PRESENCIAL</t>
  </si>
  <si>
    <t>3004885 UI SR PRESENCIAL</t>
  </si>
  <si>
    <t>UX Especialista REMOTO</t>
  </si>
  <si>
    <t>3005709 UX Especialista REMOTO</t>
  </si>
  <si>
    <t>UX Especialista PRESENCIAL</t>
  </si>
  <si>
    <t>3005708 UX Especialista PRESENCIAL</t>
  </si>
  <si>
    <t>UX JR REMOTO</t>
  </si>
  <si>
    <t>3004781 UX JR REMOTO</t>
  </si>
  <si>
    <t>UX JR PRESENCIAL</t>
  </si>
  <si>
    <t>3004884 UX JR PRESENCIAL</t>
  </si>
  <si>
    <t>UX PL REMOTO</t>
  </si>
  <si>
    <t>3004775 UX PL REMOTO</t>
  </si>
  <si>
    <t>UX PL PRESENCIAL</t>
  </si>
  <si>
    <t>3004873 UX PL PRESENCIAL</t>
  </si>
  <si>
    <t>UX SR REMOTO</t>
  </si>
  <si>
    <t>3004780 UX SR REMOTO</t>
  </si>
  <si>
    <t>UX SR PRESENCIAL</t>
  </si>
  <si>
    <t>3004883 UX SR PRESENCIAL</t>
  </si>
  <si>
    <t>Perfil cod</t>
  </si>
  <si>
    <t>Total (176 hrs)</t>
  </si>
  <si>
    <t>Valor 2023</t>
  </si>
  <si>
    <t>IPCA 2024</t>
  </si>
  <si>
    <t>IPCA 2025</t>
  </si>
  <si>
    <t>IPCA 2026 até março</t>
  </si>
  <si>
    <t>Rate para 2026</t>
  </si>
  <si>
    <t>Consultor SAP SuccessFactors / Ariba</t>
  </si>
  <si>
    <t>Consultor SAP MM/SD</t>
  </si>
  <si>
    <t>Consultor SAP FI/CO</t>
  </si>
  <si>
    <t>Consultor SAP ABAP</t>
  </si>
  <si>
    <t>Consultor SAP SuccessFactors / Ariba Especialista</t>
  </si>
  <si>
    <t>Consultor SAP SuccessFactors / Ariba Júnior</t>
  </si>
  <si>
    <t>Consultor SAP SuccessFactors / Ariba Pleno</t>
  </si>
  <si>
    <t>Consultor SAP SuccessFactors / Ariba Sênior</t>
  </si>
  <si>
    <t>Consultor SAP MM/SD Especialista</t>
  </si>
  <si>
    <t>Consultor SAP MM/SD Júnior</t>
  </si>
  <si>
    <t>Consultor SAP MM/SD Pleno</t>
  </si>
  <si>
    <t>Consultor SAP MM/SD Sênior</t>
  </si>
  <si>
    <t>Consultor SAP FI/CO Especialista</t>
  </si>
  <si>
    <t>Consultor SAP FI/CO Júnior</t>
  </si>
  <si>
    <t>Consultor SAP FI/CO Pleno</t>
  </si>
  <si>
    <t>Consultor SAP FI/CO Sênior</t>
  </si>
  <si>
    <t>Consultor SAP ABAP Especialista</t>
  </si>
  <si>
    <t>Consultor SAP ABAP Júnior</t>
  </si>
  <si>
    <t>Consultor SAP ABAP Pleno</t>
  </si>
  <si>
    <t>Consultor SAP ABAP Sênior</t>
  </si>
  <si>
    <t>Analista SAP Funcional</t>
  </si>
  <si>
    <t>Analista SAP Funcional Júnior</t>
  </si>
  <si>
    <t>Analista SAP Funcional Pleno</t>
  </si>
  <si>
    <t>Analista SAP Funcional Sênior</t>
  </si>
  <si>
    <t>Consultor SAP EWM</t>
  </si>
  <si>
    <t>Consultor SAP EWM Especialista</t>
  </si>
  <si>
    <t>Consultor SAP EWM Júnior</t>
  </si>
  <si>
    <t>Consultor SAP EWM Pleno</t>
  </si>
  <si>
    <t>Consultor SAP EWM Sênior</t>
  </si>
  <si>
    <t>Qtde horas</t>
  </si>
  <si>
    <t>Consultor Oracle Netsuite</t>
  </si>
  <si>
    <t>Consultor Oracle Netsuite Especialista</t>
  </si>
  <si>
    <t>Consultor Oracle Netsuite Júnior</t>
  </si>
  <si>
    <t>Consultor Oracle Netsuite Pleno</t>
  </si>
  <si>
    <t>Consultor Oracle Netsuite Sênior</t>
  </si>
  <si>
    <t>Analista Oracle Netsuíte Funcional</t>
  </si>
  <si>
    <t>Analista de Qualidade Automatizador</t>
  </si>
  <si>
    <t>Analista de Qualidade Automatizador Especialista</t>
  </si>
  <si>
    <t>Analista de Qualidade Automatizador Júnior</t>
  </si>
  <si>
    <t>Analista de Qualidade Automatizador Pleno</t>
  </si>
  <si>
    <t>Analista de Qualidade Automatizador Sênior</t>
  </si>
  <si>
    <t>RATE CARD CLT - BASE 168 HORAS</t>
  </si>
  <si>
    <t>RATE CARD PJ - BASE 168 HORAS</t>
  </si>
  <si>
    <t>Especialista LTMC (Líder Técnico)</t>
  </si>
  <si>
    <t>Especialista LTMC</t>
  </si>
  <si>
    <t>Especialista ETL / Oracle EBS</t>
  </si>
  <si>
    <t>Especialista DQ / DQA</t>
  </si>
  <si>
    <t>Especialista LTMC (Líder Técnico) Especialista</t>
  </si>
  <si>
    <t>Especialista LTMC Especialista</t>
  </si>
  <si>
    <t>Especialista ETL / Oracle EBS Especialista</t>
  </si>
  <si>
    <t>Especialista DQ / DQA Especialista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</si>
</sst>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"/>
    <numFmt numFmtId="165" formatCode="_-&quot;R$&quot;\ * #,##0.00_-;\-&quot;R$&quot;\ * #,##0.00_-;_-&quot;R$&quot;\ * &quot;-&quot;??_-;_-@"/>
    <numFmt numFmtId="166" formatCode="#,##0_ ;\-#,##0\ 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22"/>
      <color theme="1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7"/>
      <color theme="1"/>
      <name val="Calibri"/>
      <family val="2"/>
    </font>
    <font>
      <sz val="8"/>
      <color theme="1"/>
      <name val="Calibri"/>
      <family val="2"/>
    </font>
    <font>
      <sz val="2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3" tint="-0.499984740745262"/>
      <name val="Calibri"/>
      <family val="2"/>
      <scheme val="minor"/>
    </font>
    <font>
      <b/>
      <sz val="10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rgb="FFFEF2CB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FEF2CB"/>
      </patternFill>
    </fill>
    <fill>
      <patternFill patternType="solid">
        <fgColor theme="0"/>
        <bgColor rgb="FFE2EFD9"/>
      </patternFill>
    </fill>
    <fill>
      <patternFill patternType="solid">
        <fgColor theme="8"/>
        <bgColor rgb="FFFEF2CB"/>
      </patternFill>
    </fill>
    <fill>
      <patternFill patternType="solid">
        <fgColor theme="9"/>
        <bgColor rgb="FFFEF2CB"/>
      </patternFill>
    </fill>
    <fill>
      <patternFill patternType="solid">
        <fgColor rgb="FFFF0000"/>
        <bgColor rgb="FFFEF2CB"/>
      </patternFill>
    </fill>
    <fill>
      <patternFill patternType="solid">
        <fgColor rgb="FFFF0000"/>
        <bgColor theme="0"/>
      </patternFill>
    </fill>
    <fill>
      <patternFill patternType="solid">
        <fgColor theme="4" tint="0.39997558519241921"/>
        <bgColor rgb="FFFEF2CB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rgb="FFE2EFD9"/>
      </patternFill>
    </fill>
    <fill>
      <patternFill patternType="solid">
        <fgColor rgb="FFFFFF00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" fillId="0" borderId="31"/>
    <xf numFmtId="44" fontId="3" fillId="0" borderId="31" applyFont="0" applyFill="0" applyBorder="0" applyAlignment="0" applyProtection="0"/>
  </cellStyleXfs>
  <cellXfs count="289">
    <xf numFmtId="0" fontId="0" fillId="0" borderId="0" xfId="0"/>
    <xf numFmtId="0" fontId="7" fillId="2" borderId="7" xfId="0" applyFont="1" applyFill="1" applyBorder="1"/>
    <xf numFmtId="0" fontId="7" fillId="2" borderId="8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164" fontId="7" fillId="0" borderId="9" xfId="0" applyNumberFormat="1" applyFont="1" applyBorder="1"/>
    <xf numFmtId="0" fontId="7" fillId="0" borderId="12" xfId="0" applyFont="1" applyBorder="1"/>
    <xf numFmtId="0" fontId="7" fillId="0" borderId="1" xfId="0" applyFont="1" applyBorder="1"/>
    <xf numFmtId="0" fontId="7" fillId="0" borderId="3" xfId="0" applyFont="1" applyBorder="1"/>
    <xf numFmtId="164" fontId="7" fillId="0" borderId="12" xfId="0" applyNumberFormat="1" applyFont="1" applyBorder="1"/>
    <xf numFmtId="164" fontId="7" fillId="0" borderId="13" xfId="0" applyNumberFormat="1" applyFont="1" applyBorder="1"/>
    <xf numFmtId="0" fontId="8" fillId="0" borderId="0" xfId="0" applyFont="1" applyAlignment="1">
      <alignment horizontal="center"/>
    </xf>
    <xf numFmtId="1" fontId="7" fillId="0" borderId="0" xfId="0" applyNumberFormat="1" applyFont="1"/>
    <xf numFmtId="165" fontId="7" fillId="0" borderId="0" xfId="0" applyNumberFormat="1" applyFont="1"/>
    <xf numFmtId="10" fontId="7" fillId="0" borderId="0" xfId="0" applyNumberFormat="1" applyFont="1"/>
    <xf numFmtId="0" fontId="9" fillId="3" borderId="14" xfId="0" applyFont="1" applyFill="1" applyBorder="1"/>
    <xf numFmtId="165" fontId="8" fillId="3" borderId="15" xfId="0" applyNumberFormat="1" applyFont="1" applyFill="1" applyBorder="1"/>
    <xf numFmtId="165" fontId="10" fillId="3" borderId="15" xfId="0" applyNumberFormat="1" applyFont="1" applyFill="1" applyBorder="1"/>
    <xf numFmtId="165" fontId="8" fillId="5" borderId="9" xfId="0" applyNumberFormat="1" applyFont="1" applyFill="1" applyBorder="1" applyAlignment="1">
      <alignment vertical="center"/>
    </xf>
    <xf numFmtId="1" fontId="8" fillId="3" borderId="9" xfId="0" applyNumberFormat="1" applyFont="1" applyFill="1" applyBorder="1" applyAlignment="1">
      <alignment vertical="center"/>
    </xf>
    <xf numFmtId="10" fontId="8" fillId="3" borderId="9" xfId="0" applyNumberFormat="1" applyFont="1" applyFill="1" applyBorder="1"/>
    <xf numFmtId="1" fontId="8" fillId="5" borderId="9" xfId="0" applyNumberFormat="1" applyFont="1" applyFill="1" applyBorder="1" applyAlignment="1">
      <alignment vertical="center"/>
    </xf>
    <xf numFmtId="165" fontId="8" fillId="3" borderId="9" xfId="0" applyNumberFormat="1" applyFont="1" applyFill="1" applyBorder="1" applyAlignment="1">
      <alignment vertical="center"/>
    </xf>
    <xf numFmtId="165" fontId="8" fillId="3" borderId="15" xfId="0" applyNumberFormat="1" applyFont="1" applyFill="1" applyBorder="1" applyAlignment="1">
      <alignment vertical="center"/>
    </xf>
    <xf numFmtId="0" fontId="7" fillId="3" borderId="15" xfId="0" applyFont="1" applyFill="1" applyBorder="1"/>
    <xf numFmtId="165" fontId="10" fillId="3" borderId="16" xfId="0" applyNumberFormat="1" applyFont="1" applyFill="1" applyBorder="1"/>
    <xf numFmtId="0" fontId="9" fillId="3" borderId="17" xfId="0" applyFont="1" applyFill="1" applyBorder="1"/>
    <xf numFmtId="165" fontId="8" fillId="3" borderId="18" xfId="0" applyNumberFormat="1" applyFont="1" applyFill="1" applyBorder="1" applyAlignment="1">
      <alignment horizontal="center"/>
    </xf>
    <xf numFmtId="1" fontId="7" fillId="3" borderId="18" xfId="0" applyNumberFormat="1" applyFont="1" applyFill="1" applyBorder="1"/>
    <xf numFmtId="10" fontId="8" fillId="3" borderId="9" xfId="0" applyNumberFormat="1" applyFont="1" applyFill="1" applyBorder="1" applyAlignment="1">
      <alignment vertical="center"/>
    </xf>
    <xf numFmtId="0" fontId="7" fillId="0" borderId="0" xfId="0" applyFont="1"/>
    <xf numFmtId="0" fontId="7" fillId="3" borderId="18" xfId="0" applyFont="1" applyFill="1" applyBorder="1"/>
    <xf numFmtId="165" fontId="7" fillId="3" borderId="18" xfId="0" applyNumberFormat="1" applyFont="1" applyFill="1" applyBorder="1"/>
    <xf numFmtId="10" fontId="7" fillId="3" borderId="18" xfId="0" applyNumberFormat="1" applyFont="1" applyFill="1" applyBorder="1"/>
    <xf numFmtId="0" fontId="7" fillId="3" borderId="20" xfId="0" applyFont="1" applyFill="1" applyBorder="1"/>
    <xf numFmtId="9" fontId="8" fillId="3" borderId="18" xfId="0" applyNumberFormat="1" applyFont="1" applyFill="1" applyBorder="1" applyAlignment="1">
      <alignment horizontal="center"/>
    </xf>
    <xf numFmtId="10" fontId="8" fillId="5" borderId="9" xfId="0" applyNumberFormat="1" applyFont="1" applyFill="1" applyBorder="1" applyAlignment="1">
      <alignment vertical="center"/>
    </xf>
    <xf numFmtId="165" fontId="8" fillId="3" borderId="18" xfId="0" applyNumberFormat="1" applyFont="1" applyFill="1" applyBorder="1" applyAlignment="1">
      <alignment vertical="center"/>
    </xf>
    <xf numFmtId="0" fontId="8" fillId="3" borderId="18" xfId="0" applyFont="1" applyFill="1" applyBorder="1" applyAlignment="1">
      <alignment horizontal="right" vertical="center"/>
    </xf>
    <xf numFmtId="9" fontId="7" fillId="3" borderId="18" xfId="0" applyNumberFormat="1" applyFont="1" applyFill="1" applyBorder="1"/>
    <xf numFmtId="165" fontId="7" fillId="3" borderId="17" xfId="0" applyNumberFormat="1" applyFont="1" applyFill="1" applyBorder="1"/>
    <xf numFmtId="165" fontId="8" fillId="3" borderId="9" xfId="0" applyNumberFormat="1" applyFont="1" applyFill="1" applyBorder="1"/>
    <xf numFmtId="165" fontId="7" fillId="3" borderId="21" xfId="0" applyNumberFormat="1" applyFont="1" applyFill="1" applyBorder="1"/>
    <xf numFmtId="165" fontId="8" fillId="3" borderId="22" xfId="0" applyNumberFormat="1" applyFont="1" applyFill="1" applyBorder="1" applyAlignment="1">
      <alignment horizontal="center"/>
    </xf>
    <xf numFmtId="1" fontId="7" fillId="3" borderId="22" xfId="0" applyNumberFormat="1" applyFont="1" applyFill="1" applyBorder="1"/>
    <xf numFmtId="0" fontId="7" fillId="3" borderId="22" xfId="0" applyFont="1" applyFill="1" applyBorder="1"/>
    <xf numFmtId="9" fontId="7" fillId="3" borderId="22" xfId="0" applyNumberFormat="1" applyFont="1" applyFill="1" applyBorder="1"/>
    <xf numFmtId="165" fontId="7" fillId="3" borderId="22" xfId="0" applyNumberFormat="1" applyFont="1" applyFill="1" applyBorder="1"/>
    <xf numFmtId="0" fontId="7" fillId="3" borderId="23" xfId="0" applyFont="1" applyFill="1" applyBorder="1"/>
    <xf numFmtId="165" fontId="12" fillId="6" borderId="9" xfId="0" applyNumberFormat="1" applyFont="1" applyFill="1" applyBorder="1"/>
    <xf numFmtId="165" fontId="13" fillId="9" borderId="9" xfId="0" applyNumberFormat="1" applyFont="1" applyFill="1" applyBorder="1" applyAlignment="1">
      <alignment horizontal="center"/>
    </xf>
    <xf numFmtId="165" fontId="13" fillId="7" borderId="9" xfId="0" applyNumberFormat="1" applyFont="1" applyFill="1" applyBorder="1"/>
    <xf numFmtId="0" fontId="7" fillId="2" borderId="9" xfId="0" applyFont="1" applyFill="1" applyBorder="1"/>
    <xf numFmtId="0" fontId="14" fillId="2" borderId="9" xfId="0" applyFont="1" applyFill="1" applyBorder="1" applyAlignment="1">
      <alignment horizontal="center"/>
    </xf>
    <xf numFmtId="1" fontId="15" fillId="2" borderId="9" xfId="0" applyNumberFormat="1" applyFont="1" applyFill="1" applyBorder="1"/>
    <xf numFmtId="0" fontId="10" fillId="2" borderId="9" xfId="0" applyFont="1" applyFill="1" applyBorder="1"/>
    <xf numFmtId="165" fontId="10" fillId="2" borderId="9" xfId="0" applyNumberFormat="1" applyFont="1" applyFill="1" applyBorder="1" applyAlignment="1">
      <alignment horizontal="center"/>
    </xf>
    <xf numFmtId="165" fontId="10" fillId="2" borderId="9" xfId="0" applyNumberFormat="1" applyFont="1" applyFill="1" applyBorder="1"/>
    <xf numFmtId="9" fontId="10" fillId="2" borderId="9" xfId="0" applyNumberFormat="1" applyFont="1" applyFill="1" applyBorder="1"/>
    <xf numFmtId="0" fontId="10" fillId="0" borderId="13" xfId="0" applyFont="1" applyBorder="1"/>
    <xf numFmtId="165" fontId="10" fillId="3" borderId="7" xfId="0" applyNumberFormat="1" applyFont="1" applyFill="1" applyBorder="1" applyAlignment="1">
      <alignment horizontal="center"/>
    </xf>
    <xf numFmtId="1" fontId="10" fillId="3" borderId="7" xfId="0" applyNumberFormat="1" applyFont="1" applyFill="1" applyBorder="1"/>
    <xf numFmtId="1" fontId="10" fillId="3" borderId="21" xfId="0" applyNumberFormat="1" applyFont="1" applyFill="1" applyBorder="1"/>
    <xf numFmtId="165" fontId="10" fillId="3" borderId="25" xfId="0" applyNumberFormat="1" applyFont="1" applyFill="1" applyBorder="1"/>
    <xf numFmtId="165" fontId="10" fillId="8" borderId="7" xfId="0" applyNumberFormat="1" applyFont="1" applyFill="1" applyBorder="1"/>
    <xf numFmtId="165" fontId="10" fillId="8" borderId="21" xfId="0" applyNumberFormat="1" applyFont="1" applyFill="1" applyBorder="1"/>
    <xf numFmtId="165" fontId="10" fillId="3" borderId="7" xfId="0" applyNumberFormat="1" applyFont="1" applyFill="1" applyBorder="1"/>
    <xf numFmtId="9" fontId="10" fillId="0" borderId="6" xfId="0" applyNumberFormat="1" applyFont="1" applyBorder="1"/>
    <xf numFmtId="165" fontId="10" fillId="9" borderId="23" xfId="0" applyNumberFormat="1" applyFont="1" applyFill="1" applyBorder="1"/>
    <xf numFmtId="165" fontId="10" fillId="9" borderId="21" xfId="0" applyNumberFormat="1" applyFont="1" applyFill="1" applyBorder="1"/>
    <xf numFmtId="165" fontId="10" fillId="9" borderId="9" xfId="0" applyNumberFormat="1" applyFont="1" applyFill="1" applyBorder="1"/>
    <xf numFmtId="165" fontId="10" fillId="9" borderId="7" xfId="0" applyNumberFormat="1" applyFont="1" applyFill="1" applyBorder="1"/>
    <xf numFmtId="165" fontId="10" fillId="7" borderId="7" xfId="0" applyNumberFormat="1" applyFont="1" applyFill="1" applyBorder="1"/>
    <xf numFmtId="10" fontId="10" fillId="9" borderId="7" xfId="0" applyNumberFormat="1" applyFont="1" applyFill="1" applyBorder="1"/>
    <xf numFmtId="0" fontId="10" fillId="0" borderId="9" xfId="0" applyFont="1" applyBorder="1"/>
    <xf numFmtId="165" fontId="10" fillId="3" borderId="9" xfId="0" applyNumberFormat="1" applyFont="1" applyFill="1" applyBorder="1" applyAlignment="1">
      <alignment horizontal="center"/>
    </xf>
    <xf numFmtId="1" fontId="10" fillId="3" borderId="9" xfId="0" applyNumberFormat="1" applyFont="1" applyFill="1" applyBorder="1"/>
    <xf numFmtId="1" fontId="10" fillId="3" borderId="26" xfId="0" applyNumberFormat="1" applyFont="1" applyFill="1" applyBorder="1"/>
    <xf numFmtId="165" fontId="10" fillId="3" borderId="27" xfId="0" applyNumberFormat="1" applyFont="1" applyFill="1" applyBorder="1"/>
    <xf numFmtId="165" fontId="10" fillId="8" borderId="9" xfId="0" applyNumberFormat="1" applyFont="1" applyFill="1" applyBorder="1"/>
    <xf numFmtId="165" fontId="10" fillId="8" borderId="26" xfId="0" applyNumberFormat="1" applyFont="1" applyFill="1" applyBorder="1"/>
    <xf numFmtId="165" fontId="10" fillId="3" borderId="9" xfId="0" applyNumberFormat="1" applyFont="1" applyFill="1" applyBorder="1"/>
    <xf numFmtId="9" fontId="10" fillId="0" borderId="11" xfId="0" applyNumberFormat="1" applyFont="1" applyBorder="1"/>
    <xf numFmtId="165" fontId="10" fillId="9" borderId="26" xfId="0" applyNumberFormat="1" applyFont="1" applyFill="1" applyBorder="1"/>
    <xf numFmtId="165" fontId="10" fillId="7" borderId="9" xfId="0" applyNumberFormat="1" applyFont="1" applyFill="1" applyBorder="1"/>
    <xf numFmtId="165" fontId="10" fillId="3" borderId="28" xfId="0" applyNumberFormat="1" applyFont="1" applyFill="1" applyBorder="1"/>
    <xf numFmtId="165" fontId="10" fillId="8" borderId="29" xfId="0" applyNumberFormat="1" applyFont="1" applyFill="1" applyBorder="1"/>
    <xf numFmtId="0" fontId="10" fillId="0" borderId="0" xfId="0" applyFont="1"/>
    <xf numFmtId="9" fontId="7" fillId="0" borderId="0" xfId="0" applyNumberFormat="1" applyFont="1"/>
    <xf numFmtId="165" fontId="7" fillId="8" borderId="18" xfId="0" applyNumberFormat="1" applyFont="1" applyFill="1" applyBorder="1"/>
    <xf numFmtId="165" fontId="7" fillId="7" borderId="18" xfId="0" applyNumberFormat="1" applyFont="1" applyFill="1" applyBorder="1"/>
    <xf numFmtId="165" fontId="10" fillId="3" borderId="23" xfId="0" applyNumberFormat="1" applyFont="1" applyFill="1" applyBorder="1"/>
    <xf numFmtId="165" fontId="10" fillId="3" borderId="21" xfId="0" applyNumberFormat="1" applyFont="1" applyFill="1" applyBorder="1"/>
    <xf numFmtId="1" fontId="8" fillId="3" borderId="9" xfId="0" applyNumberFormat="1" applyFont="1" applyFill="1" applyBorder="1" applyAlignment="1">
      <alignment horizontal="right" vertical="center"/>
    </xf>
    <xf numFmtId="0" fontId="8" fillId="3" borderId="31" xfId="0" applyFont="1" applyFill="1" applyBorder="1" applyAlignment="1">
      <alignment horizontal="right" vertical="center"/>
    </xf>
    <xf numFmtId="0" fontId="7" fillId="3" borderId="9" xfId="0" applyFont="1" applyFill="1" applyBorder="1"/>
    <xf numFmtId="0" fontId="7" fillId="3" borderId="31" xfId="0" applyFont="1" applyFill="1" applyBorder="1"/>
    <xf numFmtId="0" fontId="7" fillId="3" borderId="32" xfId="0" applyFont="1" applyFill="1" applyBorder="1"/>
    <xf numFmtId="2" fontId="10" fillId="3" borderId="15" xfId="0" applyNumberFormat="1" applyFont="1" applyFill="1" applyBorder="1"/>
    <xf numFmtId="2" fontId="10" fillId="0" borderId="0" xfId="0" applyNumberFormat="1" applyFont="1"/>
    <xf numFmtId="2" fontId="10" fillId="3" borderId="22" xfId="0" applyNumberFormat="1" applyFont="1" applyFill="1" applyBorder="1"/>
    <xf numFmtId="2" fontId="17" fillId="0" borderId="0" xfId="0" applyNumberFormat="1" applyFont="1"/>
    <xf numFmtId="2" fontId="10" fillId="3" borderId="36" xfId="0" applyNumberFormat="1" applyFont="1" applyFill="1" applyBorder="1"/>
    <xf numFmtId="1" fontId="10" fillId="3" borderId="13" xfId="0" applyNumberFormat="1" applyFont="1" applyFill="1" applyBorder="1"/>
    <xf numFmtId="2" fontId="10" fillId="3" borderId="37" xfId="0" applyNumberFormat="1" applyFont="1" applyFill="1" applyBorder="1"/>
    <xf numFmtId="165" fontId="8" fillId="3" borderId="37" xfId="0" applyNumberFormat="1" applyFont="1" applyFill="1" applyBorder="1" applyAlignment="1">
      <alignment horizontal="center"/>
    </xf>
    <xf numFmtId="9" fontId="8" fillId="3" borderId="37" xfId="0" applyNumberFormat="1" applyFont="1" applyFill="1" applyBorder="1" applyAlignment="1">
      <alignment horizontal="center"/>
    </xf>
    <xf numFmtId="9" fontId="10" fillId="3" borderId="37" xfId="1" applyFont="1" applyFill="1" applyBorder="1"/>
    <xf numFmtId="0" fontId="8" fillId="5" borderId="37" xfId="0" applyFont="1" applyFill="1" applyBorder="1" applyAlignment="1">
      <alignment horizontal="right"/>
    </xf>
    <xf numFmtId="10" fontId="8" fillId="3" borderId="37" xfId="0" applyNumberFormat="1" applyFont="1" applyFill="1" applyBorder="1"/>
    <xf numFmtId="0" fontId="6" fillId="0" borderId="31" xfId="0" applyFont="1" applyBorder="1"/>
    <xf numFmtId="165" fontId="7" fillId="0" borderId="31" xfId="0" applyNumberFormat="1" applyFont="1" applyBorder="1" applyAlignment="1">
      <alignment horizontal="center"/>
    </xf>
    <xf numFmtId="0" fontId="7" fillId="14" borderId="37" xfId="0" applyFont="1" applyFill="1" applyBorder="1" applyAlignment="1">
      <alignment horizontal="right"/>
    </xf>
    <xf numFmtId="44" fontId="8" fillId="13" borderId="37" xfId="2" applyFont="1" applyFill="1" applyBorder="1"/>
    <xf numFmtId="165" fontId="8" fillId="2" borderId="37" xfId="0" applyNumberFormat="1" applyFont="1" applyFill="1" applyBorder="1" applyAlignment="1">
      <alignment horizontal="center"/>
    </xf>
    <xf numFmtId="165" fontId="21" fillId="12" borderId="37" xfId="0" applyNumberFormat="1" applyFont="1" applyFill="1" applyBorder="1"/>
    <xf numFmtId="165" fontId="8" fillId="15" borderId="37" xfId="0" applyNumberFormat="1" applyFont="1" applyFill="1" applyBorder="1" applyAlignment="1">
      <alignment horizontal="center"/>
    </xf>
    <xf numFmtId="44" fontId="20" fillId="16" borderId="37" xfId="2" applyFont="1" applyFill="1" applyBorder="1"/>
    <xf numFmtId="0" fontId="7" fillId="3" borderId="31" xfId="0" applyFont="1" applyFill="1" applyBorder="1" applyAlignment="1">
      <alignment horizontal="right"/>
    </xf>
    <xf numFmtId="0" fontId="7" fillId="3" borderId="48" xfId="0" applyFont="1" applyFill="1" applyBorder="1" applyAlignment="1">
      <alignment horizontal="right"/>
    </xf>
    <xf numFmtId="0" fontId="16" fillId="3" borderId="45" xfId="0" applyFont="1" applyFill="1" applyBorder="1" applyAlignment="1">
      <alignment horizontal="center" vertical="center"/>
    </xf>
    <xf numFmtId="0" fontId="7" fillId="3" borderId="45" xfId="0" applyFont="1" applyFill="1" applyBorder="1"/>
    <xf numFmtId="0" fontId="7" fillId="3" borderId="46" xfId="0" applyFont="1" applyFill="1" applyBorder="1"/>
    <xf numFmtId="0" fontId="7" fillId="3" borderId="42" xfId="0" applyFont="1" applyFill="1" applyBorder="1" applyAlignment="1">
      <alignment horizontal="right"/>
    </xf>
    <xf numFmtId="0" fontId="7" fillId="14" borderId="40" xfId="0" applyFont="1" applyFill="1" applyBorder="1" applyAlignment="1">
      <alignment horizontal="left"/>
    </xf>
    <xf numFmtId="165" fontId="21" fillId="12" borderId="43" xfId="0" applyNumberFormat="1" applyFont="1" applyFill="1" applyBorder="1" applyAlignment="1">
      <alignment horizontal="center"/>
    </xf>
    <xf numFmtId="0" fontId="8" fillId="2" borderId="39" xfId="0" applyFont="1" applyFill="1" applyBorder="1"/>
    <xf numFmtId="165" fontId="8" fillId="2" borderId="39" xfId="0" applyNumberFormat="1" applyFont="1" applyFill="1" applyBorder="1"/>
    <xf numFmtId="165" fontId="8" fillId="5" borderId="40" xfId="0" applyNumberFormat="1" applyFont="1" applyFill="1" applyBorder="1"/>
    <xf numFmtId="10" fontId="6" fillId="0" borderId="31" xfId="1" applyNumberFormat="1" applyFont="1" applyBorder="1"/>
    <xf numFmtId="10" fontId="7" fillId="0" borderId="31" xfId="1" applyNumberFormat="1" applyFont="1" applyBorder="1" applyAlignment="1">
      <alignment horizontal="center"/>
    </xf>
    <xf numFmtId="10" fontId="21" fillId="12" borderId="43" xfId="1" applyNumberFormat="1" applyFont="1" applyFill="1" applyBorder="1" applyAlignment="1">
      <alignment horizontal="center"/>
    </xf>
    <xf numFmtId="10" fontId="21" fillId="12" borderId="37" xfId="1" applyNumberFormat="1" applyFont="1" applyFill="1" applyBorder="1"/>
    <xf numFmtId="10" fontId="8" fillId="13" borderId="37" xfId="1" applyNumberFormat="1" applyFont="1" applyFill="1" applyBorder="1"/>
    <xf numFmtId="10" fontId="7" fillId="0" borderId="0" xfId="1" applyNumberFormat="1" applyFont="1"/>
    <xf numFmtId="10" fontId="0" fillId="0" borderId="0" xfId="1" applyNumberFormat="1" applyFont="1"/>
    <xf numFmtId="165" fontId="8" fillId="15" borderId="39" xfId="0" applyNumberFormat="1" applyFont="1" applyFill="1" applyBorder="1" applyAlignment="1">
      <alignment horizontal="center"/>
    </xf>
    <xf numFmtId="10" fontId="7" fillId="0" borderId="40" xfId="1" applyNumberFormat="1" applyFont="1" applyBorder="1" applyAlignment="1">
      <alignment horizontal="left"/>
    </xf>
    <xf numFmtId="166" fontId="7" fillId="0" borderId="41" xfId="0" applyNumberFormat="1" applyFont="1" applyBorder="1" applyAlignment="1">
      <alignment horizontal="center"/>
    </xf>
    <xf numFmtId="44" fontId="0" fillId="0" borderId="0" xfId="2" applyFont="1"/>
    <xf numFmtId="165" fontId="10" fillId="3" borderId="13" xfId="0" applyNumberFormat="1" applyFont="1" applyFill="1" applyBorder="1" applyAlignment="1">
      <alignment horizontal="center"/>
    </xf>
    <xf numFmtId="0" fontId="22" fillId="17" borderId="37" xfId="3" applyFont="1" applyFill="1" applyBorder="1" applyAlignment="1" applyProtection="1">
      <alignment vertical="center"/>
      <protection hidden="1"/>
    </xf>
    <xf numFmtId="44" fontId="22" fillId="17" borderId="37" xfId="4" applyFont="1" applyFill="1" applyBorder="1" applyAlignment="1" applyProtection="1">
      <alignment horizontal="left" vertical="center" wrapText="1"/>
      <protection locked="0"/>
    </xf>
    <xf numFmtId="165" fontId="10" fillId="8" borderId="23" xfId="0" applyNumberFormat="1" applyFont="1" applyFill="1" applyBorder="1"/>
    <xf numFmtId="44" fontId="8" fillId="18" borderId="37" xfId="2" applyFont="1" applyFill="1" applyBorder="1"/>
    <xf numFmtId="44" fontId="8" fillId="11" borderId="37" xfId="2" applyFont="1" applyFill="1" applyBorder="1"/>
    <xf numFmtId="165" fontId="12" fillId="6" borderId="30" xfId="0" applyNumberFormat="1" applyFont="1" applyFill="1" applyBorder="1"/>
    <xf numFmtId="165" fontId="13" fillId="9" borderId="30" xfId="0" applyNumberFormat="1" applyFont="1" applyFill="1" applyBorder="1" applyAlignment="1">
      <alignment horizontal="center"/>
    </xf>
    <xf numFmtId="165" fontId="13" fillId="7" borderId="30" xfId="0" applyNumberFormat="1" applyFont="1" applyFill="1" applyBorder="1"/>
    <xf numFmtId="165" fontId="10" fillId="8" borderId="13" xfId="0" applyNumberFormat="1" applyFont="1" applyFill="1" applyBorder="1"/>
    <xf numFmtId="165" fontId="10" fillId="3" borderId="13" xfId="0" applyNumberFormat="1" applyFont="1" applyFill="1" applyBorder="1"/>
    <xf numFmtId="9" fontId="10" fillId="0" borderId="23" xfId="0" applyNumberFormat="1" applyFont="1" applyBorder="1"/>
    <xf numFmtId="165" fontId="10" fillId="9" borderId="13" xfId="0" applyNumberFormat="1" applyFont="1" applyFill="1" applyBorder="1"/>
    <xf numFmtId="165" fontId="10" fillId="7" borderId="13" xfId="0" applyNumberFormat="1" applyFont="1" applyFill="1" applyBorder="1"/>
    <xf numFmtId="10" fontId="10" fillId="9" borderId="13" xfId="0" applyNumberFormat="1" applyFont="1" applyFill="1" applyBorder="1"/>
    <xf numFmtId="2" fontId="10" fillId="2" borderId="37" xfId="0" applyNumberFormat="1" applyFont="1" applyFill="1" applyBorder="1"/>
    <xf numFmtId="1" fontId="15" fillId="2" borderId="37" xfId="0" applyNumberFormat="1" applyFont="1" applyFill="1" applyBorder="1"/>
    <xf numFmtId="165" fontId="10" fillId="2" borderId="37" xfId="0" applyNumberFormat="1" applyFont="1" applyFill="1" applyBorder="1" applyAlignment="1">
      <alignment horizontal="center"/>
    </xf>
    <xf numFmtId="165" fontId="10" fillId="2" borderId="37" xfId="0" applyNumberFormat="1" applyFont="1" applyFill="1" applyBorder="1"/>
    <xf numFmtId="9" fontId="10" fillId="2" borderId="37" xfId="0" applyNumberFormat="1" applyFont="1" applyFill="1" applyBorder="1"/>
    <xf numFmtId="165" fontId="10" fillId="2" borderId="40" xfId="0" applyNumberFormat="1" applyFont="1" applyFill="1" applyBorder="1"/>
    <xf numFmtId="165" fontId="10" fillId="2" borderId="41" xfId="0" applyNumberFormat="1" applyFont="1" applyFill="1" applyBorder="1"/>
    <xf numFmtId="165" fontId="10" fillId="9" borderId="37" xfId="0" applyNumberFormat="1" applyFont="1" applyFill="1" applyBorder="1"/>
    <xf numFmtId="165" fontId="10" fillId="8" borderId="37" xfId="0" applyNumberFormat="1" applyFont="1" applyFill="1" applyBorder="1"/>
    <xf numFmtId="165" fontId="10" fillId="19" borderId="37" xfId="0" applyNumberFormat="1" applyFont="1" applyFill="1" applyBorder="1"/>
    <xf numFmtId="165" fontId="7" fillId="20" borderId="0" xfId="0" applyNumberFormat="1" applyFont="1" applyFill="1"/>
    <xf numFmtId="44" fontId="20" fillId="17" borderId="37" xfId="4" applyFont="1" applyFill="1" applyBorder="1" applyAlignment="1" applyProtection="1">
      <alignment horizontal="left" vertical="center" wrapText="1"/>
      <protection locked="0"/>
    </xf>
    <xf numFmtId="0" fontId="20" fillId="17" borderId="37" xfId="3" applyFont="1" applyFill="1" applyBorder="1" applyAlignment="1" applyProtection="1">
      <alignment vertical="center"/>
      <protection hidden="1"/>
    </xf>
    <xf numFmtId="0" fontId="10" fillId="2" borderId="37" xfId="0" applyFont="1" applyFill="1" applyBorder="1" applyAlignment="1">
      <alignment horizontal="center"/>
    </xf>
    <xf numFmtId="0" fontId="10" fillId="2" borderId="37" xfId="0" applyFont="1" applyFill="1" applyBorder="1" applyAlignment="1">
      <alignment horizontal="left"/>
    </xf>
    <xf numFmtId="165" fontId="10" fillId="3" borderId="23" xfId="0" applyNumberFormat="1" applyFont="1" applyFill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10" fillId="2" borderId="49" xfId="0" applyFont="1" applyFill="1" applyBorder="1" applyAlignment="1">
      <alignment horizontal="left"/>
    </xf>
    <xf numFmtId="44" fontId="22" fillId="17" borderId="49" xfId="4" applyFont="1" applyFill="1" applyBorder="1" applyAlignment="1" applyProtection="1">
      <alignment horizontal="left" vertical="center" wrapText="1"/>
      <protection locked="0"/>
    </xf>
    <xf numFmtId="0" fontId="22" fillId="17" borderId="49" xfId="3" applyFont="1" applyFill="1" applyBorder="1" applyAlignment="1" applyProtection="1">
      <alignment vertical="center"/>
      <protection hidden="1"/>
    </xf>
    <xf numFmtId="10" fontId="7" fillId="3" borderId="31" xfId="0" applyNumberFormat="1" applyFont="1" applyFill="1" applyBorder="1"/>
    <xf numFmtId="9" fontId="7" fillId="3" borderId="31" xfId="0" applyNumberFormat="1" applyFont="1" applyFill="1" applyBorder="1"/>
    <xf numFmtId="9" fontId="7" fillId="3" borderId="36" xfId="0" applyNumberFormat="1" applyFont="1" applyFill="1" applyBorder="1"/>
    <xf numFmtId="165" fontId="10" fillId="21" borderId="37" xfId="0" applyNumberFormat="1" applyFont="1" applyFill="1" applyBorder="1"/>
    <xf numFmtId="165" fontId="10" fillId="22" borderId="13" xfId="0" applyNumberFormat="1" applyFont="1" applyFill="1" applyBorder="1"/>
    <xf numFmtId="165" fontId="10" fillId="23" borderId="37" xfId="0" applyNumberFormat="1" applyFont="1" applyFill="1" applyBorder="1"/>
    <xf numFmtId="165" fontId="10" fillId="0" borderId="13" xfId="0" applyNumberFormat="1" applyFont="1" applyBorder="1"/>
    <xf numFmtId="165" fontId="10" fillId="24" borderId="37" xfId="0" applyNumberFormat="1" applyFont="1" applyFill="1" applyBorder="1"/>
    <xf numFmtId="165" fontId="10" fillId="24" borderId="41" xfId="0" applyNumberFormat="1" applyFont="1" applyFill="1" applyBorder="1"/>
    <xf numFmtId="165" fontId="10" fillId="25" borderId="37" xfId="0" applyNumberFormat="1" applyFont="1" applyFill="1" applyBorder="1"/>
    <xf numFmtId="165" fontId="10" fillId="24" borderId="31" xfId="0" applyNumberFormat="1" applyFont="1" applyFill="1" applyBorder="1" applyAlignment="1">
      <alignment horizontal="center"/>
    </xf>
    <xf numFmtId="165" fontId="10" fillId="21" borderId="31" xfId="0" applyNumberFormat="1" applyFont="1" applyFill="1" applyBorder="1" applyAlignment="1">
      <alignment horizontal="center"/>
    </xf>
    <xf numFmtId="165" fontId="10" fillId="23" borderId="31" xfId="0" applyNumberFormat="1" applyFont="1" applyFill="1" applyBorder="1" applyAlignment="1">
      <alignment horizontal="center"/>
    </xf>
    <xf numFmtId="165" fontId="23" fillId="3" borderId="15" xfId="0" applyNumberFormat="1" applyFont="1" applyFill="1" applyBorder="1"/>
    <xf numFmtId="9" fontId="7" fillId="26" borderId="22" xfId="0" applyNumberFormat="1" applyFont="1" applyFill="1" applyBorder="1" applyAlignment="1">
      <alignment horizontal="center"/>
    </xf>
    <xf numFmtId="44" fontId="8" fillId="0" borderId="41" xfId="0" applyNumberFormat="1" applyFont="1" applyBorder="1"/>
    <xf numFmtId="0" fontId="8" fillId="20" borderId="37" xfId="0" applyFont="1" applyFill="1" applyBorder="1"/>
    <xf numFmtId="44" fontId="8" fillId="13" borderId="41" xfId="2" applyFont="1" applyFill="1" applyBorder="1"/>
    <xf numFmtId="165" fontId="7" fillId="0" borderId="31" xfId="0" applyNumberFormat="1" applyFont="1" applyBorder="1"/>
    <xf numFmtId="165" fontId="8" fillId="5" borderId="47" xfId="0" applyNumberFormat="1" applyFont="1" applyFill="1" applyBorder="1"/>
    <xf numFmtId="165" fontId="8" fillId="5" borderId="50" xfId="0" applyNumberFormat="1" applyFont="1" applyFill="1" applyBorder="1"/>
    <xf numFmtId="0" fontId="8" fillId="20" borderId="38" xfId="0" applyFont="1" applyFill="1" applyBorder="1"/>
    <xf numFmtId="0" fontId="22" fillId="20" borderId="37" xfId="3" applyFont="1" applyFill="1" applyBorder="1" applyAlignment="1" applyProtection="1">
      <alignment vertical="center"/>
      <protection hidden="1"/>
    </xf>
    <xf numFmtId="0" fontId="8" fillId="20" borderId="41" xfId="0" applyFont="1" applyFill="1" applyBorder="1"/>
    <xf numFmtId="44" fontId="22" fillId="20" borderId="37" xfId="4" applyFont="1" applyFill="1" applyBorder="1" applyAlignment="1" applyProtection="1">
      <alignment horizontal="left" vertical="center" wrapText="1"/>
      <protection locked="0"/>
    </xf>
    <xf numFmtId="0" fontId="8" fillId="20" borderId="39" xfId="0" applyFont="1" applyFill="1" applyBorder="1"/>
    <xf numFmtId="0" fontId="8" fillId="20" borderId="16" xfId="0" applyFont="1" applyFill="1" applyBorder="1"/>
    <xf numFmtId="0" fontId="8" fillId="20" borderId="13" xfId="0" applyFont="1" applyFill="1" applyBorder="1"/>
    <xf numFmtId="0" fontId="8" fillId="20" borderId="30" xfId="0" applyFont="1" applyFill="1" applyBorder="1"/>
    <xf numFmtId="0" fontId="8" fillId="20" borderId="35" xfId="0" applyFont="1" applyFill="1" applyBorder="1"/>
    <xf numFmtId="0" fontId="8" fillId="20" borderId="44" xfId="0" applyFont="1" applyFill="1" applyBorder="1"/>
    <xf numFmtId="0" fontId="8" fillId="20" borderId="9" xfId="0" applyFont="1" applyFill="1" applyBorder="1"/>
    <xf numFmtId="0" fontId="20" fillId="20" borderId="37" xfId="0" applyFont="1" applyFill="1" applyBorder="1"/>
    <xf numFmtId="44" fontId="8" fillId="20" borderId="41" xfId="0" applyNumberFormat="1" applyFont="1" applyFill="1" applyBorder="1"/>
    <xf numFmtId="166" fontId="7" fillId="0" borderId="31" xfId="0" applyNumberFormat="1" applyFont="1" applyBorder="1" applyAlignment="1">
      <alignment horizontal="center"/>
    </xf>
    <xf numFmtId="165" fontId="21" fillId="27" borderId="37" xfId="0" applyNumberFormat="1" applyFont="1" applyFill="1" applyBorder="1"/>
    <xf numFmtId="44" fontId="8" fillId="28" borderId="37" xfId="2" applyFont="1" applyFill="1" applyBorder="1"/>
    <xf numFmtId="165" fontId="8" fillId="29" borderId="37" xfId="0" applyNumberFormat="1" applyFont="1" applyFill="1" applyBorder="1"/>
    <xf numFmtId="165" fontId="8" fillId="29" borderId="40" xfId="0" applyNumberFormat="1" applyFont="1" applyFill="1" applyBorder="1"/>
    <xf numFmtId="44" fontId="8" fillId="20" borderId="37" xfId="2" applyFont="1" applyFill="1" applyBorder="1"/>
    <xf numFmtId="10" fontId="8" fillId="3" borderId="38" xfId="0" applyNumberFormat="1" applyFont="1" applyFill="1" applyBorder="1"/>
    <xf numFmtId="10" fontId="8" fillId="3" borderId="44" xfId="0" applyNumberFormat="1" applyFont="1" applyFill="1" applyBorder="1"/>
    <xf numFmtId="10" fontId="8" fillId="3" borderId="39" xfId="0" applyNumberFormat="1" applyFont="1" applyFill="1" applyBorder="1"/>
    <xf numFmtId="165" fontId="10" fillId="30" borderId="13" xfId="0" applyNumberFormat="1" applyFont="1" applyFill="1" applyBorder="1"/>
    <xf numFmtId="10" fontId="8" fillId="31" borderId="39" xfId="0" applyNumberFormat="1" applyFont="1" applyFill="1" applyBorder="1"/>
    <xf numFmtId="0" fontId="24" fillId="32" borderId="37" xfId="0" applyFont="1" applyFill="1" applyBorder="1"/>
    <xf numFmtId="44" fontId="0" fillId="0" borderId="37" xfId="0" applyNumberFormat="1" applyBorder="1"/>
    <xf numFmtId="44" fontId="0" fillId="0" borderId="37" xfId="2" applyFont="1" applyBorder="1"/>
    <xf numFmtId="9" fontId="0" fillId="0" borderId="0" xfId="1" applyFont="1"/>
    <xf numFmtId="44" fontId="0" fillId="0" borderId="38" xfId="0" applyNumberFormat="1" applyBorder="1"/>
    <xf numFmtId="44" fontId="0" fillId="0" borderId="38" xfId="2" applyFont="1" applyBorder="1"/>
    <xf numFmtId="10" fontId="0" fillId="0" borderId="37" xfId="1" applyNumberFormat="1" applyFont="1" applyBorder="1"/>
    <xf numFmtId="165" fontId="8" fillId="21" borderId="39" xfId="0" applyNumberFormat="1" applyFont="1" applyFill="1" applyBorder="1"/>
    <xf numFmtId="44" fontId="0" fillId="0" borderId="0" xfId="0" applyNumberFormat="1"/>
    <xf numFmtId="0" fontId="7" fillId="3" borderId="36" xfId="0" applyFont="1" applyFill="1" applyBorder="1"/>
    <xf numFmtId="10" fontId="24" fillId="32" borderId="44" xfId="1" applyNumberFormat="1" applyFont="1" applyFill="1" applyBorder="1" applyAlignment="1">
      <alignment horizontal="center" wrapText="1"/>
    </xf>
    <xf numFmtId="44" fontId="0" fillId="18" borderId="37" xfId="0" applyNumberFormat="1" applyFill="1" applyBorder="1"/>
    <xf numFmtId="0" fontId="25" fillId="33" borderId="31" xfId="0" applyFont="1" applyFill="1" applyBorder="1" applyAlignment="1">
      <alignment horizontal="center"/>
    </xf>
    <xf numFmtId="0" fontId="2" fillId="35" borderId="0" xfId="0" applyFont="1" applyFill="1"/>
    <xf numFmtId="0" fontId="26" fillId="35" borderId="0" xfId="0" applyFont="1" applyFill="1"/>
    <xf numFmtId="44" fontId="26" fillId="35" borderId="0" xfId="2" applyFont="1" applyFill="1"/>
    <xf numFmtId="9" fontId="0" fillId="0" borderId="0" xfId="2" applyNumberFormat="1" applyFont="1"/>
    <xf numFmtId="0" fontId="26" fillId="0" borderId="0" xfId="0" applyFont="1"/>
    <xf numFmtId="0" fontId="26" fillId="35" borderId="0" xfId="2" applyNumberFormat="1" applyFont="1" applyFill="1"/>
    <xf numFmtId="44" fontId="22" fillId="20" borderId="38" xfId="4" applyFont="1" applyFill="1" applyBorder="1" applyAlignment="1" applyProtection="1">
      <alignment horizontal="left" vertical="center" wrapText="1"/>
      <protection locked="0"/>
    </xf>
    <xf numFmtId="44" fontId="8" fillId="0" borderId="52" xfId="0" applyNumberFormat="1" applyFont="1" applyBorder="1"/>
    <xf numFmtId="44" fontId="22" fillId="20" borderId="51" xfId="4" applyFont="1" applyFill="1" applyBorder="1" applyAlignment="1" applyProtection="1">
      <alignment horizontal="left" vertical="center" wrapText="1"/>
      <protection locked="0"/>
    </xf>
    <xf numFmtId="44" fontId="8" fillId="0" borderId="51" xfId="0" applyNumberFormat="1" applyFont="1" applyBorder="1"/>
    <xf numFmtId="0" fontId="8" fillId="20" borderId="51" xfId="0" applyFont="1" applyFill="1" applyBorder="1"/>
    <xf numFmtId="44" fontId="2" fillId="0" borderId="0" xfId="2" applyFont="1"/>
    <xf numFmtId="1" fontId="27" fillId="0" borderId="0" xfId="2" applyNumberFormat="1" applyFont="1"/>
    <xf numFmtId="44" fontId="0" fillId="16" borderId="37" xfId="0" applyNumberFormat="1" applyFill="1" applyBorder="1"/>
    <xf numFmtId="165" fontId="8" fillId="18" borderId="37" xfId="0" applyNumberFormat="1" applyFont="1" applyFill="1" applyBorder="1"/>
    <xf numFmtId="165" fontId="8" fillId="18" borderId="40" xfId="0" applyNumberFormat="1" applyFont="1" applyFill="1" applyBorder="1"/>
    <xf numFmtId="44" fontId="0" fillId="28" borderId="37" xfId="2" applyFont="1" applyFill="1" applyBorder="1" applyAlignment="1">
      <alignment horizontal="center"/>
    </xf>
    <xf numFmtId="0" fontId="25" fillId="33" borderId="31" xfId="0" applyFont="1" applyFill="1" applyBorder="1" applyAlignment="1">
      <alignment horizontal="center"/>
    </xf>
    <xf numFmtId="44" fontId="1" fillId="34" borderId="37" xfId="2" applyFont="1" applyFill="1" applyBorder="1" applyAlignment="1">
      <alignment horizontal="center"/>
    </xf>
    <xf numFmtId="44" fontId="0" fillId="34" borderId="37" xfId="2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165" fontId="13" fillId="8" borderId="10" xfId="0" applyNumberFormat="1" applyFont="1" applyFill="1" applyBorder="1" applyAlignment="1">
      <alignment horizontal="center"/>
    </xf>
    <xf numFmtId="0" fontId="6" fillId="0" borderId="11" xfId="0" applyFont="1" applyBorder="1"/>
    <xf numFmtId="165" fontId="11" fillId="4" borderId="12" xfId="0" applyNumberFormat="1" applyFont="1" applyFill="1" applyBorder="1" applyAlignment="1">
      <alignment horizontal="center" textRotation="68"/>
    </xf>
    <xf numFmtId="0" fontId="6" fillId="0" borderId="19" xfId="0" applyFont="1" applyBorder="1"/>
    <xf numFmtId="0" fontId="6" fillId="0" borderId="13" xfId="0" applyFont="1" applyBorder="1"/>
    <xf numFmtId="9" fontId="13" fillId="7" borderId="10" xfId="0" applyNumberFormat="1" applyFont="1" applyFill="1" applyBorder="1" applyAlignment="1">
      <alignment horizontal="center"/>
    </xf>
    <xf numFmtId="0" fontId="6" fillId="0" borderId="24" xfId="0" applyFont="1" applyBorder="1"/>
    <xf numFmtId="165" fontId="13" fillId="9" borderId="10" xfId="0" applyNumberFormat="1" applyFont="1" applyFill="1" applyBorder="1" applyAlignment="1">
      <alignment horizontal="center"/>
    </xf>
    <xf numFmtId="9" fontId="13" fillId="10" borderId="10" xfId="0" applyNumberFormat="1" applyFont="1" applyFill="1" applyBorder="1" applyAlignment="1">
      <alignment horizontal="center"/>
    </xf>
    <xf numFmtId="165" fontId="21" fillId="12" borderId="40" xfId="0" applyNumberFormat="1" applyFont="1" applyFill="1" applyBorder="1" applyAlignment="1">
      <alignment horizontal="center"/>
    </xf>
    <xf numFmtId="165" fontId="21" fillId="12" borderId="43" xfId="0" applyNumberFormat="1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6" fillId="0" borderId="37" xfId="0" applyFont="1" applyBorder="1"/>
    <xf numFmtId="0" fontId="6" fillId="0" borderId="38" xfId="0" applyFont="1" applyBorder="1"/>
    <xf numFmtId="0" fontId="16" fillId="3" borderId="47" xfId="0" applyFont="1" applyFill="1" applyBorder="1" applyAlignment="1">
      <alignment horizontal="center" vertical="center"/>
    </xf>
    <xf numFmtId="0" fontId="6" fillId="0" borderId="45" xfId="0" applyFont="1" applyBorder="1"/>
    <xf numFmtId="165" fontId="7" fillId="3" borderId="38" xfId="0" applyNumberFormat="1" applyFont="1" applyFill="1" applyBorder="1" applyAlignment="1">
      <alignment horizontal="center"/>
    </xf>
    <xf numFmtId="165" fontId="7" fillId="3" borderId="44" xfId="0" applyNumberFormat="1" applyFont="1" applyFill="1" applyBorder="1" applyAlignment="1">
      <alignment horizontal="center"/>
    </xf>
    <xf numFmtId="165" fontId="7" fillId="3" borderId="39" xfId="0" applyNumberFormat="1" applyFont="1" applyFill="1" applyBorder="1" applyAlignment="1">
      <alignment horizontal="center"/>
    </xf>
    <xf numFmtId="0" fontId="4" fillId="16" borderId="37" xfId="0" applyFont="1" applyFill="1" applyBorder="1" applyAlignment="1">
      <alignment horizontal="center"/>
    </xf>
    <xf numFmtId="165" fontId="13" fillId="8" borderId="14" xfId="0" applyNumberFormat="1" applyFont="1" applyFill="1" applyBorder="1" applyAlignment="1">
      <alignment horizontal="center"/>
    </xf>
    <xf numFmtId="0" fontId="6" fillId="0" borderId="16" xfId="0" applyFont="1" applyBorder="1"/>
    <xf numFmtId="0" fontId="6" fillId="0" borderId="34" xfId="0" applyFont="1" applyBorder="1"/>
    <xf numFmtId="9" fontId="13" fillId="7" borderId="14" xfId="0" applyNumberFormat="1" applyFont="1" applyFill="1" applyBorder="1" applyAlignment="1">
      <alignment horizontal="center"/>
    </xf>
    <xf numFmtId="0" fontId="6" fillId="0" borderId="15" xfId="0" applyFont="1" applyBorder="1"/>
    <xf numFmtId="165" fontId="13" fillId="9" borderId="14" xfId="0" applyNumberFormat="1" applyFont="1" applyFill="1" applyBorder="1" applyAlignment="1">
      <alignment horizontal="center"/>
    </xf>
    <xf numFmtId="9" fontId="13" fillId="10" borderId="14" xfId="0" applyNumberFormat="1" applyFont="1" applyFill="1" applyBorder="1" applyAlignment="1">
      <alignment horizontal="center"/>
    </xf>
    <xf numFmtId="0" fontId="6" fillId="0" borderId="33" xfId="0" applyFont="1" applyBorder="1"/>
    <xf numFmtId="0" fontId="0" fillId="0" borderId="0" xfId="0"/>
  </cellXfs>
  <cellStyles count="5">
    <cellStyle name="Moeda" xfId="2" builtinId="4"/>
    <cellStyle name="Moeda 2" xfId="4" xr:uid="{9818A6BE-1B5D-4AFC-B505-20A1D470F395}"/>
    <cellStyle name="Normal" xfId="0" builtinId="0"/>
    <cellStyle name="Normal 2" xfId="3" xr:uid="{94B8527E-EEB5-421C-B032-84AE061CC6A0}"/>
    <cellStyle name="Porcentagem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NUL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46" customWidth="1"/>
    <col min="3" max="3" width="9.7109375" customWidth="1"/>
    <col min="4" max="4" width="12.140625" customWidth="1"/>
    <col min="5" max="5" width="8.7109375" customWidth="1"/>
    <col min="6" max="6" width="12.28515625" customWidth="1"/>
    <col min="7" max="26" width="8.7109375" customWidth="1"/>
  </cols>
  <sheetData>
    <row r="1" spans="2:6" ht="14.25" customHeight="1" x14ac:dyDescent="0.25"/>
    <row r="2" spans="2:6" ht="14.25" customHeight="1" x14ac:dyDescent="0.25"/>
    <row r="3" spans="2:6" ht="14.25" customHeight="1" x14ac:dyDescent="0.25">
      <c r="B3" s="254" t="s">
        <v>0</v>
      </c>
      <c r="C3" s="255"/>
      <c r="D3" s="255"/>
      <c r="E3" s="255"/>
      <c r="F3" s="256"/>
    </row>
    <row r="4" spans="2:6" ht="14.25" customHeight="1" x14ac:dyDescent="0.25">
      <c r="B4" s="257"/>
      <c r="C4" s="258"/>
      <c r="D4" s="258"/>
      <c r="E4" s="258"/>
      <c r="F4" s="259"/>
    </row>
    <row r="5" spans="2:6" ht="14.25" customHeight="1" x14ac:dyDescent="0.25">
      <c r="B5" s="1" t="s">
        <v>1</v>
      </c>
      <c r="C5" s="1" t="s">
        <v>2</v>
      </c>
      <c r="D5" s="2"/>
      <c r="E5" s="1" t="s">
        <v>3</v>
      </c>
      <c r="F5" s="1" t="s">
        <v>4</v>
      </c>
    </row>
    <row r="6" spans="2:6" ht="14.25" customHeight="1" x14ac:dyDescent="0.25">
      <c r="B6" s="3" t="s">
        <v>5</v>
      </c>
      <c r="C6" s="4"/>
      <c r="D6" s="3" t="s">
        <v>6</v>
      </c>
      <c r="E6" s="5">
        <v>3</v>
      </c>
      <c r="F6" s="6">
        <f t="shared" ref="F6:F9" si="0">IF(D6=FALSE, E6%,0%)</f>
        <v>0</v>
      </c>
    </row>
    <row r="7" spans="2:6" ht="14.25" customHeight="1" x14ac:dyDescent="0.25">
      <c r="B7" s="3" t="s">
        <v>7</v>
      </c>
      <c r="C7" s="4"/>
      <c r="D7" s="3" t="s">
        <v>6</v>
      </c>
      <c r="E7" s="5">
        <v>0</v>
      </c>
      <c r="F7" s="6">
        <f t="shared" si="0"/>
        <v>0</v>
      </c>
    </row>
    <row r="8" spans="2:6" ht="14.25" customHeight="1" x14ac:dyDescent="0.25">
      <c r="B8" s="3" t="s">
        <v>8</v>
      </c>
      <c r="C8" s="4"/>
      <c r="D8" s="3" t="s">
        <v>6</v>
      </c>
      <c r="E8" s="5">
        <v>3</v>
      </c>
      <c r="F8" s="6">
        <f t="shared" si="0"/>
        <v>0</v>
      </c>
    </row>
    <row r="9" spans="2:6" ht="14.25" customHeight="1" x14ac:dyDescent="0.25">
      <c r="B9" s="3" t="s">
        <v>9</v>
      </c>
      <c r="C9" s="4"/>
      <c r="D9" s="3" t="b">
        <v>1</v>
      </c>
      <c r="E9" s="5">
        <v>0.5</v>
      </c>
      <c r="F9" s="6">
        <f t="shared" si="0"/>
        <v>0</v>
      </c>
    </row>
    <row r="10" spans="2:6" ht="14.25" customHeight="1" x14ac:dyDescent="0.25">
      <c r="B10" s="3" t="s">
        <v>10</v>
      </c>
      <c r="C10" s="4" t="s">
        <v>11</v>
      </c>
      <c r="D10" s="3" t="str">
        <f>C10</f>
        <v>Full Home</v>
      </c>
      <c r="E10" s="5">
        <v>1</v>
      </c>
      <c r="F10" s="6">
        <f>IF(D10="Presencial",E10%,
IF(D10="Híbrido",(E10/2)%,
0%))</f>
        <v>0</v>
      </c>
    </row>
    <row r="11" spans="2:6" ht="14.25" customHeight="1" x14ac:dyDescent="0.25">
      <c r="B11" s="7" t="s">
        <v>12</v>
      </c>
      <c r="C11" s="8"/>
      <c r="D11" s="3" t="b">
        <v>1</v>
      </c>
      <c r="E11" s="9">
        <v>1</v>
      </c>
      <c r="F11" s="10">
        <f>IF(D11=FALSE, E11%,0%)</f>
        <v>0</v>
      </c>
    </row>
    <row r="12" spans="2:6" ht="14.25" customHeight="1" x14ac:dyDescent="0.25">
      <c r="B12" s="3" t="s">
        <v>13</v>
      </c>
      <c r="C12" s="4" t="s">
        <v>14</v>
      </c>
      <c r="D12" s="3" t="str">
        <f>C12</f>
        <v>Baixo</v>
      </c>
      <c r="E12" s="5">
        <v>3</v>
      </c>
      <c r="F12" s="6">
        <f>IF(D12="Alto",E12%,
IF(D12="Médio",(E12/2)%,
0%))</f>
        <v>0</v>
      </c>
    </row>
    <row r="13" spans="2:6" ht="14.25" customHeight="1" x14ac:dyDescent="0.25">
      <c r="F13" s="11">
        <f>SUM(F6:F12)</f>
        <v>0</v>
      </c>
    </row>
    <row r="14" spans="2:6" ht="14.25" customHeight="1" x14ac:dyDescent="0.25"/>
    <row r="15" spans="2:6" ht="14.25" customHeight="1" x14ac:dyDescent="0.25"/>
    <row r="16" spans="2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3:F4"/>
  </mergeCells>
  <dataValidations count="2">
    <dataValidation type="list" allowBlank="1" showErrorMessage="1" sqref="C12" xr:uid="{00000000-0002-0000-0000-000000000000}">
      <formula1>"Baixo,Médio,Alto"</formula1>
    </dataValidation>
    <dataValidation type="list" allowBlank="1" showErrorMessage="1" sqref="C10" xr:uid="{00000000-0002-0000-0000-000001000000}">
      <formula1>"Presencial,Híbrido,Full Home"</formula1>
    </dataValidation>
  </dataValidation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1000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14.42578125" defaultRowHeight="15" customHeight="1" outlineLevelRow="1" x14ac:dyDescent="0.25"/>
  <cols>
    <col min="1" max="1" width="2.5703125" customWidth="1"/>
    <col min="2" max="2" width="36.42578125" customWidth="1"/>
    <col min="3" max="3" width="11" customWidth="1"/>
    <col min="4" max="4" width="6.7109375" customWidth="1"/>
    <col min="5" max="5" width="6.85546875" customWidth="1"/>
    <col min="6" max="6" width="18.7109375" customWidth="1"/>
    <col min="7" max="11" width="16.7109375" customWidth="1"/>
    <col min="12" max="12" width="14.7109375" customWidth="1"/>
    <col min="13" max="13" width="12.5703125" customWidth="1"/>
    <col min="14" max="14" width="14" customWidth="1"/>
    <col min="15" max="15" width="16.28515625" customWidth="1"/>
    <col min="16" max="16" width="14" customWidth="1"/>
    <col min="17" max="18" width="17.140625" customWidth="1"/>
    <col min="19" max="20" width="12.85546875" customWidth="1"/>
    <col min="21" max="21" width="18.28515625" customWidth="1"/>
    <col min="22" max="23" width="12.85546875" customWidth="1"/>
    <col min="24" max="24" width="14.5703125" customWidth="1"/>
    <col min="25" max="25" width="16.140625" customWidth="1"/>
    <col min="26" max="27" width="14.85546875" customWidth="1"/>
    <col min="28" max="28" width="18.28515625" customWidth="1"/>
    <col min="30" max="30" width="14.140625" customWidth="1"/>
    <col min="31" max="31" width="10.7109375" customWidth="1"/>
  </cols>
  <sheetData>
    <row r="1" spans="2:31" ht="14.25" customHeight="1" x14ac:dyDescent="0.25">
      <c r="C1" s="12"/>
      <c r="D1" s="13"/>
      <c r="E1" s="13"/>
      <c r="G1" s="14"/>
      <c r="H1" s="14"/>
      <c r="I1" s="1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2:31" ht="14.25" customHeight="1" outlineLevel="1" x14ac:dyDescent="0.45">
      <c r="B2" s="16"/>
      <c r="C2" s="17"/>
      <c r="D2" s="18"/>
      <c r="E2" s="262" t="s">
        <v>15</v>
      </c>
      <c r="F2" s="19" t="s">
        <v>16</v>
      </c>
      <c r="G2" s="20">
        <v>168</v>
      </c>
      <c r="H2" s="19" t="s">
        <v>17</v>
      </c>
      <c r="I2" s="19" t="e">
        <f>SUM(I9:I33)</f>
        <v>#N/A</v>
      </c>
      <c r="J2" s="19" t="s">
        <v>18</v>
      </c>
      <c r="K2" s="21">
        <v>0.08</v>
      </c>
      <c r="L2" s="19" t="s">
        <v>19</v>
      </c>
      <c r="M2" s="22">
        <f>COUNTIF(E9:E494, "Sim")</f>
        <v>5</v>
      </c>
      <c r="N2" s="19" t="s">
        <v>20</v>
      </c>
      <c r="O2" s="23">
        <v>400</v>
      </c>
      <c r="P2" s="24"/>
      <c r="Q2" s="25"/>
      <c r="R2" s="25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6"/>
    </row>
    <row r="3" spans="2:31" ht="14.25" customHeight="1" outlineLevel="1" x14ac:dyDescent="0.45">
      <c r="B3" s="27"/>
      <c r="C3" s="28"/>
      <c r="D3" s="29"/>
      <c r="E3" s="263"/>
      <c r="F3" s="19" t="s">
        <v>21</v>
      </c>
      <c r="G3" s="30">
        <v>0</v>
      </c>
      <c r="H3" s="19" t="s">
        <v>22</v>
      </c>
      <c r="I3" s="19" t="e">
        <f>SUM(Q9:Q33)</f>
        <v>#N/A</v>
      </c>
      <c r="J3" s="19" t="s">
        <v>23</v>
      </c>
      <c r="K3" s="21">
        <v>0.4</v>
      </c>
      <c r="L3" s="19" t="s">
        <v>24</v>
      </c>
      <c r="M3" s="22">
        <f>COUNTIF(E9:E494, "Não")</f>
        <v>1</v>
      </c>
      <c r="N3" s="19" t="s">
        <v>25</v>
      </c>
      <c r="O3" s="23" t="e">
        <f>SUM(P9:P33)</f>
        <v>#N/A</v>
      </c>
      <c r="P3" s="31"/>
      <c r="Q3" s="32"/>
      <c r="R3" s="32"/>
      <c r="S3" s="33"/>
      <c r="T3" s="34"/>
      <c r="U3" s="32"/>
      <c r="V3" s="32"/>
      <c r="W3" s="34"/>
      <c r="X3" s="34"/>
      <c r="Y3" s="32"/>
      <c r="Z3" s="32"/>
      <c r="AA3" s="34"/>
      <c r="AB3" s="34"/>
      <c r="AC3" s="33"/>
      <c r="AD3" s="32"/>
      <c r="AE3" s="35"/>
    </row>
    <row r="4" spans="2:31" ht="14.25" customHeight="1" outlineLevel="1" x14ac:dyDescent="0.45">
      <c r="B4" s="27"/>
      <c r="C4" s="36"/>
      <c r="D4" s="29"/>
      <c r="E4" s="263"/>
      <c r="F4" s="19" t="s">
        <v>26</v>
      </c>
      <c r="G4" s="30">
        <v>0.1953</v>
      </c>
      <c r="H4" s="19" t="s">
        <v>27</v>
      </c>
      <c r="I4" s="19" t="e">
        <f>SUM(J9:J494)+SUM(M9:M494)+O3</f>
        <v>#N/A</v>
      </c>
      <c r="J4" s="19" t="s">
        <v>28</v>
      </c>
      <c r="K4" s="21">
        <v>0.09</v>
      </c>
      <c r="L4" s="19" t="s">
        <v>29</v>
      </c>
      <c r="M4" s="37" t="e">
        <f>M6/M5</f>
        <v>#N/A</v>
      </c>
      <c r="N4" s="38"/>
      <c r="O4" s="39"/>
      <c r="P4" s="39"/>
      <c r="Q4" s="32"/>
      <c r="R4" s="32"/>
      <c r="S4" s="40"/>
      <c r="T4" s="40"/>
      <c r="U4" s="32"/>
      <c r="V4" s="32"/>
      <c r="W4" s="40"/>
      <c r="X4" s="40"/>
      <c r="Y4" s="32"/>
      <c r="Z4" s="32"/>
      <c r="AA4" s="40"/>
      <c r="AB4" s="40"/>
      <c r="AC4" s="33"/>
      <c r="AD4" s="32"/>
      <c r="AE4" s="35"/>
    </row>
    <row r="5" spans="2:31" ht="14.25" customHeight="1" outlineLevel="1" x14ac:dyDescent="0.25">
      <c r="B5" s="41"/>
      <c r="C5" s="36"/>
      <c r="D5" s="29"/>
      <c r="E5" s="263"/>
      <c r="F5" s="19"/>
      <c r="G5" s="30">
        <v>1</v>
      </c>
      <c r="H5" s="19" t="s">
        <v>30</v>
      </c>
      <c r="I5" s="19" t="e">
        <f>I3-I4</f>
        <v>#N/A</v>
      </c>
      <c r="J5" s="19" t="s">
        <v>31</v>
      </c>
      <c r="K5" s="42">
        <v>30</v>
      </c>
      <c r="L5" s="19" t="s">
        <v>32</v>
      </c>
      <c r="M5" s="19" t="e">
        <f>SUMIF(E9:E33,"Sim",O9:O33)</f>
        <v>#N/A</v>
      </c>
      <c r="N5" s="32"/>
      <c r="O5" s="32"/>
      <c r="P5" s="32"/>
      <c r="Q5" s="32"/>
      <c r="R5" s="32"/>
      <c r="S5" s="40"/>
      <c r="T5" s="40"/>
      <c r="U5" s="32"/>
      <c r="V5" s="32"/>
      <c r="W5" s="40"/>
      <c r="X5" s="40"/>
      <c r="Y5" s="32"/>
      <c r="Z5" s="32"/>
      <c r="AA5" s="40"/>
      <c r="AB5" s="40"/>
      <c r="AC5" s="33"/>
      <c r="AD5" s="32"/>
      <c r="AE5" s="35"/>
    </row>
    <row r="6" spans="2:31" ht="14.25" customHeight="1" outlineLevel="1" x14ac:dyDescent="0.25">
      <c r="B6" s="43"/>
      <c r="C6" s="44"/>
      <c r="D6" s="45"/>
      <c r="E6" s="264"/>
      <c r="F6" s="19" t="s">
        <v>33</v>
      </c>
      <c r="G6" s="37">
        <f>Configuração!F13</f>
        <v>0</v>
      </c>
      <c r="H6" s="19" t="s">
        <v>34</v>
      </c>
      <c r="I6" s="37" t="e">
        <f>I5/I3</f>
        <v>#N/A</v>
      </c>
      <c r="J6" s="19" t="s">
        <v>35</v>
      </c>
      <c r="K6" s="19" t="e">
        <f>SUM(Q9:Q33)/SUM(D9:D33)</f>
        <v>#N/A</v>
      </c>
      <c r="L6" s="19" t="s">
        <v>36</v>
      </c>
      <c r="M6" s="19" t="e">
        <f>SUMIF(E9:E33,"Não",O9:O33)</f>
        <v>#N/A</v>
      </c>
      <c r="N6" s="46"/>
      <c r="O6" s="46"/>
      <c r="P6" s="46"/>
      <c r="Q6" s="46"/>
      <c r="R6" s="46"/>
      <c r="S6" s="47"/>
      <c r="T6" s="47"/>
      <c r="U6" s="46"/>
      <c r="V6" s="46"/>
      <c r="W6" s="47"/>
      <c r="X6" s="47"/>
      <c r="Y6" s="46"/>
      <c r="Z6" s="46"/>
      <c r="AA6" s="47"/>
      <c r="AB6" s="47"/>
      <c r="AC6" s="48"/>
      <c r="AD6" s="46"/>
      <c r="AE6" s="49"/>
    </row>
    <row r="7" spans="2:31" ht="14.25" customHeight="1" x14ac:dyDescent="0.25">
      <c r="B7" s="50" t="s">
        <v>37</v>
      </c>
      <c r="C7" s="265" t="s">
        <v>38</v>
      </c>
      <c r="D7" s="266"/>
      <c r="E7" s="261"/>
      <c r="F7" s="260" t="s">
        <v>39</v>
      </c>
      <c r="G7" s="266"/>
      <c r="H7" s="266"/>
      <c r="I7" s="266"/>
      <c r="J7" s="261"/>
      <c r="K7" s="267" t="s">
        <v>40</v>
      </c>
      <c r="L7" s="266"/>
      <c r="M7" s="266"/>
      <c r="N7" s="266"/>
      <c r="O7" s="266"/>
      <c r="P7" s="266"/>
      <c r="Q7" s="261"/>
      <c r="R7" s="51"/>
      <c r="S7" s="268" t="s">
        <v>41</v>
      </c>
      <c r="T7" s="266"/>
      <c r="U7" s="266"/>
      <c r="V7" s="266"/>
      <c r="W7" s="266"/>
      <c r="X7" s="266"/>
      <c r="Y7" s="266"/>
      <c r="Z7" s="266"/>
      <c r="AA7" s="266"/>
      <c r="AB7" s="261"/>
      <c r="AC7" s="52" t="s">
        <v>42</v>
      </c>
      <c r="AD7" s="260" t="s">
        <v>43</v>
      </c>
      <c r="AE7" s="261"/>
    </row>
    <row r="8" spans="2:31" ht="14.25" customHeight="1" x14ac:dyDescent="0.25">
      <c r="B8" s="53" t="s">
        <v>44</v>
      </c>
      <c r="C8" s="54" t="s">
        <v>45</v>
      </c>
      <c r="D8" s="55" t="s">
        <v>46</v>
      </c>
      <c r="E8" s="55" t="s">
        <v>47</v>
      </c>
      <c r="F8" s="56" t="s">
        <v>48</v>
      </c>
      <c r="G8" s="57" t="s">
        <v>49</v>
      </c>
      <c r="H8" s="57" t="s">
        <v>50</v>
      </c>
      <c r="I8" s="57" t="s">
        <v>51</v>
      </c>
      <c r="J8" s="57" t="s">
        <v>52</v>
      </c>
      <c r="K8" s="58" t="s">
        <v>53</v>
      </c>
      <c r="L8" s="59" t="s">
        <v>54</v>
      </c>
      <c r="M8" s="59" t="s">
        <v>55</v>
      </c>
      <c r="N8" s="58" t="s">
        <v>56</v>
      </c>
      <c r="O8" s="58" t="s">
        <v>57</v>
      </c>
      <c r="P8" s="58" t="s">
        <v>58</v>
      </c>
      <c r="Q8" s="58" t="s">
        <v>59</v>
      </c>
      <c r="R8" s="58" t="s">
        <v>60</v>
      </c>
      <c r="S8" s="58" t="s">
        <v>18</v>
      </c>
      <c r="T8" s="58" t="s">
        <v>61</v>
      </c>
      <c r="U8" s="58" t="s">
        <v>62</v>
      </c>
      <c r="V8" s="58" t="s">
        <v>63</v>
      </c>
      <c r="W8" s="58" t="s">
        <v>64</v>
      </c>
      <c r="X8" s="58" t="s">
        <v>65</v>
      </c>
      <c r="Y8" s="58" t="s">
        <v>66</v>
      </c>
      <c r="Z8" s="58" t="s">
        <v>28</v>
      </c>
      <c r="AA8" s="58" t="s">
        <v>67</v>
      </c>
      <c r="AB8" s="58" t="s">
        <v>68</v>
      </c>
      <c r="AC8" s="58" t="s">
        <v>69</v>
      </c>
      <c r="AD8" s="58" t="s">
        <v>70</v>
      </c>
      <c r="AE8" s="58" t="s">
        <v>71</v>
      </c>
    </row>
    <row r="9" spans="2:31" ht="14.25" customHeight="1" x14ac:dyDescent="0.25">
      <c r="B9" s="60" t="s">
        <v>72</v>
      </c>
      <c r="C9" s="61" t="s">
        <v>73</v>
      </c>
      <c r="D9" s="62">
        <v>20</v>
      </c>
      <c r="E9" s="63" t="s">
        <v>74</v>
      </c>
      <c r="F9" s="64">
        <v>0</v>
      </c>
      <c r="G9" s="65" t="e">
        <f>IF(F9&gt;0,F9,
IF(B9&lt;&gt;"",
IF(C9="CLT",VLOOKUP(B9,'Lista Profissionais'!$C$11:$H$348,3,0),
VLOOKUP(B9,'Lista Profissionais'!$C$11:$H$348,4,0)), 0))</f>
        <v>#N/A</v>
      </c>
      <c r="H9" s="66" t="e">
        <f t="shared" ref="H9:H33" si="0">(G9/$G$2)*D9</f>
        <v>#N/A</v>
      </c>
      <c r="I9" s="66" t="e">
        <f t="shared" ref="I9:J9" si="1">H9+AB9</f>
        <v>#N/A</v>
      </c>
      <c r="J9" s="66" t="e">
        <f t="shared" si="1"/>
        <v>#N/A</v>
      </c>
      <c r="K9" s="67">
        <v>0</v>
      </c>
      <c r="L9" s="68">
        <v>0</v>
      </c>
      <c r="M9" s="69" t="e">
        <f t="shared" ref="M9:M33" si="2">I9*$G$6</f>
        <v>#N/A</v>
      </c>
      <c r="N9" s="69" t="e">
        <f t="shared" ref="N9:N33" si="3">IF(K9&gt;0,K9,
IF(L9&gt;0,(G9*(1+L9)+M9),
(G9*(1+$G$5)+M9)))</f>
        <v>#N/A</v>
      </c>
      <c r="O9" s="70" t="e">
        <f t="shared" ref="O9:O33" si="4">(N9/$G$2)*D9</f>
        <v>#N/A</v>
      </c>
      <c r="P9" s="71">
        <f t="shared" ref="P9:P33" si="5">IF(E9="Sim", O9*$G$3,0)</f>
        <v>0</v>
      </c>
      <c r="Q9" s="72">
        <f t="shared" ref="Q9:Q33" si="6">IF(E9="Não",0,
O9+(O9*$M$4)+P9
)</f>
        <v>0</v>
      </c>
      <c r="R9" s="72">
        <f t="shared" ref="R9:R33" si="7">Q9/$G$2</f>
        <v>0</v>
      </c>
      <c r="S9" s="65">
        <f t="shared" ref="S9:S33" si="8">IF(C9="CLT",
       H9*$K$2, 0)</f>
        <v>0</v>
      </c>
      <c r="T9" s="65">
        <f t="shared" ref="T9:T33" si="9">IF(C9="CLT",
       S9*$K$3, 0)</f>
        <v>0</v>
      </c>
      <c r="U9" s="65">
        <f t="shared" ref="U9:U33" si="10">IF(C9="CLT",
       H9/12, 0)</f>
        <v>0</v>
      </c>
      <c r="V9" s="65">
        <f t="shared" ref="V9:V33" si="11">IF(C9="CLT",
       U9/3, 0)</f>
        <v>0</v>
      </c>
      <c r="W9" s="65">
        <f t="shared" ref="W9:W33" si="12">IF(C9="CLT",
       H9/12, 0)</f>
        <v>0</v>
      </c>
      <c r="X9" s="65">
        <f t="shared" ref="X9:X33" si="13">IF(C9="CLT",
       H9/12, 0)</f>
        <v>0</v>
      </c>
      <c r="Y9" s="65">
        <f t="shared" ref="Y9:Y33" si="14">IF(B9&lt;&gt;"",
IF(C9="CLT",
       22*$K$5,0),0)</f>
        <v>0</v>
      </c>
      <c r="Z9" s="65">
        <f t="shared" ref="Z9:Z33" si="15">IF(C9="CLT",
       H9*$K$4, 0)</f>
        <v>0</v>
      </c>
      <c r="AA9" s="65">
        <f t="shared" ref="AA9:AA33" si="16">IF(B9&lt;&gt;"",
IF(C9="CLT",
       $O$2, 0),0)</f>
        <v>0</v>
      </c>
      <c r="AB9" s="65">
        <f t="shared" ref="AB9:AB33" si="17">SUM(S9:AA9)</f>
        <v>0</v>
      </c>
      <c r="AC9" s="73">
        <f t="shared" ref="AC9:AC33" si="18">IF(E9="Sim", Q9*$G$4, 0)</f>
        <v>0</v>
      </c>
      <c r="AD9" s="70" t="e">
        <f t="shared" ref="AD9:AD33" si="19">Q9-AC9-I9-M9-P9</f>
        <v>#N/A</v>
      </c>
      <c r="AE9" s="74" t="e">
        <f>(IF(AD9&gt;0,AD9/Q9,0))</f>
        <v>#N/A</v>
      </c>
    </row>
    <row r="10" spans="2:31" ht="14.25" customHeight="1" x14ac:dyDescent="0.25">
      <c r="B10" s="75" t="s">
        <v>75</v>
      </c>
      <c r="C10" s="76" t="s">
        <v>73</v>
      </c>
      <c r="D10" s="77">
        <v>168</v>
      </c>
      <c r="E10" s="78" t="s">
        <v>76</v>
      </c>
      <c r="F10" s="79">
        <v>0</v>
      </c>
      <c r="G10" s="80" t="e">
        <f>IF(F10&gt;0,F10,
IF(B10&lt;&gt;"",
IF(C10="CLT",VLOOKUP(B10,'Lista Profissionais'!$C$11:$H$348,3,0),
VLOOKUP(B10,'Lista Profissionais'!$C$11:$H$348,4,0)), 0))</f>
        <v>#N/A</v>
      </c>
      <c r="H10" s="81" t="e">
        <f t="shared" si="0"/>
        <v>#N/A</v>
      </c>
      <c r="I10" s="81" t="e">
        <f t="shared" ref="I10:J10" si="20">H10+AB10</f>
        <v>#N/A</v>
      </c>
      <c r="J10" s="81" t="e">
        <f t="shared" si="20"/>
        <v>#N/A</v>
      </c>
      <c r="K10" s="82">
        <v>0</v>
      </c>
      <c r="L10" s="83">
        <v>0</v>
      </c>
      <c r="M10" s="69" t="e">
        <f t="shared" si="2"/>
        <v>#N/A</v>
      </c>
      <c r="N10" s="69" t="e">
        <f t="shared" si="3"/>
        <v>#N/A</v>
      </c>
      <c r="O10" s="84" t="e">
        <f t="shared" si="4"/>
        <v>#N/A</v>
      </c>
      <c r="P10" s="71" t="e">
        <f t="shared" si="5"/>
        <v>#N/A</v>
      </c>
      <c r="Q10" s="72" t="e">
        <f t="shared" si="6"/>
        <v>#N/A</v>
      </c>
      <c r="R10" s="72" t="e">
        <f t="shared" si="7"/>
        <v>#N/A</v>
      </c>
      <c r="S10" s="80">
        <f t="shared" si="8"/>
        <v>0</v>
      </c>
      <c r="T10" s="80">
        <f t="shared" si="9"/>
        <v>0</v>
      </c>
      <c r="U10" s="80">
        <f t="shared" si="10"/>
        <v>0</v>
      </c>
      <c r="V10" s="80">
        <f t="shared" si="11"/>
        <v>0</v>
      </c>
      <c r="W10" s="80">
        <f t="shared" si="12"/>
        <v>0</v>
      </c>
      <c r="X10" s="80">
        <f t="shared" si="13"/>
        <v>0</v>
      </c>
      <c r="Y10" s="80">
        <f t="shared" si="14"/>
        <v>0</v>
      </c>
      <c r="Z10" s="80">
        <f t="shared" si="15"/>
        <v>0</v>
      </c>
      <c r="AA10" s="80">
        <f t="shared" si="16"/>
        <v>0</v>
      </c>
      <c r="AB10" s="80">
        <f t="shared" si="17"/>
        <v>0</v>
      </c>
      <c r="AC10" s="85" t="e">
        <f t="shared" si="18"/>
        <v>#N/A</v>
      </c>
      <c r="AD10" s="70" t="e">
        <f t="shared" si="19"/>
        <v>#N/A</v>
      </c>
      <c r="AE10" s="74" t="e">
        <f t="shared" ref="AE10:AE33" si="21">(IF(AD10&gt;0,AD10/Q10,""))</f>
        <v>#N/A</v>
      </c>
    </row>
    <row r="11" spans="2:31" ht="14.25" customHeight="1" x14ac:dyDescent="0.25">
      <c r="B11" s="75" t="s">
        <v>77</v>
      </c>
      <c r="C11" s="76" t="s">
        <v>73</v>
      </c>
      <c r="D11" s="77">
        <v>168</v>
      </c>
      <c r="E11" s="78" t="s">
        <v>76</v>
      </c>
      <c r="F11" s="79">
        <v>0</v>
      </c>
      <c r="G11" s="80" t="e">
        <f>IF(F11&gt;0,F11,
IF(B11&lt;&gt;"",
IF(C11="CLT",VLOOKUP(B11,'Lista Profissionais'!$C$11:$H$348,3,0),
VLOOKUP(B11,'Lista Profissionais'!$C$11:$H$348,4,0)), 0))</f>
        <v>#N/A</v>
      </c>
      <c r="H11" s="81" t="e">
        <f t="shared" si="0"/>
        <v>#N/A</v>
      </c>
      <c r="I11" s="81" t="e">
        <f t="shared" ref="I11:J11" si="22">H11+AB11</f>
        <v>#N/A</v>
      </c>
      <c r="J11" s="81" t="e">
        <f t="shared" si="22"/>
        <v>#N/A</v>
      </c>
      <c r="K11" s="82">
        <v>0</v>
      </c>
      <c r="L11" s="83">
        <v>0</v>
      </c>
      <c r="M11" s="69" t="e">
        <f t="shared" si="2"/>
        <v>#N/A</v>
      </c>
      <c r="N11" s="69" t="e">
        <f t="shared" si="3"/>
        <v>#N/A</v>
      </c>
      <c r="O11" s="84" t="e">
        <f t="shared" si="4"/>
        <v>#N/A</v>
      </c>
      <c r="P11" s="71" t="e">
        <f t="shared" si="5"/>
        <v>#N/A</v>
      </c>
      <c r="Q11" s="72" t="e">
        <f t="shared" si="6"/>
        <v>#N/A</v>
      </c>
      <c r="R11" s="72" t="e">
        <f t="shared" si="7"/>
        <v>#N/A</v>
      </c>
      <c r="S11" s="80">
        <f t="shared" si="8"/>
        <v>0</v>
      </c>
      <c r="T11" s="80">
        <f t="shared" si="9"/>
        <v>0</v>
      </c>
      <c r="U11" s="80">
        <f t="shared" si="10"/>
        <v>0</v>
      </c>
      <c r="V11" s="80">
        <f t="shared" si="11"/>
        <v>0</v>
      </c>
      <c r="W11" s="80">
        <f t="shared" si="12"/>
        <v>0</v>
      </c>
      <c r="X11" s="80">
        <f t="shared" si="13"/>
        <v>0</v>
      </c>
      <c r="Y11" s="80">
        <f t="shared" si="14"/>
        <v>0</v>
      </c>
      <c r="Z11" s="80">
        <f t="shared" si="15"/>
        <v>0</v>
      </c>
      <c r="AA11" s="80">
        <f t="shared" si="16"/>
        <v>0</v>
      </c>
      <c r="AB11" s="80">
        <f t="shared" si="17"/>
        <v>0</v>
      </c>
      <c r="AC11" s="85" t="e">
        <f t="shared" si="18"/>
        <v>#N/A</v>
      </c>
      <c r="AD11" s="70" t="e">
        <f t="shared" si="19"/>
        <v>#N/A</v>
      </c>
      <c r="AE11" s="74" t="e">
        <f t="shared" si="21"/>
        <v>#N/A</v>
      </c>
    </row>
    <row r="12" spans="2:31" ht="14.25" customHeight="1" x14ac:dyDescent="0.25">
      <c r="B12" s="75" t="s">
        <v>78</v>
      </c>
      <c r="C12" s="76" t="s">
        <v>73</v>
      </c>
      <c r="D12" s="77">
        <v>168</v>
      </c>
      <c r="E12" s="78" t="s">
        <v>76</v>
      </c>
      <c r="F12" s="79">
        <v>0</v>
      </c>
      <c r="G12" s="80" t="e">
        <f>IF(F12&gt;0,F12,
IF(B12&lt;&gt;"",
IF(C12="CLT",VLOOKUP(B12,'Lista Profissionais'!$C$11:$H$348,3,0),
VLOOKUP(B12,'Lista Profissionais'!$C$11:$H$348,4,0)), 0))</f>
        <v>#N/A</v>
      </c>
      <c r="H12" s="81" t="e">
        <f t="shared" si="0"/>
        <v>#N/A</v>
      </c>
      <c r="I12" s="81" t="e">
        <f t="shared" ref="I12:J12" si="23">H12+AB12</f>
        <v>#N/A</v>
      </c>
      <c r="J12" s="81" t="e">
        <f t="shared" si="23"/>
        <v>#N/A</v>
      </c>
      <c r="K12" s="82">
        <v>0</v>
      </c>
      <c r="L12" s="83">
        <v>0</v>
      </c>
      <c r="M12" s="69" t="e">
        <f t="shared" si="2"/>
        <v>#N/A</v>
      </c>
      <c r="N12" s="69" t="e">
        <f t="shared" si="3"/>
        <v>#N/A</v>
      </c>
      <c r="O12" s="84" t="e">
        <f t="shared" si="4"/>
        <v>#N/A</v>
      </c>
      <c r="P12" s="71" t="e">
        <f t="shared" si="5"/>
        <v>#N/A</v>
      </c>
      <c r="Q12" s="72" t="e">
        <f t="shared" si="6"/>
        <v>#N/A</v>
      </c>
      <c r="R12" s="72" t="e">
        <f t="shared" si="7"/>
        <v>#N/A</v>
      </c>
      <c r="S12" s="80">
        <f t="shared" si="8"/>
        <v>0</v>
      </c>
      <c r="T12" s="80">
        <f t="shared" si="9"/>
        <v>0</v>
      </c>
      <c r="U12" s="80">
        <f t="shared" si="10"/>
        <v>0</v>
      </c>
      <c r="V12" s="80">
        <f t="shared" si="11"/>
        <v>0</v>
      </c>
      <c r="W12" s="80">
        <f t="shared" si="12"/>
        <v>0</v>
      </c>
      <c r="X12" s="80">
        <f t="shared" si="13"/>
        <v>0</v>
      </c>
      <c r="Y12" s="80">
        <f t="shared" si="14"/>
        <v>0</v>
      </c>
      <c r="Z12" s="80">
        <f t="shared" si="15"/>
        <v>0</v>
      </c>
      <c r="AA12" s="80">
        <f t="shared" si="16"/>
        <v>0</v>
      </c>
      <c r="AB12" s="80">
        <f t="shared" si="17"/>
        <v>0</v>
      </c>
      <c r="AC12" s="85" t="e">
        <f t="shared" si="18"/>
        <v>#N/A</v>
      </c>
      <c r="AD12" s="70" t="e">
        <f t="shared" si="19"/>
        <v>#N/A</v>
      </c>
      <c r="AE12" s="74" t="e">
        <f t="shared" si="21"/>
        <v>#N/A</v>
      </c>
    </row>
    <row r="13" spans="2:31" ht="14.25" customHeight="1" x14ac:dyDescent="0.25">
      <c r="B13" s="75" t="s">
        <v>79</v>
      </c>
      <c r="C13" s="76" t="s">
        <v>73</v>
      </c>
      <c r="D13" s="77">
        <v>168</v>
      </c>
      <c r="E13" s="78" t="s">
        <v>76</v>
      </c>
      <c r="F13" s="79">
        <v>0</v>
      </c>
      <c r="G13" s="80" t="e">
        <f>IF(F13&gt;0,F13,
IF(B13&lt;&gt;"",
IF(C13="CLT",VLOOKUP(B13,'Lista Profissionais'!$C$11:$H$348,3,0),
VLOOKUP(B13,'Lista Profissionais'!$C$11:$H$348,4,0)), 0))</f>
        <v>#N/A</v>
      </c>
      <c r="H13" s="81" t="e">
        <f t="shared" si="0"/>
        <v>#N/A</v>
      </c>
      <c r="I13" s="81" t="e">
        <f t="shared" ref="I13:J13" si="24">H13+AB13</f>
        <v>#N/A</v>
      </c>
      <c r="J13" s="81" t="e">
        <f t="shared" si="24"/>
        <v>#N/A</v>
      </c>
      <c r="K13" s="82">
        <v>0</v>
      </c>
      <c r="L13" s="83">
        <v>0</v>
      </c>
      <c r="M13" s="69" t="e">
        <f t="shared" si="2"/>
        <v>#N/A</v>
      </c>
      <c r="N13" s="69" t="e">
        <f t="shared" si="3"/>
        <v>#N/A</v>
      </c>
      <c r="O13" s="84" t="e">
        <f t="shared" si="4"/>
        <v>#N/A</v>
      </c>
      <c r="P13" s="71" t="e">
        <f t="shared" si="5"/>
        <v>#N/A</v>
      </c>
      <c r="Q13" s="72" t="e">
        <f t="shared" si="6"/>
        <v>#N/A</v>
      </c>
      <c r="R13" s="72" t="e">
        <f t="shared" si="7"/>
        <v>#N/A</v>
      </c>
      <c r="S13" s="80">
        <f t="shared" si="8"/>
        <v>0</v>
      </c>
      <c r="T13" s="80">
        <f t="shared" si="9"/>
        <v>0</v>
      </c>
      <c r="U13" s="80">
        <f t="shared" si="10"/>
        <v>0</v>
      </c>
      <c r="V13" s="80">
        <f t="shared" si="11"/>
        <v>0</v>
      </c>
      <c r="W13" s="80">
        <f t="shared" si="12"/>
        <v>0</v>
      </c>
      <c r="X13" s="80">
        <f t="shared" si="13"/>
        <v>0</v>
      </c>
      <c r="Y13" s="80">
        <f t="shared" si="14"/>
        <v>0</v>
      </c>
      <c r="Z13" s="80">
        <f t="shared" si="15"/>
        <v>0</v>
      </c>
      <c r="AA13" s="80">
        <f t="shared" si="16"/>
        <v>0</v>
      </c>
      <c r="AB13" s="80">
        <f t="shared" si="17"/>
        <v>0</v>
      </c>
      <c r="AC13" s="85" t="e">
        <f t="shared" si="18"/>
        <v>#N/A</v>
      </c>
      <c r="AD13" s="70" t="e">
        <f t="shared" si="19"/>
        <v>#N/A</v>
      </c>
      <c r="AE13" s="74" t="e">
        <f t="shared" si="21"/>
        <v>#N/A</v>
      </c>
    </row>
    <row r="14" spans="2:31" ht="14.25" customHeight="1" x14ac:dyDescent="0.25">
      <c r="B14" s="75" t="s">
        <v>79</v>
      </c>
      <c r="C14" s="76" t="s">
        <v>73</v>
      </c>
      <c r="D14" s="77">
        <v>168</v>
      </c>
      <c r="E14" s="78" t="s">
        <v>76</v>
      </c>
      <c r="F14" s="79">
        <v>0</v>
      </c>
      <c r="G14" s="80" t="e">
        <f>IF(F14&gt;0,F14,
IF(B14&lt;&gt;"",
IF(C14="CLT",VLOOKUP(B14,'Lista Profissionais'!$C$11:$H$348,3,0),
VLOOKUP(B14,'Lista Profissionais'!$C$11:$H$348,4,0)), 0))</f>
        <v>#N/A</v>
      </c>
      <c r="H14" s="81" t="e">
        <f t="shared" si="0"/>
        <v>#N/A</v>
      </c>
      <c r="I14" s="81" t="e">
        <f t="shared" ref="I14:J14" si="25">H14+AB14</f>
        <v>#N/A</v>
      </c>
      <c r="J14" s="81" t="e">
        <f t="shared" si="25"/>
        <v>#N/A</v>
      </c>
      <c r="K14" s="82">
        <v>0</v>
      </c>
      <c r="L14" s="83">
        <v>0</v>
      </c>
      <c r="M14" s="69" t="e">
        <f t="shared" si="2"/>
        <v>#N/A</v>
      </c>
      <c r="N14" s="69" t="e">
        <f t="shared" si="3"/>
        <v>#N/A</v>
      </c>
      <c r="O14" s="84" t="e">
        <f t="shared" si="4"/>
        <v>#N/A</v>
      </c>
      <c r="P14" s="71" t="e">
        <f t="shared" si="5"/>
        <v>#N/A</v>
      </c>
      <c r="Q14" s="72" t="e">
        <f t="shared" si="6"/>
        <v>#N/A</v>
      </c>
      <c r="R14" s="72" t="e">
        <f t="shared" si="7"/>
        <v>#N/A</v>
      </c>
      <c r="S14" s="80">
        <f t="shared" si="8"/>
        <v>0</v>
      </c>
      <c r="T14" s="80">
        <f t="shared" si="9"/>
        <v>0</v>
      </c>
      <c r="U14" s="80">
        <f t="shared" si="10"/>
        <v>0</v>
      </c>
      <c r="V14" s="80">
        <f t="shared" si="11"/>
        <v>0</v>
      </c>
      <c r="W14" s="80">
        <f t="shared" si="12"/>
        <v>0</v>
      </c>
      <c r="X14" s="80">
        <f t="shared" si="13"/>
        <v>0</v>
      </c>
      <c r="Y14" s="80">
        <f t="shared" si="14"/>
        <v>0</v>
      </c>
      <c r="Z14" s="80">
        <f t="shared" si="15"/>
        <v>0</v>
      </c>
      <c r="AA14" s="80">
        <f t="shared" si="16"/>
        <v>0</v>
      </c>
      <c r="AB14" s="80">
        <f t="shared" si="17"/>
        <v>0</v>
      </c>
      <c r="AC14" s="85" t="e">
        <f t="shared" si="18"/>
        <v>#N/A</v>
      </c>
      <c r="AD14" s="70" t="e">
        <f t="shared" si="19"/>
        <v>#N/A</v>
      </c>
      <c r="AE14" s="74" t="e">
        <f t="shared" si="21"/>
        <v>#N/A</v>
      </c>
    </row>
    <row r="15" spans="2:31" ht="14.25" customHeight="1" x14ac:dyDescent="0.25">
      <c r="B15" s="75"/>
      <c r="C15" s="76" t="s">
        <v>73</v>
      </c>
      <c r="D15" s="77"/>
      <c r="E15" s="78"/>
      <c r="F15" s="79">
        <v>0</v>
      </c>
      <c r="G15" s="80">
        <f>IF(F15&gt;0,F15,
IF(B15&lt;&gt;"",
IF(C15="CLT",VLOOKUP(B15,'Lista Profissionais'!$C$11:$H$348,3,0),
VLOOKUP(B15,'Lista Profissionais'!$C$11:$H$348,4,0)), 0))</f>
        <v>0</v>
      </c>
      <c r="H15" s="81">
        <f t="shared" si="0"/>
        <v>0</v>
      </c>
      <c r="I15" s="81">
        <f t="shared" ref="I15:J15" si="26">H15+AB15</f>
        <v>0</v>
      </c>
      <c r="J15" s="81">
        <f t="shared" si="26"/>
        <v>0</v>
      </c>
      <c r="K15" s="82">
        <v>0</v>
      </c>
      <c r="L15" s="83">
        <v>0</v>
      </c>
      <c r="M15" s="69">
        <f t="shared" si="2"/>
        <v>0</v>
      </c>
      <c r="N15" s="69">
        <f t="shared" si="3"/>
        <v>0</v>
      </c>
      <c r="O15" s="84">
        <f t="shared" si="4"/>
        <v>0</v>
      </c>
      <c r="P15" s="71">
        <f t="shared" si="5"/>
        <v>0</v>
      </c>
      <c r="Q15" s="72" t="e">
        <f t="shared" si="6"/>
        <v>#N/A</v>
      </c>
      <c r="R15" s="72" t="e">
        <f t="shared" si="7"/>
        <v>#N/A</v>
      </c>
      <c r="S15" s="80">
        <f t="shared" si="8"/>
        <v>0</v>
      </c>
      <c r="T15" s="80">
        <f t="shared" si="9"/>
        <v>0</v>
      </c>
      <c r="U15" s="80">
        <f t="shared" si="10"/>
        <v>0</v>
      </c>
      <c r="V15" s="80">
        <f t="shared" si="11"/>
        <v>0</v>
      </c>
      <c r="W15" s="80">
        <f t="shared" si="12"/>
        <v>0</v>
      </c>
      <c r="X15" s="80">
        <f t="shared" si="13"/>
        <v>0</v>
      </c>
      <c r="Y15" s="80">
        <f t="shared" si="14"/>
        <v>0</v>
      </c>
      <c r="Z15" s="80">
        <f t="shared" si="15"/>
        <v>0</v>
      </c>
      <c r="AA15" s="80">
        <f t="shared" si="16"/>
        <v>0</v>
      </c>
      <c r="AB15" s="80">
        <f t="shared" si="17"/>
        <v>0</v>
      </c>
      <c r="AC15" s="85">
        <f t="shared" si="18"/>
        <v>0</v>
      </c>
      <c r="AD15" s="70" t="e">
        <f t="shared" si="19"/>
        <v>#N/A</v>
      </c>
      <c r="AE15" s="74" t="e">
        <f t="shared" si="21"/>
        <v>#N/A</v>
      </c>
    </row>
    <row r="16" spans="2:31" ht="14.25" customHeight="1" x14ac:dyDescent="0.25">
      <c r="B16" s="75"/>
      <c r="C16" s="76" t="s">
        <v>73</v>
      </c>
      <c r="D16" s="77"/>
      <c r="E16" s="78"/>
      <c r="F16" s="79">
        <v>0</v>
      </c>
      <c r="G16" s="80">
        <f>IF(F16&gt;0,F16,
IF(B16&lt;&gt;"",
IF(C16="CLT",VLOOKUP(B16,'Lista Profissionais'!$C$11:$H$348,3,0),
VLOOKUP(B16,'Lista Profissionais'!$C$11:$H$348,4,0)), 0))</f>
        <v>0</v>
      </c>
      <c r="H16" s="81">
        <f t="shared" si="0"/>
        <v>0</v>
      </c>
      <c r="I16" s="81">
        <f t="shared" ref="I16:J16" si="27">H16+AB16</f>
        <v>0</v>
      </c>
      <c r="J16" s="81">
        <f t="shared" si="27"/>
        <v>0</v>
      </c>
      <c r="K16" s="82">
        <v>0</v>
      </c>
      <c r="L16" s="83">
        <v>0</v>
      </c>
      <c r="M16" s="69">
        <f t="shared" si="2"/>
        <v>0</v>
      </c>
      <c r="N16" s="69">
        <f t="shared" si="3"/>
        <v>0</v>
      </c>
      <c r="O16" s="84">
        <f t="shared" si="4"/>
        <v>0</v>
      </c>
      <c r="P16" s="71">
        <f t="shared" si="5"/>
        <v>0</v>
      </c>
      <c r="Q16" s="72" t="e">
        <f t="shared" si="6"/>
        <v>#N/A</v>
      </c>
      <c r="R16" s="72" t="e">
        <f t="shared" si="7"/>
        <v>#N/A</v>
      </c>
      <c r="S16" s="80">
        <f t="shared" si="8"/>
        <v>0</v>
      </c>
      <c r="T16" s="80">
        <f t="shared" si="9"/>
        <v>0</v>
      </c>
      <c r="U16" s="80">
        <f t="shared" si="10"/>
        <v>0</v>
      </c>
      <c r="V16" s="80">
        <f t="shared" si="11"/>
        <v>0</v>
      </c>
      <c r="W16" s="80">
        <f t="shared" si="12"/>
        <v>0</v>
      </c>
      <c r="X16" s="80">
        <f t="shared" si="13"/>
        <v>0</v>
      </c>
      <c r="Y16" s="80">
        <f t="shared" si="14"/>
        <v>0</v>
      </c>
      <c r="Z16" s="80">
        <f t="shared" si="15"/>
        <v>0</v>
      </c>
      <c r="AA16" s="80">
        <f t="shared" si="16"/>
        <v>0</v>
      </c>
      <c r="AB16" s="80">
        <f t="shared" si="17"/>
        <v>0</v>
      </c>
      <c r="AC16" s="85">
        <f t="shared" si="18"/>
        <v>0</v>
      </c>
      <c r="AD16" s="70" t="e">
        <f t="shared" si="19"/>
        <v>#N/A</v>
      </c>
      <c r="AE16" s="74" t="e">
        <f t="shared" si="21"/>
        <v>#N/A</v>
      </c>
    </row>
    <row r="17" spans="2:31" ht="14.25" customHeight="1" x14ac:dyDescent="0.25">
      <c r="B17" s="75"/>
      <c r="C17" s="76" t="s">
        <v>73</v>
      </c>
      <c r="D17" s="77"/>
      <c r="E17" s="78"/>
      <c r="F17" s="79">
        <v>0</v>
      </c>
      <c r="G17" s="80">
        <f>IF(F17&gt;0,F17,
IF(B17&lt;&gt;"",
IF(C17="CLT",VLOOKUP(B17,'Lista Profissionais'!$C$11:$H$348,3,0),
VLOOKUP(B17,'Lista Profissionais'!$C$11:$H$348,4,0)), 0))</f>
        <v>0</v>
      </c>
      <c r="H17" s="81">
        <f t="shared" si="0"/>
        <v>0</v>
      </c>
      <c r="I17" s="81">
        <f t="shared" ref="I17:J17" si="28">H17+AB17</f>
        <v>0</v>
      </c>
      <c r="J17" s="81">
        <f t="shared" si="28"/>
        <v>0</v>
      </c>
      <c r="K17" s="82">
        <v>0</v>
      </c>
      <c r="L17" s="83">
        <v>0</v>
      </c>
      <c r="M17" s="69">
        <f t="shared" si="2"/>
        <v>0</v>
      </c>
      <c r="N17" s="69">
        <f t="shared" si="3"/>
        <v>0</v>
      </c>
      <c r="O17" s="84">
        <f t="shared" si="4"/>
        <v>0</v>
      </c>
      <c r="P17" s="71">
        <f t="shared" si="5"/>
        <v>0</v>
      </c>
      <c r="Q17" s="72" t="e">
        <f t="shared" si="6"/>
        <v>#N/A</v>
      </c>
      <c r="R17" s="72" t="e">
        <f t="shared" si="7"/>
        <v>#N/A</v>
      </c>
      <c r="S17" s="80">
        <f t="shared" si="8"/>
        <v>0</v>
      </c>
      <c r="T17" s="80">
        <f t="shared" si="9"/>
        <v>0</v>
      </c>
      <c r="U17" s="80">
        <f t="shared" si="10"/>
        <v>0</v>
      </c>
      <c r="V17" s="80">
        <f t="shared" si="11"/>
        <v>0</v>
      </c>
      <c r="W17" s="80">
        <f t="shared" si="12"/>
        <v>0</v>
      </c>
      <c r="X17" s="80">
        <f t="shared" si="13"/>
        <v>0</v>
      </c>
      <c r="Y17" s="80">
        <f t="shared" si="14"/>
        <v>0</v>
      </c>
      <c r="Z17" s="80">
        <f t="shared" si="15"/>
        <v>0</v>
      </c>
      <c r="AA17" s="80">
        <f t="shared" si="16"/>
        <v>0</v>
      </c>
      <c r="AB17" s="80">
        <f t="shared" si="17"/>
        <v>0</v>
      </c>
      <c r="AC17" s="85">
        <f t="shared" si="18"/>
        <v>0</v>
      </c>
      <c r="AD17" s="70" t="e">
        <f t="shared" si="19"/>
        <v>#N/A</v>
      </c>
      <c r="AE17" s="74" t="e">
        <f t="shared" si="21"/>
        <v>#N/A</v>
      </c>
    </row>
    <row r="18" spans="2:31" ht="14.25" customHeight="1" x14ac:dyDescent="0.25">
      <c r="B18" s="75"/>
      <c r="C18" s="76" t="s">
        <v>73</v>
      </c>
      <c r="D18" s="77"/>
      <c r="E18" s="78"/>
      <c r="F18" s="79">
        <v>0</v>
      </c>
      <c r="G18" s="80">
        <f>IF(F18&gt;0,F18,
IF(B18&lt;&gt;"",
IF(C18="CLT",VLOOKUP(B18,'Lista Profissionais'!$C$11:$H$348,3,0),
VLOOKUP(B18,'Lista Profissionais'!$C$11:$H$348,4,0)), 0))</f>
        <v>0</v>
      </c>
      <c r="H18" s="81">
        <f t="shared" si="0"/>
        <v>0</v>
      </c>
      <c r="I18" s="81">
        <f t="shared" ref="I18:J18" si="29">H18+AB18</f>
        <v>0</v>
      </c>
      <c r="J18" s="81">
        <f t="shared" si="29"/>
        <v>0</v>
      </c>
      <c r="K18" s="82">
        <v>0</v>
      </c>
      <c r="L18" s="83">
        <v>0</v>
      </c>
      <c r="M18" s="69">
        <f t="shared" si="2"/>
        <v>0</v>
      </c>
      <c r="N18" s="69">
        <f t="shared" si="3"/>
        <v>0</v>
      </c>
      <c r="O18" s="84">
        <f t="shared" si="4"/>
        <v>0</v>
      </c>
      <c r="P18" s="71">
        <f t="shared" si="5"/>
        <v>0</v>
      </c>
      <c r="Q18" s="72" t="e">
        <f t="shared" si="6"/>
        <v>#N/A</v>
      </c>
      <c r="R18" s="72" t="e">
        <f t="shared" si="7"/>
        <v>#N/A</v>
      </c>
      <c r="S18" s="80">
        <f t="shared" si="8"/>
        <v>0</v>
      </c>
      <c r="T18" s="80">
        <f t="shared" si="9"/>
        <v>0</v>
      </c>
      <c r="U18" s="80">
        <f t="shared" si="10"/>
        <v>0</v>
      </c>
      <c r="V18" s="80">
        <f t="shared" si="11"/>
        <v>0</v>
      </c>
      <c r="W18" s="80">
        <f t="shared" si="12"/>
        <v>0</v>
      </c>
      <c r="X18" s="80">
        <f t="shared" si="13"/>
        <v>0</v>
      </c>
      <c r="Y18" s="80">
        <f t="shared" si="14"/>
        <v>0</v>
      </c>
      <c r="Z18" s="80">
        <f t="shared" si="15"/>
        <v>0</v>
      </c>
      <c r="AA18" s="80">
        <f t="shared" si="16"/>
        <v>0</v>
      </c>
      <c r="AB18" s="80">
        <f t="shared" si="17"/>
        <v>0</v>
      </c>
      <c r="AC18" s="85">
        <f t="shared" si="18"/>
        <v>0</v>
      </c>
      <c r="AD18" s="70" t="e">
        <f t="shared" si="19"/>
        <v>#N/A</v>
      </c>
      <c r="AE18" s="74" t="e">
        <f t="shared" si="21"/>
        <v>#N/A</v>
      </c>
    </row>
    <row r="19" spans="2:31" ht="14.25" customHeight="1" x14ac:dyDescent="0.25">
      <c r="B19" s="75"/>
      <c r="C19" s="76" t="s">
        <v>73</v>
      </c>
      <c r="D19" s="77"/>
      <c r="E19" s="78"/>
      <c r="F19" s="79">
        <v>0</v>
      </c>
      <c r="G19" s="80">
        <f>IF(F19&gt;0,F19,
IF(B19&lt;&gt;"",
IF(C19="CLT",VLOOKUP(B19,'Lista Profissionais'!$C$11:$H$348,3,0),
VLOOKUP(B19,'Lista Profissionais'!$C$11:$H$348,4,0)), 0))</f>
        <v>0</v>
      </c>
      <c r="H19" s="81">
        <f t="shared" si="0"/>
        <v>0</v>
      </c>
      <c r="I19" s="81">
        <f t="shared" ref="I19:J19" si="30">H19+AB19</f>
        <v>0</v>
      </c>
      <c r="J19" s="81">
        <f t="shared" si="30"/>
        <v>0</v>
      </c>
      <c r="K19" s="82">
        <v>0</v>
      </c>
      <c r="L19" s="83">
        <v>0</v>
      </c>
      <c r="M19" s="69">
        <f t="shared" si="2"/>
        <v>0</v>
      </c>
      <c r="N19" s="69">
        <f t="shared" si="3"/>
        <v>0</v>
      </c>
      <c r="O19" s="84">
        <f t="shared" si="4"/>
        <v>0</v>
      </c>
      <c r="P19" s="71">
        <f t="shared" si="5"/>
        <v>0</v>
      </c>
      <c r="Q19" s="72" t="e">
        <f t="shared" si="6"/>
        <v>#N/A</v>
      </c>
      <c r="R19" s="72" t="e">
        <f t="shared" si="7"/>
        <v>#N/A</v>
      </c>
      <c r="S19" s="80">
        <f t="shared" si="8"/>
        <v>0</v>
      </c>
      <c r="T19" s="80">
        <f t="shared" si="9"/>
        <v>0</v>
      </c>
      <c r="U19" s="80">
        <f t="shared" si="10"/>
        <v>0</v>
      </c>
      <c r="V19" s="80">
        <f t="shared" si="11"/>
        <v>0</v>
      </c>
      <c r="W19" s="80">
        <f t="shared" si="12"/>
        <v>0</v>
      </c>
      <c r="X19" s="80">
        <f t="shared" si="13"/>
        <v>0</v>
      </c>
      <c r="Y19" s="80">
        <f t="shared" si="14"/>
        <v>0</v>
      </c>
      <c r="Z19" s="80">
        <f t="shared" si="15"/>
        <v>0</v>
      </c>
      <c r="AA19" s="80">
        <f t="shared" si="16"/>
        <v>0</v>
      </c>
      <c r="AB19" s="80">
        <f t="shared" si="17"/>
        <v>0</v>
      </c>
      <c r="AC19" s="85">
        <f t="shared" si="18"/>
        <v>0</v>
      </c>
      <c r="AD19" s="70" t="e">
        <f t="shared" si="19"/>
        <v>#N/A</v>
      </c>
      <c r="AE19" s="74" t="e">
        <f t="shared" si="21"/>
        <v>#N/A</v>
      </c>
    </row>
    <row r="20" spans="2:31" ht="14.25" customHeight="1" x14ac:dyDescent="0.25">
      <c r="B20" s="75"/>
      <c r="C20" s="76" t="s">
        <v>73</v>
      </c>
      <c r="D20" s="77"/>
      <c r="E20" s="78"/>
      <c r="F20" s="79">
        <v>0</v>
      </c>
      <c r="G20" s="80">
        <f>IF(F20&gt;0,F20,
IF(B20&lt;&gt;"",
IF(C20="CLT",VLOOKUP(B20,'Lista Profissionais'!$C$11:$H$348,3,0),
VLOOKUP(B20,'Lista Profissionais'!$C$11:$H$348,4,0)), 0))</f>
        <v>0</v>
      </c>
      <c r="H20" s="81">
        <f t="shared" si="0"/>
        <v>0</v>
      </c>
      <c r="I20" s="81">
        <f t="shared" ref="I20:J20" si="31">H20+AB20</f>
        <v>0</v>
      </c>
      <c r="J20" s="81">
        <f t="shared" si="31"/>
        <v>0</v>
      </c>
      <c r="K20" s="82">
        <v>0</v>
      </c>
      <c r="L20" s="83">
        <v>0</v>
      </c>
      <c r="M20" s="69">
        <f t="shared" si="2"/>
        <v>0</v>
      </c>
      <c r="N20" s="69">
        <f t="shared" si="3"/>
        <v>0</v>
      </c>
      <c r="O20" s="84">
        <f t="shared" si="4"/>
        <v>0</v>
      </c>
      <c r="P20" s="71">
        <f t="shared" si="5"/>
        <v>0</v>
      </c>
      <c r="Q20" s="72" t="e">
        <f t="shared" si="6"/>
        <v>#N/A</v>
      </c>
      <c r="R20" s="72" t="e">
        <f t="shared" si="7"/>
        <v>#N/A</v>
      </c>
      <c r="S20" s="80">
        <f t="shared" si="8"/>
        <v>0</v>
      </c>
      <c r="T20" s="80">
        <f t="shared" si="9"/>
        <v>0</v>
      </c>
      <c r="U20" s="80">
        <f t="shared" si="10"/>
        <v>0</v>
      </c>
      <c r="V20" s="80">
        <f t="shared" si="11"/>
        <v>0</v>
      </c>
      <c r="W20" s="80">
        <f t="shared" si="12"/>
        <v>0</v>
      </c>
      <c r="X20" s="80">
        <f t="shared" si="13"/>
        <v>0</v>
      </c>
      <c r="Y20" s="80">
        <f t="shared" si="14"/>
        <v>0</v>
      </c>
      <c r="Z20" s="80">
        <f t="shared" si="15"/>
        <v>0</v>
      </c>
      <c r="AA20" s="80">
        <f t="shared" si="16"/>
        <v>0</v>
      </c>
      <c r="AB20" s="80">
        <f t="shared" si="17"/>
        <v>0</v>
      </c>
      <c r="AC20" s="85">
        <f t="shared" si="18"/>
        <v>0</v>
      </c>
      <c r="AD20" s="70" t="e">
        <f t="shared" si="19"/>
        <v>#N/A</v>
      </c>
      <c r="AE20" s="74" t="e">
        <f t="shared" si="21"/>
        <v>#N/A</v>
      </c>
    </row>
    <row r="21" spans="2:31" ht="14.25" customHeight="1" x14ac:dyDescent="0.25">
      <c r="B21" s="75"/>
      <c r="C21" s="76" t="s">
        <v>73</v>
      </c>
      <c r="D21" s="77"/>
      <c r="E21" s="78"/>
      <c r="F21" s="79">
        <v>0</v>
      </c>
      <c r="G21" s="80">
        <f>IF(F21&gt;0,F21,
IF(B21&lt;&gt;"",
IF(C21="CLT",VLOOKUP(B21,'Lista Profissionais'!$C$11:$H$348,3,0),
VLOOKUP(B21,'Lista Profissionais'!$C$11:$H$348,4,0)), 0))</f>
        <v>0</v>
      </c>
      <c r="H21" s="81">
        <f t="shared" si="0"/>
        <v>0</v>
      </c>
      <c r="I21" s="81">
        <f t="shared" ref="I21:J21" si="32">H21+AB21</f>
        <v>0</v>
      </c>
      <c r="J21" s="81">
        <f t="shared" si="32"/>
        <v>0</v>
      </c>
      <c r="K21" s="82">
        <v>0</v>
      </c>
      <c r="L21" s="83">
        <v>0</v>
      </c>
      <c r="M21" s="69">
        <f t="shared" si="2"/>
        <v>0</v>
      </c>
      <c r="N21" s="69">
        <f t="shared" si="3"/>
        <v>0</v>
      </c>
      <c r="O21" s="84">
        <f t="shared" si="4"/>
        <v>0</v>
      </c>
      <c r="P21" s="71">
        <f t="shared" si="5"/>
        <v>0</v>
      </c>
      <c r="Q21" s="72" t="e">
        <f t="shared" si="6"/>
        <v>#N/A</v>
      </c>
      <c r="R21" s="72" t="e">
        <f t="shared" si="7"/>
        <v>#N/A</v>
      </c>
      <c r="S21" s="80">
        <f t="shared" si="8"/>
        <v>0</v>
      </c>
      <c r="T21" s="80">
        <f t="shared" si="9"/>
        <v>0</v>
      </c>
      <c r="U21" s="80">
        <f t="shared" si="10"/>
        <v>0</v>
      </c>
      <c r="V21" s="80">
        <f t="shared" si="11"/>
        <v>0</v>
      </c>
      <c r="W21" s="80">
        <f t="shared" si="12"/>
        <v>0</v>
      </c>
      <c r="X21" s="80">
        <f t="shared" si="13"/>
        <v>0</v>
      </c>
      <c r="Y21" s="80">
        <f t="shared" si="14"/>
        <v>0</v>
      </c>
      <c r="Z21" s="80">
        <f t="shared" si="15"/>
        <v>0</v>
      </c>
      <c r="AA21" s="80">
        <f t="shared" si="16"/>
        <v>0</v>
      </c>
      <c r="AB21" s="80">
        <f t="shared" si="17"/>
        <v>0</v>
      </c>
      <c r="AC21" s="85">
        <f t="shared" si="18"/>
        <v>0</v>
      </c>
      <c r="AD21" s="70" t="e">
        <f t="shared" si="19"/>
        <v>#N/A</v>
      </c>
      <c r="AE21" s="74" t="e">
        <f t="shared" si="21"/>
        <v>#N/A</v>
      </c>
    </row>
    <row r="22" spans="2:31" ht="14.25" customHeight="1" x14ac:dyDescent="0.25">
      <c r="B22" s="75"/>
      <c r="C22" s="76" t="s">
        <v>73</v>
      </c>
      <c r="D22" s="77"/>
      <c r="E22" s="78"/>
      <c r="F22" s="79">
        <v>0</v>
      </c>
      <c r="G22" s="80">
        <f>IF(F22&gt;0,F22,
IF(B22&lt;&gt;"",
IF(C22="CLT",VLOOKUP(B22,'Lista Profissionais'!$C$11:$H$348,3,0),
VLOOKUP(B22,'Lista Profissionais'!$C$11:$H$348,4,0)), 0))</f>
        <v>0</v>
      </c>
      <c r="H22" s="81">
        <f t="shared" si="0"/>
        <v>0</v>
      </c>
      <c r="I22" s="81">
        <f t="shared" ref="I22:J22" si="33">H22+AB22</f>
        <v>0</v>
      </c>
      <c r="J22" s="81">
        <f t="shared" si="33"/>
        <v>0</v>
      </c>
      <c r="K22" s="82">
        <v>0</v>
      </c>
      <c r="L22" s="83">
        <v>0</v>
      </c>
      <c r="M22" s="69">
        <f t="shared" si="2"/>
        <v>0</v>
      </c>
      <c r="N22" s="69">
        <f t="shared" si="3"/>
        <v>0</v>
      </c>
      <c r="O22" s="84">
        <f t="shared" si="4"/>
        <v>0</v>
      </c>
      <c r="P22" s="71">
        <f t="shared" si="5"/>
        <v>0</v>
      </c>
      <c r="Q22" s="72" t="e">
        <f t="shared" si="6"/>
        <v>#N/A</v>
      </c>
      <c r="R22" s="72" t="e">
        <f t="shared" si="7"/>
        <v>#N/A</v>
      </c>
      <c r="S22" s="80">
        <f t="shared" si="8"/>
        <v>0</v>
      </c>
      <c r="T22" s="80">
        <f t="shared" si="9"/>
        <v>0</v>
      </c>
      <c r="U22" s="80">
        <f t="shared" si="10"/>
        <v>0</v>
      </c>
      <c r="V22" s="80">
        <f t="shared" si="11"/>
        <v>0</v>
      </c>
      <c r="W22" s="80">
        <f t="shared" si="12"/>
        <v>0</v>
      </c>
      <c r="X22" s="80">
        <f t="shared" si="13"/>
        <v>0</v>
      </c>
      <c r="Y22" s="80">
        <f t="shared" si="14"/>
        <v>0</v>
      </c>
      <c r="Z22" s="80">
        <f t="shared" si="15"/>
        <v>0</v>
      </c>
      <c r="AA22" s="80">
        <f t="shared" si="16"/>
        <v>0</v>
      </c>
      <c r="AB22" s="80">
        <f t="shared" si="17"/>
        <v>0</v>
      </c>
      <c r="AC22" s="85">
        <f t="shared" si="18"/>
        <v>0</v>
      </c>
      <c r="AD22" s="70" t="e">
        <f t="shared" si="19"/>
        <v>#N/A</v>
      </c>
      <c r="AE22" s="74" t="e">
        <f t="shared" si="21"/>
        <v>#N/A</v>
      </c>
    </row>
    <row r="23" spans="2:31" ht="14.25" customHeight="1" x14ac:dyDescent="0.25">
      <c r="B23" s="75"/>
      <c r="C23" s="76" t="s">
        <v>73</v>
      </c>
      <c r="D23" s="77"/>
      <c r="E23" s="78"/>
      <c r="F23" s="79">
        <v>0</v>
      </c>
      <c r="G23" s="80">
        <f>IF(F23&gt;0,F23,
IF(B23&lt;&gt;"",
IF(C23="CLT",VLOOKUP(B23,'Lista Profissionais'!$C$11:$H$348,3,0),
VLOOKUP(B23,'Lista Profissionais'!$C$11:$H$348,4,0)), 0))</f>
        <v>0</v>
      </c>
      <c r="H23" s="81">
        <f t="shared" si="0"/>
        <v>0</v>
      </c>
      <c r="I23" s="81">
        <f t="shared" ref="I23:J23" si="34">H23+AB23</f>
        <v>0</v>
      </c>
      <c r="J23" s="81">
        <f t="shared" si="34"/>
        <v>0</v>
      </c>
      <c r="K23" s="82">
        <v>0</v>
      </c>
      <c r="L23" s="83">
        <v>0</v>
      </c>
      <c r="M23" s="69">
        <f t="shared" si="2"/>
        <v>0</v>
      </c>
      <c r="N23" s="69">
        <f t="shared" si="3"/>
        <v>0</v>
      </c>
      <c r="O23" s="84">
        <f t="shared" si="4"/>
        <v>0</v>
      </c>
      <c r="P23" s="71">
        <f t="shared" si="5"/>
        <v>0</v>
      </c>
      <c r="Q23" s="72" t="e">
        <f t="shared" si="6"/>
        <v>#N/A</v>
      </c>
      <c r="R23" s="72" t="e">
        <f t="shared" si="7"/>
        <v>#N/A</v>
      </c>
      <c r="S23" s="80">
        <f t="shared" si="8"/>
        <v>0</v>
      </c>
      <c r="T23" s="80">
        <f t="shared" si="9"/>
        <v>0</v>
      </c>
      <c r="U23" s="80">
        <f t="shared" si="10"/>
        <v>0</v>
      </c>
      <c r="V23" s="80">
        <f t="shared" si="11"/>
        <v>0</v>
      </c>
      <c r="W23" s="80">
        <f t="shared" si="12"/>
        <v>0</v>
      </c>
      <c r="X23" s="80">
        <f t="shared" si="13"/>
        <v>0</v>
      </c>
      <c r="Y23" s="80">
        <f t="shared" si="14"/>
        <v>0</v>
      </c>
      <c r="Z23" s="80">
        <f t="shared" si="15"/>
        <v>0</v>
      </c>
      <c r="AA23" s="80">
        <f t="shared" si="16"/>
        <v>0</v>
      </c>
      <c r="AB23" s="80">
        <f t="shared" si="17"/>
        <v>0</v>
      </c>
      <c r="AC23" s="85">
        <f t="shared" si="18"/>
        <v>0</v>
      </c>
      <c r="AD23" s="70" t="e">
        <f t="shared" si="19"/>
        <v>#N/A</v>
      </c>
      <c r="AE23" s="74" t="e">
        <f t="shared" si="21"/>
        <v>#N/A</v>
      </c>
    </row>
    <row r="24" spans="2:31" ht="14.25" customHeight="1" x14ac:dyDescent="0.25">
      <c r="B24" s="75"/>
      <c r="C24" s="76" t="s">
        <v>73</v>
      </c>
      <c r="D24" s="77"/>
      <c r="E24" s="78"/>
      <c r="F24" s="79">
        <v>0</v>
      </c>
      <c r="G24" s="80">
        <f>IF(F24&gt;0,F24,
IF(B24&lt;&gt;"",
IF(C24="CLT",VLOOKUP(B24,'Lista Profissionais'!$C$11:$H$348,3,0),
VLOOKUP(B24,'Lista Profissionais'!$C$11:$H$348,4,0)), 0))</f>
        <v>0</v>
      </c>
      <c r="H24" s="81">
        <f t="shared" si="0"/>
        <v>0</v>
      </c>
      <c r="I24" s="81">
        <f t="shared" ref="I24:J24" si="35">H24+AB24</f>
        <v>0</v>
      </c>
      <c r="J24" s="81">
        <f t="shared" si="35"/>
        <v>0</v>
      </c>
      <c r="K24" s="82">
        <v>0</v>
      </c>
      <c r="L24" s="83">
        <v>0</v>
      </c>
      <c r="M24" s="69">
        <f t="shared" si="2"/>
        <v>0</v>
      </c>
      <c r="N24" s="69">
        <f t="shared" si="3"/>
        <v>0</v>
      </c>
      <c r="O24" s="84">
        <f t="shared" si="4"/>
        <v>0</v>
      </c>
      <c r="P24" s="71">
        <f t="shared" si="5"/>
        <v>0</v>
      </c>
      <c r="Q24" s="72" t="e">
        <f t="shared" si="6"/>
        <v>#N/A</v>
      </c>
      <c r="R24" s="72" t="e">
        <f t="shared" si="7"/>
        <v>#N/A</v>
      </c>
      <c r="S24" s="80">
        <f t="shared" si="8"/>
        <v>0</v>
      </c>
      <c r="T24" s="80">
        <f t="shared" si="9"/>
        <v>0</v>
      </c>
      <c r="U24" s="80">
        <f t="shared" si="10"/>
        <v>0</v>
      </c>
      <c r="V24" s="80">
        <f t="shared" si="11"/>
        <v>0</v>
      </c>
      <c r="W24" s="80">
        <f t="shared" si="12"/>
        <v>0</v>
      </c>
      <c r="X24" s="80">
        <f t="shared" si="13"/>
        <v>0</v>
      </c>
      <c r="Y24" s="80">
        <f t="shared" si="14"/>
        <v>0</v>
      </c>
      <c r="Z24" s="80">
        <f t="shared" si="15"/>
        <v>0</v>
      </c>
      <c r="AA24" s="80">
        <f t="shared" si="16"/>
        <v>0</v>
      </c>
      <c r="AB24" s="80">
        <f t="shared" si="17"/>
        <v>0</v>
      </c>
      <c r="AC24" s="85">
        <f t="shared" si="18"/>
        <v>0</v>
      </c>
      <c r="AD24" s="70" t="e">
        <f t="shared" si="19"/>
        <v>#N/A</v>
      </c>
      <c r="AE24" s="74" t="e">
        <f t="shared" si="21"/>
        <v>#N/A</v>
      </c>
    </row>
    <row r="25" spans="2:31" ht="14.25" customHeight="1" x14ac:dyDescent="0.25">
      <c r="B25" s="75"/>
      <c r="C25" s="76" t="s">
        <v>73</v>
      </c>
      <c r="D25" s="77"/>
      <c r="E25" s="78"/>
      <c r="F25" s="79">
        <v>0</v>
      </c>
      <c r="G25" s="80">
        <f>IF(F25&gt;0,F25,
IF(B25&lt;&gt;"",
IF(C25="CLT",VLOOKUP(B25,'Lista Profissionais'!$C$11:$H$348,3,0),
VLOOKUP(B25,'Lista Profissionais'!$C$11:$H$348,4,0)), 0))</f>
        <v>0</v>
      </c>
      <c r="H25" s="81">
        <f t="shared" si="0"/>
        <v>0</v>
      </c>
      <c r="I25" s="81">
        <f t="shared" ref="I25:J25" si="36">H25+AB25</f>
        <v>0</v>
      </c>
      <c r="J25" s="81">
        <f t="shared" si="36"/>
        <v>0</v>
      </c>
      <c r="K25" s="82">
        <v>0</v>
      </c>
      <c r="L25" s="83">
        <v>0</v>
      </c>
      <c r="M25" s="69">
        <f t="shared" si="2"/>
        <v>0</v>
      </c>
      <c r="N25" s="69">
        <f t="shared" si="3"/>
        <v>0</v>
      </c>
      <c r="O25" s="84">
        <f t="shared" si="4"/>
        <v>0</v>
      </c>
      <c r="P25" s="71">
        <f t="shared" si="5"/>
        <v>0</v>
      </c>
      <c r="Q25" s="72" t="e">
        <f t="shared" si="6"/>
        <v>#N/A</v>
      </c>
      <c r="R25" s="72" t="e">
        <f t="shared" si="7"/>
        <v>#N/A</v>
      </c>
      <c r="S25" s="80">
        <f t="shared" si="8"/>
        <v>0</v>
      </c>
      <c r="T25" s="80">
        <f t="shared" si="9"/>
        <v>0</v>
      </c>
      <c r="U25" s="80">
        <f t="shared" si="10"/>
        <v>0</v>
      </c>
      <c r="V25" s="80">
        <f t="shared" si="11"/>
        <v>0</v>
      </c>
      <c r="W25" s="80">
        <f t="shared" si="12"/>
        <v>0</v>
      </c>
      <c r="X25" s="80">
        <f t="shared" si="13"/>
        <v>0</v>
      </c>
      <c r="Y25" s="80">
        <f t="shared" si="14"/>
        <v>0</v>
      </c>
      <c r="Z25" s="80">
        <f t="shared" si="15"/>
        <v>0</v>
      </c>
      <c r="AA25" s="80">
        <f t="shared" si="16"/>
        <v>0</v>
      </c>
      <c r="AB25" s="80">
        <f t="shared" si="17"/>
        <v>0</v>
      </c>
      <c r="AC25" s="85">
        <f t="shared" si="18"/>
        <v>0</v>
      </c>
      <c r="AD25" s="70" t="e">
        <f t="shared" si="19"/>
        <v>#N/A</v>
      </c>
      <c r="AE25" s="74" t="e">
        <f t="shared" si="21"/>
        <v>#N/A</v>
      </c>
    </row>
    <row r="26" spans="2:31" ht="14.25" customHeight="1" x14ac:dyDescent="0.25">
      <c r="B26" s="75"/>
      <c r="C26" s="76" t="s">
        <v>73</v>
      </c>
      <c r="D26" s="77"/>
      <c r="E26" s="78"/>
      <c r="F26" s="79">
        <v>0</v>
      </c>
      <c r="G26" s="80">
        <f>IF(F26&gt;0,F26,
IF(B26&lt;&gt;"",
IF(C26="CLT",VLOOKUP(B26,'Lista Profissionais'!$C$11:$H$348,3,0),
VLOOKUP(B26,'Lista Profissionais'!$C$11:$H$348,4,0)), 0))</f>
        <v>0</v>
      </c>
      <c r="H26" s="81">
        <f t="shared" si="0"/>
        <v>0</v>
      </c>
      <c r="I26" s="81">
        <f t="shared" ref="I26:J26" si="37">H26+AB26</f>
        <v>0</v>
      </c>
      <c r="J26" s="81">
        <f t="shared" si="37"/>
        <v>0</v>
      </c>
      <c r="K26" s="82">
        <v>0</v>
      </c>
      <c r="L26" s="83">
        <v>0</v>
      </c>
      <c r="M26" s="69">
        <f t="shared" si="2"/>
        <v>0</v>
      </c>
      <c r="N26" s="69">
        <f t="shared" si="3"/>
        <v>0</v>
      </c>
      <c r="O26" s="84">
        <f t="shared" si="4"/>
        <v>0</v>
      </c>
      <c r="P26" s="71">
        <f t="shared" si="5"/>
        <v>0</v>
      </c>
      <c r="Q26" s="72" t="e">
        <f t="shared" si="6"/>
        <v>#N/A</v>
      </c>
      <c r="R26" s="72" t="e">
        <f t="shared" si="7"/>
        <v>#N/A</v>
      </c>
      <c r="S26" s="80">
        <f t="shared" si="8"/>
        <v>0</v>
      </c>
      <c r="T26" s="80">
        <f t="shared" si="9"/>
        <v>0</v>
      </c>
      <c r="U26" s="80">
        <f t="shared" si="10"/>
        <v>0</v>
      </c>
      <c r="V26" s="80">
        <f t="shared" si="11"/>
        <v>0</v>
      </c>
      <c r="W26" s="80">
        <f t="shared" si="12"/>
        <v>0</v>
      </c>
      <c r="X26" s="80">
        <f t="shared" si="13"/>
        <v>0</v>
      </c>
      <c r="Y26" s="80">
        <f t="shared" si="14"/>
        <v>0</v>
      </c>
      <c r="Z26" s="80">
        <f t="shared" si="15"/>
        <v>0</v>
      </c>
      <c r="AA26" s="80">
        <f t="shared" si="16"/>
        <v>0</v>
      </c>
      <c r="AB26" s="80">
        <f t="shared" si="17"/>
        <v>0</v>
      </c>
      <c r="AC26" s="85">
        <f t="shared" si="18"/>
        <v>0</v>
      </c>
      <c r="AD26" s="70" t="e">
        <f t="shared" si="19"/>
        <v>#N/A</v>
      </c>
      <c r="AE26" s="74" t="e">
        <f t="shared" si="21"/>
        <v>#N/A</v>
      </c>
    </row>
    <row r="27" spans="2:31" ht="14.25" customHeight="1" x14ac:dyDescent="0.25">
      <c r="B27" s="75"/>
      <c r="C27" s="76" t="s">
        <v>73</v>
      </c>
      <c r="D27" s="77"/>
      <c r="E27" s="78"/>
      <c r="F27" s="79">
        <v>0</v>
      </c>
      <c r="G27" s="80">
        <f>IF(F27&gt;0,F27,
IF(B27&lt;&gt;"",
IF(C27="CLT",VLOOKUP(B27,'Lista Profissionais'!$C$11:$H$348,3,0),
VLOOKUP(B27,'Lista Profissionais'!$C$11:$H$348,4,0)), 0))</f>
        <v>0</v>
      </c>
      <c r="H27" s="81">
        <f t="shared" si="0"/>
        <v>0</v>
      </c>
      <c r="I27" s="81">
        <f t="shared" ref="I27:J27" si="38">H27+AB27</f>
        <v>0</v>
      </c>
      <c r="J27" s="81">
        <f t="shared" si="38"/>
        <v>0</v>
      </c>
      <c r="K27" s="82">
        <v>0</v>
      </c>
      <c r="L27" s="83">
        <v>0</v>
      </c>
      <c r="M27" s="69">
        <f t="shared" si="2"/>
        <v>0</v>
      </c>
      <c r="N27" s="69">
        <f t="shared" si="3"/>
        <v>0</v>
      </c>
      <c r="O27" s="84">
        <f t="shared" si="4"/>
        <v>0</v>
      </c>
      <c r="P27" s="71">
        <f t="shared" si="5"/>
        <v>0</v>
      </c>
      <c r="Q27" s="72" t="e">
        <f t="shared" si="6"/>
        <v>#N/A</v>
      </c>
      <c r="R27" s="72" t="e">
        <f t="shared" si="7"/>
        <v>#N/A</v>
      </c>
      <c r="S27" s="80">
        <f t="shared" si="8"/>
        <v>0</v>
      </c>
      <c r="T27" s="80">
        <f t="shared" si="9"/>
        <v>0</v>
      </c>
      <c r="U27" s="80">
        <f t="shared" si="10"/>
        <v>0</v>
      </c>
      <c r="V27" s="80">
        <f t="shared" si="11"/>
        <v>0</v>
      </c>
      <c r="W27" s="80">
        <f t="shared" si="12"/>
        <v>0</v>
      </c>
      <c r="X27" s="80">
        <f t="shared" si="13"/>
        <v>0</v>
      </c>
      <c r="Y27" s="80">
        <f t="shared" si="14"/>
        <v>0</v>
      </c>
      <c r="Z27" s="80">
        <f t="shared" si="15"/>
        <v>0</v>
      </c>
      <c r="AA27" s="80">
        <f t="shared" si="16"/>
        <v>0</v>
      </c>
      <c r="AB27" s="80">
        <f t="shared" si="17"/>
        <v>0</v>
      </c>
      <c r="AC27" s="85">
        <f t="shared" si="18"/>
        <v>0</v>
      </c>
      <c r="AD27" s="70" t="e">
        <f t="shared" si="19"/>
        <v>#N/A</v>
      </c>
      <c r="AE27" s="74" t="e">
        <f t="shared" si="21"/>
        <v>#N/A</v>
      </c>
    </row>
    <row r="28" spans="2:31" ht="14.25" customHeight="1" x14ac:dyDescent="0.25">
      <c r="B28" s="75"/>
      <c r="C28" s="76" t="s">
        <v>73</v>
      </c>
      <c r="D28" s="77"/>
      <c r="E28" s="78"/>
      <c r="F28" s="79">
        <v>0</v>
      </c>
      <c r="G28" s="80">
        <f>IF(F28&gt;0,F28,
IF(B28&lt;&gt;"",
IF(C28="CLT",VLOOKUP(B28,'Lista Profissionais'!$C$11:$H$348,3,0),
VLOOKUP(B28,'Lista Profissionais'!$C$11:$H$348,4,0)), 0))</f>
        <v>0</v>
      </c>
      <c r="H28" s="81">
        <f t="shared" si="0"/>
        <v>0</v>
      </c>
      <c r="I28" s="81">
        <f t="shared" ref="I28:J28" si="39">H28+AB28</f>
        <v>0</v>
      </c>
      <c r="J28" s="81">
        <f t="shared" si="39"/>
        <v>0</v>
      </c>
      <c r="K28" s="82">
        <v>0</v>
      </c>
      <c r="L28" s="83">
        <v>0</v>
      </c>
      <c r="M28" s="69">
        <f t="shared" si="2"/>
        <v>0</v>
      </c>
      <c r="N28" s="69">
        <f t="shared" si="3"/>
        <v>0</v>
      </c>
      <c r="O28" s="84">
        <f t="shared" si="4"/>
        <v>0</v>
      </c>
      <c r="P28" s="71">
        <f t="shared" si="5"/>
        <v>0</v>
      </c>
      <c r="Q28" s="72" t="e">
        <f t="shared" si="6"/>
        <v>#N/A</v>
      </c>
      <c r="R28" s="72" t="e">
        <f t="shared" si="7"/>
        <v>#N/A</v>
      </c>
      <c r="S28" s="80">
        <f t="shared" si="8"/>
        <v>0</v>
      </c>
      <c r="T28" s="80">
        <f t="shared" si="9"/>
        <v>0</v>
      </c>
      <c r="U28" s="80">
        <f t="shared" si="10"/>
        <v>0</v>
      </c>
      <c r="V28" s="80">
        <f t="shared" si="11"/>
        <v>0</v>
      </c>
      <c r="W28" s="80">
        <f t="shared" si="12"/>
        <v>0</v>
      </c>
      <c r="X28" s="80">
        <f t="shared" si="13"/>
        <v>0</v>
      </c>
      <c r="Y28" s="80">
        <f t="shared" si="14"/>
        <v>0</v>
      </c>
      <c r="Z28" s="80">
        <f t="shared" si="15"/>
        <v>0</v>
      </c>
      <c r="AA28" s="80">
        <f t="shared" si="16"/>
        <v>0</v>
      </c>
      <c r="AB28" s="80">
        <f t="shared" si="17"/>
        <v>0</v>
      </c>
      <c r="AC28" s="85">
        <f t="shared" si="18"/>
        <v>0</v>
      </c>
      <c r="AD28" s="70" t="e">
        <f t="shared" si="19"/>
        <v>#N/A</v>
      </c>
      <c r="AE28" s="74" t="e">
        <f t="shared" si="21"/>
        <v>#N/A</v>
      </c>
    </row>
    <row r="29" spans="2:31" ht="14.25" customHeight="1" x14ac:dyDescent="0.25">
      <c r="B29" s="75"/>
      <c r="C29" s="76" t="s">
        <v>73</v>
      </c>
      <c r="D29" s="77"/>
      <c r="E29" s="78"/>
      <c r="F29" s="79">
        <v>0</v>
      </c>
      <c r="G29" s="80">
        <f>IF(F29&gt;0,F29,
IF(B29&lt;&gt;"",
IF(C29="CLT",VLOOKUP(B29,'Lista Profissionais'!$C$11:$H$348,3,0),
VLOOKUP(B29,'Lista Profissionais'!$C$11:$H$348,4,0)), 0))</f>
        <v>0</v>
      </c>
      <c r="H29" s="81">
        <f t="shared" si="0"/>
        <v>0</v>
      </c>
      <c r="I29" s="81">
        <f t="shared" ref="I29:J29" si="40">H29+AB29</f>
        <v>0</v>
      </c>
      <c r="J29" s="81">
        <f t="shared" si="40"/>
        <v>0</v>
      </c>
      <c r="K29" s="82">
        <v>0</v>
      </c>
      <c r="L29" s="83">
        <v>0</v>
      </c>
      <c r="M29" s="69">
        <f t="shared" si="2"/>
        <v>0</v>
      </c>
      <c r="N29" s="69">
        <f t="shared" si="3"/>
        <v>0</v>
      </c>
      <c r="O29" s="84">
        <f t="shared" si="4"/>
        <v>0</v>
      </c>
      <c r="P29" s="71">
        <f t="shared" si="5"/>
        <v>0</v>
      </c>
      <c r="Q29" s="72" t="e">
        <f t="shared" si="6"/>
        <v>#N/A</v>
      </c>
      <c r="R29" s="72" t="e">
        <f t="shared" si="7"/>
        <v>#N/A</v>
      </c>
      <c r="S29" s="80">
        <f t="shared" si="8"/>
        <v>0</v>
      </c>
      <c r="T29" s="80">
        <f t="shared" si="9"/>
        <v>0</v>
      </c>
      <c r="U29" s="80">
        <f t="shared" si="10"/>
        <v>0</v>
      </c>
      <c r="V29" s="80">
        <f t="shared" si="11"/>
        <v>0</v>
      </c>
      <c r="W29" s="80">
        <f t="shared" si="12"/>
        <v>0</v>
      </c>
      <c r="X29" s="80">
        <f t="shared" si="13"/>
        <v>0</v>
      </c>
      <c r="Y29" s="80">
        <f t="shared" si="14"/>
        <v>0</v>
      </c>
      <c r="Z29" s="80">
        <f t="shared" si="15"/>
        <v>0</v>
      </c>
      <c r="AA29" s="80">
        <f t="shared" si="16"/>
        <v>0</v>
      </c>
      <c r="AB29" s="80">
        <f t="shared" si="17"/>
        <v>0</v>
      </c>
      <c r="AC29" s="85">
        <f t="shared" si="18"/>
        <v>0</v>
      </c>
      <c r="AD29" s="70" t="e">
        <f t="shared" si="19"/>
        <v>#N/A</v>
      </c>
      <c r="AE29" s="74" t="e">
        <f t="shared" si="21"/>
        <v>#N/A</v>
      </c>
    </row>
    <row r="30" spans="2:31" ht="14.25" customHeight="1" x14ac:dyDescent="0.25">
      <c r="B30" s="75"/>
      <c r="C30" s="76" t="s">
        <v>73</v>
      </c>
      <c r="D30" s="77"/>
      <c r="E30" s="78"/>
      <c r="F30" s="79">
        <v>0</v>
      </c>
      <c r="G30" s="80">
        <f>IF(F30&gt;0,F30,
IF(B30&lt;&gt;"",
IF(C30="CLT",VLOOKUP(B30,'Lista Profissionais'!$C$11:$H$348,3,0),
VLOOKUP(B30,'Lista Profissionais'!$C$11:$H$348,4,0)), 0))</f>
        <v>0</v>
      </c>
      <c r="H30" s="81">
        <f t="shared" si="0"/>
        <v>0</v>
      </c>
      <c r="I30" s="81">
        <f t="shared" ref="I30:J30" si="41">H30+AB30</f>
        <v>0</v>
      </c>
      <c r="J30" s="81">
        <f t="shared" si="41"/>
        <v>0</v>
      </c>
      <c r="K30" s="82">
        <v>0</v>
      </c>
      <c r="L30" s="83">
        <v>0</v>
      </c>
      <c r="M30" s="69">
        <f t="shared" si="2"/>
        <v>0</v>
      </c>
      <c r="N30" s="69">
        <f t="shared" si="3"/>
        <v>0</v>
      </c>
      <c r="O30" s="84">
        <f t="shared" si="4"/>
        <v>0</v>
      </c>
      <c r="P30" s="71">
        <f t="shared" si="5"/>
        <v>0</v>
      </c>
      <c r="Q30" s="72" t="e">
        <f t="shared" si="6"/>
        <v>#N/A</v>
      </c>
      <c r="R30" s="72" t="e">
        <f t="shared" si="7"/>
        <v>#N/A</v>
      </c>
      <c r="S30" s="80">
        <f t="shared" si="8"/>
        <v>0</v>
      </c>
      <c r="T30" s="80">
        <f t="shared" si="9"/>
        <v>0</v>
      </c>
      <c r="U30" s="80">
        <f t="shared" si="10"/>
        <v>0</v>
      </c>
      <c r="V30" s="80">
        <f t="shared" si="11"/>
        <v>0</v>
      </c>
      <c r="W30" s="80">
        <f t="shared" si="12"/>
        <v>0</v>
      </c>
      <c r="X30" s="80">
        <f t="shared" si="13"/>
        <v>0</v>
      </c>
      <c r="Y30" s="80">
        <f t="shared" si="14"/>
        <v>0</v>
      </c>
      <c r="Z30" s="80">
        <f t="shared" si="15"/>
        <v>0</v>
      </c>
      <c r="AA30" s="80">
        <f t="shared" si="16"/>
        <v>0</v>
      </c>
      <c r="AB30" s="80">
        <f t="shared" si="17"/>
        <v>0</v>
      </c>
      <c r="AC30" s="85">
        <f t="shared" si="18"/>
        <v>0</v>
      </c>
      <c r="AD30" s="70" t="e">
        <f t="shared" si="19"/>
        <v>#N/A</v>
      </c>
      <c r="AE30" s="74" t="e">
        <f t="shared" si="21"/>
        <v>#N/A</v>
      </c>
    </row>
    <row r="31" spans="2:31" ht="14.25" customHeight="1" x14ac:dyDescent="0.25">
      <c r="B31" s="75"/>
      <c r="C31" s="76" t="s">
        <v>73</v>
      </c>
      <c r="D31" s="77"/>
      <c r="E31" s="78"/>
      <c r="F31" s="79">
        <v>0</v>
      </c>
      <c r="G31" s="80">
        <f>IF(F31&gt;0,F31,
IF(B31&lt;&gt;"",
IF(C31="CLT",VLOOKUP(B31,'Lista Profissionais'!$C$11:$H$348,3,0),
VLOOKUP(B31,'Lista Profissionais'!$C$11:$H$348,4,0)), 0))</f>
        <v>0</v>
      </c>
      <c r="H31" s="81">
        <f t="shared" si="0"/>
        <v>0</v>
      </c>
      <c r="I31" s="81">
        <f t="shared" ref="I31:J31" si="42">H31+AB31</f>
        <v>0</v>
      </c>
      <c r="J31" s="81">
        <f t="shared" si="42"/>
        <v>0</v>
      </c>
      <c r="K31" s="82">
        <v>0</v>
      </c>
      <c r="L31" s="83">
        <v>0</v>
      </c>
      <c r="M31" s="69">
        <f t="shared" si="2"/>
        <v>0</v>
      </c>
      <c r="N31" s="69">
        <f t="shared" si="3"/>
        <v>0</v>
      </c>
      <c r="O31" s="84">
        <f t="shared" si="4"/>
        <v>0</v>
      </c>
      <c r="P31" s="71">
        <f t="shared" si="5"/>
        <v>0</v>
      </c>
      <c r="Q31" s="72" t="e">
        <f t="shared" si="6"/>
        <v>#N/A</v>
      </c>
      <c r="R31" s="72" t="e">
        <f t="shared" si="7"/>
        <v>#N/A</v>
      </c>
      <c r="S31" s="80">
        <f t="shared" si="8"/>
        <v>0</v>
      </c>
      <c r="T31" s="80">
        <f t="shared" si="9"/>
        <v>0</v>
      </c>
      <c r="U31" s="80">
        <f t="shared" si="10"/>
        <v>0</v>
      </c>
      <c r="V31" s="80">
        <f t="shared" si="11"/>
        <v>0</v>
      </c>
      <c r="W31" s="80">
        <f t="shared" si="12"/>
        <v>0</v>
      </c>
      <c r="X31" s="80">
        <f t="shared" si="13"/>
        <v>0</v>
      </c>
      <c r="Y31" s="80">
        <f t="shared" si="14"/>
        <v>0</v>
      </c>
      <c r="Z31" s="80">
        <f t="shared" si="15"/>
        <v>0</v>
      </c>
      <c r="AA31" s="80">
        <f t="shared" si="16"/>
        <v>0</v>
      </c>
      <c r="AB31" s="80">
        <f t="shared" si="17"/>
        <v>0</v>
      </c>
      <c r="AC31" s="85">
        <f t="shared" si="18"/>
        <v>0</v>
      </c>
      <c r="AD31" s="70" t="e">
        <f t="shared" si="19"/>
        <v>#N/A</v>
      </c>
      <c r="AE31" s="74" t="e">
        <f t="shared" si="21"/>
        <v>#N/A</v>
      </c>
    </row>
    <row r="32" spans="2:31" ht="14.25" customHeight="1" x14ac:dyDescent="0.25">
      <c r="B32" s="75"/>
      <c r="C32" s="76" t="s">
        <v>73</v>
      </c>
      <c r="D32" s="77"/>
      <c r="E32" s="78"/>
      <c r="F32" s="79">
        <v>0</v>
      </c>
      <c r="G32" s="80">
        <f>IF(F32&gt;0,F32,
IF(B32&lt;&gt;"",
IF(C32="CLT",VLOOKUP(B32,'Lista Profissionais'!$C$11:$H$348,3,0),
VLOOKUP(B32,'Lista Profissionais'!$C$11:$H$348,4,0)), 0))</f>
        <v>0</v>
      </c>
      <c r="H32" s="81">
        <f t="shared" si="0"/>
        <v>0</v>
      </c>
      <c r="I32" s="81">
        <f t="shared" ref="I32:J32" si="43">H32+AB32</f>
        <v>0</v>
      </c>
      <c r="J32" s="81">
        <f t="shared" si="43"/>
        <v>0</v>
      </c>
      <c r="K32" s="82">
        <v>0</v>
      </c>
      <c r="L32" s="83">
        <v>0</v>
      </c>
      <c r="M32" s="69">
        <f t="shared" si="2"/>
        <v>0</v>
      </c>
      <c r="N32" s="69">
        <f t="shared" si="3"/>
        <v>0</v>
      </c>
      <c r="O32" s="84">
        <f t="shared" si="4"/>
        <v>0</v>
      </c>
      <c r="P32" s="71">
        <f t="shared" si="5"/>
        <v>0</v>
      </c>
      <c r="Q32" s="72" t="e">
        <f t="shared" si="6"/>
        <v>#N/A</v>
      </c>
      <c r="R32" s="72" t="e">
        <f t="shared" si="7"/>
        <v>#N/A</v>
      </c>
      <c r="S32" s="80">
        <f t="shared" si="8"/>
        <v>0</v>
      </c>
      <c r="T32" s="80">
        <f t="shared" si="9"/>
        <v>0</v>
      </c>
      <c r="U32" s="80">
        <f t="shared" si="10"/>
        <v>0</v>
      </c>
      <c r="V32" s="80">
        <f t="shared" si="11"/>
        <v>0</v>
      </c>
      <c r="W32" s="80">
        <f t="shared" si="12"/>
        <v>0</v>
      </c>
      <c r="X32" s="80">
        <f t="shared" si="13"/>
        <v>0</v>
      </c>
      <c r="Y32" s="80">
        <f t="shared" si="14"/>
        <v>0</v>
      </c>
      <c r="Z32" s="80">
        <f t="shared" si="15"/>
        <v>0</v>
      </c>
      <c r="AA32" s="80">
        <f t="shared" si="16"/>
        <v>0</v>
      </c>
      <c r="AB32" s="80">
        <f t="shared" si="17"/>
        <v>0</v>
      </c>
      <c r="AC32" s="85">
        <f t="shared" si="18"/>
        <v>0</v>
      </c>
      <c r="AD32" s="70" t="e">
        <f t="shared" si="19"/>
        <v>#N/A</v>
      </c>
      <c r="AE32" s="74" t="e">
        <f t="shared" si="21"/>
        <v>#N/A</v>
      </c>
    </row>
    <row r="33" spans="2:31" ht="14.25" customHeight="1" x14ac:dyDescent="0.25">
      <c r="B33" s="75"/>
      <c r="C33" s="76" t="s">
        <v>73</v>
      </c>
      <c r="D33" s="77"/>
      <c r="E33" s="78"/>
      <c r="F33" s="86">
        <v>0</v>
      </c>
      <c r="G33" s="80">
        <f>IF(F33&gt;0,F33,
IF(B33&lt;&gt;"",
IF(C33="CLT",VLOOKUP(B33,'Lista Profissionais'!$C$11:$H$348,3,0),
VLOOKUP(B33,'Lista Profissionais'!$C$11:$H$348,4,0)), 0))</f>
        <v>0</v>
      </c>
      <c r="H33" s="87">
        <f t="shared" si="0"/>
        <v>0</v>
      </c>
      <c r="I33" s="81">
        <f t="shared" ref="I33:J33" si="44">H33+AB33</f>
        <v>0</v>
      </c>
      <c r="J33" s="81">
        <f t="shared" si="44"/>
        <v>0</v>
      </c>
      <c r="K33" s="82">
        <v>0</v>
      </c>
      <c r="L33" s="83">
        <v>0</v>
      </c>
      <c r="M33" s="69">
        <f t="shared" si="2"/>
        <v>0</v>
      </c>
      <c r="N33" s="69">
        <f t="shared" si="3"/>
        <v>0</v>
      </c>
      <c r="O33" s="84">
        <f t="shared" si="4"/>
        <v>0</v>
      </c>
      <c r="P33" s="71">
        <f t="shared" si="5"/>
        <v>0</v>
      </c>
      <c r="Q33" s="72" t="e">
        <f t="shared" si="6"/>
        <v>#N/A</v>
      </c>
      <c r="R33" s="72" t="e">
        <f t="shared" si="7"/>
        <v>#N/A</v>
      </c>
      <c r="S33" s="80">
        <f t="shared" si="8"/>
        <v>0</v>
      </c>
      <c r="T33" s="80">
        <f t="shared" si="9"/>
        <v>0</v>
      </c>
      <c r="U33" s="80">
        <f t="shared" si="10"/>
        <v>0</v>
      </c>
      <c r="V33" s="80">
        <f t="shared" si="11"/>
        <v>0</v>
      </c>
      <c r="W33" s="80">
        <f t="shared" si="12"/>
        <v>0</v>
      </c>
      <c r="X33" s="80">
        <f t="shared" si="13"/>
        <v>0</v>
      </c>
      <c r="Y33" s="80">
        <f t="shared" si="14"/>
        <v>0</v>
      </c>
      <c r="Z33" s="80">
        <f t="shared" si="15"/>
        <v>0</v>
      </c>
      <c r="AA33" s="80">
        <f t="shared" si="16"/>
        <v>0</v>
      </c>
      <c r="AB33" s="80">
        <f t="shared" si="17"/>
        <v>0</v>
      </c>
      <c r="AC33" s="85">
        <f t="shared" si="18"/>
        <v>0</v>
      </c>
      <c r="AD33" s="70" t="e">
        <f t="shared" si="19"/>
        <v>#N/A</v>
      </c>
      <c r="AE33" s="74" t="e">
        <f t="shared" si="21"/>
        <v>#N/A</v>
      </c>
    </row>
    <row r="34" spans="2:31" ht="14.25" customHeight="1" x14ac:dyDescent="0.25">
      <c r="B34" s="88"/>
      <c r="C34" s="12"/>
      <c r="D34" s="13"/>
      <c r="E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2:31" ht="14.25" customHeight="1" x14ac:dyDescent="0.25">
      <c r="B35" s="88"/>
      <c r="C35" s="12"/>
      <c r="D35" s="13"/>
      <c r="E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2:31" ht="14.25" customHeight="1" x14ac:dyDescent="0.25">
      <c r="B36" s="88"/>
      <c r="C36" s="12"/>
      <c r="D36" s="13"/>
      <c r="E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2:31" ht="14.25" customHeight="1" x14ac:dyDescent="0.25">
      <c r="B37" s="88"/>
      <c r="C37" s="12"/>
      <c r="D37" s="13"/>
      <c r="E37" s="13"/>
      <c r="G37" s="14"/>
      <c r="H37" s="14"/>
      <c r="I37" s="14"/>
      <c r="J37" s="14"/>
      <c r="K37" s="14"/>
      <c r="L37" s="14"/>
      <c r="M37" s="14"/>
      <c r="N37" s="14"/>
      <c r="O37" s="14" t="s">
        <v>80</v>
      </c>
      <c r="P37" s="14" t="s">
        <v>81</v>
      </c>
      <c r="Q37" s="14" t="s">
        <v>82</v>
      </c>
      <c r="R37" s="14"/>
      <c r="S37" s="14" t="s">
        <v>83</v>
      </c>
      <c r="T37" s="14" t="s">
        <v>84</v>
      </c>
      <c r="U37" s="14"/>
      <c r="V37" s="14"/>
      <c r="W37" s="14"/>
      <c r="X37" s="14"/>
      <c r="Y37" s="14"/>
      <c r="Z37" s="14"/>
      <c r="AA37" s="14"/>
      <c r="AB37" s="14"/>
      <c r="AC37" s="14"/>
    </row>
    <row r="38" spans="2:31" ht="14.25" customHeight="1" x14ac:dyDescent="0.25">
      <c r="B38" s="88"/>
      <c r="C38" s="12"/>
      <c r="D38" s="13"/>
      <c r="E38" s="13"/>
      <c r="G38" s="14"/>
      <c r="H38" s="14"/>
      <c r="I38" s="14"/>
      <c r="J38" s="14"/>
      <c r="K38" s="14"/>
      <c r="L38" s="14"/>
      <c r="M38" s="14"/>
      <c r="N38" s="89"/>
      <c r="O38" s="14" t="s">
        <v>85</v>
      </c>
      <c r="P38" s="14" t="s">
        <v>86</v>
      </c>
      <c r="Q38" s="14" t="s">
        <v>87</v>
      </c>
      <c r="R38" s="14"/>
      <c r="S38" s="14" t="s">
        <v>88</v>
      </c>
      <c r="T38" s="14" t="s">
        <v>89</v>
      </c>
      <c r="U38" s="14" t="s">
        <v>90</v>
      </c>
      <c r="V38" s="14" t="s">
        <v>91</v>
      </c>
      <c r="W38" s="14"/>
      <c r="X38" s="14"/>
      <c r="Y38" s="14"/>
      <c r="Z38" s="14"/>
      <c r="AA38" s="14"/>
      <c r="AB38" s="14"/>
      <c r="AC38" s="14"/>
    </row>
    <row r="39" spans="2:31" ht="14.25" customHeight="1" x14ac:dyDescent="0.25">
      <c r="B39" s="88"/>
      <c r="C39" s="12"/>
      <c r="D39" s="13"/>
      <c r="E39" s="13"/>
      <c r="G39" s="14"/>
      <c r="H39" s="14"/>
      <c r="I39" s="14"/>
      <c r="J39" s="14"/>
      <c r="K39" s="14"/>
      <c r="L39" s="14"/>
      <c r="M39" s="14"/>
      <c r="N39" s="89"/>
      <c r="O39" s="90">
        <f t="shared" ref="O39:O44" si="45">Q9</f>
        <v>0</v>
      </c>
      <c r="P39" s="91">
        <f t="shared" ref="P39:P44" si="46">P9</f>
        <v>0</v>
      </c>
      <c r="Q39" s="91" t="e">
        <f t="shared" ref="Q39:Q44" si="47">I9</f>
        <v>#N/A</v>
      </c>
      <c r="R39" s="91"/>
      <c r="S39" s="91" t="e">
        <f t="shared" ref="S39:S44" si="48">M9</f>
        <v>#N/A</v>
      </c>
      <c r="T39" s="91">
        <f t="shared" ref="T39:T44" si="49">AC9</f>
        <v>0</v>
      </c>
      <c r="U39" s="14" t="e">
        <f t="shared" ref="U39:U45" si="50">SUBTOTAL(9,P39:T39)</f>
        <v>#N/A</v>
      </c>
      <c r="V39" s="14" t="e">
        <f t="shared" ref="V39:V45" si="51">O39-U39</f>
        <v>#N/A</v>
      </c>
      <c r="W39" s="14"/>
      <c r="X39" s="14"/>
      <c r="Y39" s="14"/>
      <c r="Z39" s="14"/>
      <c r="AA39" s="14"/>
      <c r="AB39" s="14"/>
      <c r="AC39" s="14"/>
    </row>
    <row r="40" spans="2:31" ht="14.25" customHeight="1" x14ac:dyDescent="0.25">
      <c r="B40" s="88"/>
      <c r="C40" s="12"/>
      <c r="D40" s="13"/>
      <c r="E40" s="13"/>
      <c r="G40" s="14"/>
      <c r="H40" s="14"/>
      <c r="I40" s="14"/>
      <c r="J40" s="14"/>
      <c r="K40" s="14"/>
      <c r="L40" s="14"/>
      <c r="O40" s="90" t="e">
        <f t="shared" si="45"/>
        <v>#N/A</v>
      </c>
      <c r="P40" s="91" t="e">
        <f t="shared" si="46"/>
        <v>#N/A</v>
      </c>
      <c r="Q40" s="91" t="e">
        <f t="shared" si="47"/>
        <v>#N/A</v>
      </c>
      <c r="R40" s="91"/>
      <c r="S40" s="91" t="e">
        <f t="shared" si="48"/>
        <v>#N/A</v>
      </c>
      <c r="T40" s="91" t="e">
        <f t="shared" si="49"/>
        <v>#N/A</v>
      </c>
      <c r="U40" s="14" t="e">
        <f t="shared" si="50"/>
        <v>#N/A</v>
      </c>
      <c r="V40" s="14" t="e">
        <f t="shared" si="51"/>
        <v>#N/A</v>
      </c>
      <c r="W40" s="14"/>
      <c r="X40" s="14"/>
      <c r="Y40" s="14"/>
      <c r="Z40" s="14"/>
      <c r="AA40" s="14"/>
      <c r="AB40" s="14"/>
      <c r="AC40" s="14"/>
    </row>
    <row r="41" spans="2:31" ht="14.25" customHeight="1" x14ac:dyDescent="0.25">
      <c r="B41" s="88"/>
      <c r="C41" s="12"/>
      <c r="D41" s="13"/>
      <c r="E41" s="13"/>
      <c r="G41" s="14"/>
      <c r="H41" s="14"/>
      <c r="I41" s="14"/>
      <c r="J41" s="14"/>
      <c r="K41" s="14"/>
      <c r="L41" s="14"/>
      <c r="O41" s="90" t="e">
        <f t="shared" si="45"/>
        <v>#N/A</v>
      </c>
      <c r="P41" s="91" t="e">
        <f t="shared" si="46"/>
        <v>#N/A</v>
      </c>
      <c r="Q41" s="91" t="e">
        <f t="shared" si="47"/>
        <v>#N/A</v>
      </c>
      <c r="R41" s="91"/>
      <c r="S41" s="91" t="e">
        <f t="shared" si="48"/>
        <v>#N/A</v>
      </c>
      <c r="T41" s="91" t="e">
        <f t="shared" si="49"/>
        <v>#N/A</v>
      </c>
      <c r="U41" s="14" t="e">
        <f t="shared" si="50"/>
        <v>#N/A</v>
      </c>
      <c r="V41" s="14" t="e">
        <f t="shared" si="51"/>
        <v>#N/A</v>
      </c>
      <c r="W41" s="14"/>
      <c r="X41" s="14"/>
      <c r="Y41" s="14"/>
      <c r="Z41" s="14"/>
      <c r="AA41" s="14"/>
      <c r="AB41" s="14"/>
      <c r="AC41" s="14"/>
    </row>
    <row r="42" spans="2:31" ht="14.25" customHeight="1" x14ac:dyDescent="0.25">
      <c r="B42" s="88"/>
      <c r="C42" s="12"/>
      <c r="D42" s="13"/>
      <c r="E42" s="13"/>
      <c r="G42" s="14"/>
      <c r="H42" s="14"/>
      <c r="I42" s="14"/>
      <c r="J42" s="14"/>
      <c r="K42" s="14"/>
      <c r="L42" s="14"/>
      <c r="O42" s="90" t="e">
        <f t="shared" si="45"/>
        <v>#N/A</v>
      </c>
      <c r="P42" s="91" t="e">
        <f t="shared" si="46"/>
        <v>#N/A</v>
      </c>
      <c r="Q42" s="91" t="e">
        <f t="shared" si="47"/>
        <v>#N/A</v>
      </c>
      <c r="R42" s="91"/>
      <c r="S42" s="91" t="e">
        <f t="shared" si="48"/>
        <v>#N/A</v>
      </c>
      <c r="T42" s="91" t="e">
        <f t="shared" si="49"/>
        <v>#N/A</v>
      </c>
      <c r="U42" s="14" t="e">
        <f t="shared" si="50"/>
        <v>#N/A</v>
      </c>
      <c r="V42" s="14" t="e">
        <f t="shared" si="51"/>
        <v>#N/A</v>
      </c>
      <c r="W42" s="14"/>
      <c r="X42" s="14"/>
      <c r="Y42" s="14"/>
      <c r="Z42" s="14"/>
      <c r="AA42" s="14"/>
      <c r="AB42" s="14"/>
      <c r="AC42" s="14"/>
    </row>
    <row r="43" spans="2:31" ht="14.25" customHeight="1" x14ac:dyDescent="0.25">
      <c r="B43" s="88"/>
      <c r="C43" s="12"/>
      <c r="D43" s="13"/>
      <c r="E43" s="13"/>
      <c r="G43" s="14"/>
      <c r="H43" s="14"/>
      <c r="I43" s="14"/>
      <c r="J43" s="14"/>
      <c r="K43" s="14"/>
      <c r="L43" s="14"/>
      <c r="O43" s="90" t="e">
        <f t="shared" si="45"/>
        <v>#N/A</v>
      </c>
      <c r="P43" s="91" t="e">
        <f t="shared" si="46"/>
        <v>#N/A</v>
      </c>
      <c r="Q43" s="91" t="e">
        <f t="shared" si="47"/>
        <v>#N/A</v>
      </c>
      <c r="R43" s="91"/>
      <c r="S43" s="91" t="e">
        <f t="shared" si="48"/>
        <v>#N/A</v>
      </c>
      <c r="T43" s="91" t="e">
        <f t="shared" si="49"/>
        <v>#N/A</v>
      </c>
      <c r="U43" s="14" t="e">
        <f t="shared" si="50"/>
        <v>#N/A</v>
      </c>
      <c r="V43" s="14" t="e">
        <f t="shared" si="51"/>
        <v>#N/A</v>
      </c>
      <c r="W43" s="14"/>
      <c r="X43" s="14"/>
      <c r="Y43" s="14"/>
      <c r="Z43" s="14"/>
      <c r="AA43" s="14"/>
      <c r="AB43" s="14"/>
      <c r="AC43" s="14"/>
    </row>
    <row r="44" spans="2:31" ht="14.25" customHeight="1" x14ac:dyDescent="0.25">
      <c r="B44" s="88"/>
      <c r="C44" s="12"/>
      <c r="D44" s="13"/>
      <c r="E44" s="13"/>
      <c r="G44" s="14"/>
      <c r="H44" s="14"/>
      <c r="I44" s="14"/>
      <c r="J44" s="14"/>
      <c r="K44" s="14"/>
      <c r="L44" s="14"/>
      <c r="O44" s="90" t="e">
        <f t="shared" si="45"/>
        <v>#N/A</v>
      </c>
      <c r="P44" s="91" t="e">
        <f t="shared" si="46"/>
        <v>#N/A</v>
      </c>
      <c r="Q44" s="91" t="e">
        <f t="shared" si="47"/>
        <v>#N/A</v>
      </c>
      <c r="R44" s="91"/>
      <c r="S44" s="91" t="e">
        <f t="shared" si="48"/>
        <v>#N/A</v>
      </c>
      <c r="T44" s="91" t="e">
        <f t="shared" si="49"/>
        <v>#N/A</v>
      </c>
      <c r="U44" s="14" t="e">
        <f t="shared" si="50"/>
        <v>#N/A</v>
      </c>
      <c r="V44" s="14" t="e">
        <f t="shared" si="51"/>
        <v>#N/A</v>
      </c>
      <c r="W44" s="14"/>
      <c r="X44" s="14"/>
      <c r="Y44" s="14"/>
      <c r="Z44" s="14"/>
      <c r="AA44" s="14"/>
      <c r="AB44" s="14"/>
      <c r="AC44" s="14"/>
    </row>
    <row r="45" spans="2:31" ht="14.25" customHeight="1" x14ac:dyDescent="0.25">
      <c r="B45" s="88"/>
      <c r="C45" s="12"/>
      <c r="D45" s="13"/>
      <c r="E45" s="13"/>
      <c r="G45" s="14"/>
      <c r="H45" s="14"/>
      <c r="I45" s="14"/>
      <c r="J45" s="14"/>
      <c r="K45" s="14"/>
      <c r="L45" s="14"/>
      <c r="M45" s="14"/>
      <c r="N45" s="14"/>
      <c r="O45" s="14" t="e">
        <f t="shared" ref="O45:Q45" si="52">SUM(O39:O44)</f>
        <v>#N/A</v>
      </c>
      <c r="P45" s="14" t="e">
        <f t="shared" si="52"/>
        <v>#N/A</v>
      </c>
      <c r="Q45" s="14" t="e">
        <f t="shared" si="52"/>
        <v>#N/A</v>
      </c>
      <c r="R45" s="14"/>
      <c r="S45" s="14" t="e">
        <f t="shared" ref="S45:T45" si="53">SUM(S39:S44)</f>
        <v>#N/A</v>
      </c>
      <c r="T45" s="14" t="e">
        <f t="shared" si="53"/>
        <v>#N/A</v>
      </c>
      <c r="U45" s="14" t="e">
        <f t="shared" si="50"/>
        <v>#N/A</v>
      </c>
      <c r="V45" s="14" t="e">
        <f t="shared" si="51"/>
        <v>#N/A</v>
      </c>
      <c r="W45" s="14"/>
      <c r="X45" s="14"/>
      <c r="Y45" s="14"/>
      <c r="Z45" s="14"/>
      <c r="AA45" s="14"/>
      <c r="AB45" s="14"/>
      <c r="AC45" s="14"/>
    </row>
    <row r="46" spans="2:31" ht="14.25" customHeight="1" x14ac:dyDescent="0.25">
      <c r="B46" s="88"/>
      <c r="C46" s="12"/>
      <c r="D46" s="13"/>
      <c r="E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2:31" ht="14.25" customHeight="1" x14ac:dyDescent="0.25">
      <c r="B47" s="88"/>
      <c r="C47" s="12"/>
      <c r="D47" s="13"/>
      <c r="E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2:31" ht="14.25" customHeight="1" x14ac:dyDescent="0.25">
      <c r="B48" s="88"/>
      <c r="C48" s="12"/>
      <c r="D48" s="13"/>
      <c r="E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2:29" ht="14.25" customHeight="1" x14ac:dyDescent="0.25">
      <c r="B49" s="88"/>
      <c r="C49" s="12"/>
      <c r="D49" s="13"/>
      <c r="E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2:29" ht="14.25" customHeight="1" x14ac:dyDescent="0.25">
      <c r="B50" s="88"/>
      <c r="C50" s="12"/>
      <c r="D50" s="13"/>
      <c r="E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2:29" ht="14.25" customHeight="1" x14ac:dyDescent="0.25">
      <c r="B51" s="88"/>
      <c r="C51" s="12"/>
      <c r="D51" s="13"/>
      <c r="E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2:29" ht="14.25" customHeight="1" x14ac:dyDescent="0.25">
      <c r="B52" s="88"/>
      <c r="C52" s="12"/>
      <c r="D52" s="13"/>
      <c r="E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2:29" ht="14.25" customHeight="1" x14ac:dyDescent="0.25">
      <c r="B53" s="88"/>
      <c r="C53" s="12"/>
      <c r="D53" s="13"/>
      <c r="E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2:29" ht="14.25" customHeight="1" x14ac:dyDescent="0.25">
      <c r="B54" s="88"/>
      <c r="C54" s="12"/>
      <c r="D54" s="13"/>
      <c r="E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2:29" ht="14.25" customHeight="1" x14ac:dyDescent="0.25">
      <c r="B55" s="88"/>
      <c r="C55" s="12"/>
      <c r="D55" s="13"/>
      <c r="E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2:29" ht="14.25" customHeight="1" x14ac:dyDescent="0.25">
      <c r="B56" s="88"/>
      <c r="C56" s="12"/>
      <c r="D56" s="13"/>
      <c r="E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2:29" ht="14.25" customHeight="1" x14ac:dyDescent="0.25">
      <c r="B57" s="88"/>
      <c r="C57" s="12"/>
      <c r="D57" s="13"/>
      <c r="E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2:29" ht="14.25" customHeight="1" x14ac:dyDescent="0.25">
      <c r="B58" s="88"/>
      <c r="C58" s="12"/>
      <c r="D58" s="13"/>
      <c r="E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2:29" ht="14.25" customHeight="1" x14ac:dyDescent="0.25">
      <c r="B59" s="88"/>
      <c r="C59" s="12"/>
      <c r="D59" s="13"/>
      <c r="E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2:29" ht="14.25" customHeight="1" x14ac:dyDescent="0.25">
      <c r="B60" s="88"/>
      <c r="C60" s="12"/>
      <c r="D60" s="13"/>
      <c r="E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2:29" ht="14.25" customHeight="1" x14ac:dyDescent="0.25">
      <c r="B61" s="88"/>
      <c r="C61" s="12"/>
      <c r="D61" s="13"/>
      <c r="E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2:29" ht="14.25" customHeight="1" x14ac:dyDescent="0.25">
      <c r="B62" s="88"/>
      <c r="C62" s="12"/>
      <c r="D62" s="13"/>
      <c r="E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2:29" ht="14.25" customHeight="1" x14ac:dyDescent="0.25">
      <c r="B63" s="88"/>
      <c r="C63" s="12"/>
      <c r="D63" s="13"/>
      <c r="E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2:29" ht="14.25" customHeight="1" x14ac:dyDescent="0.25">
      <c r="B64" s="88"/>
      <c r="C64" s="12"/>
      <c r="D64" s="13"/>
      <c r="E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2:29" ht="14.25" customHeight="1" x14ac:dyDescent="0.25">
      <c r="B65" s="88"/>
      <c r="C65" s="12"/>
      <c r="D65" s="13"/>
      <c r="E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2:29" ht="14.25" customHeight="1" x14ac:dyDescent="0.25">
      <c r="B66" s="88"/>
      <c r="C66" s="12"/>
      <c r="D66" s="13"/>
      <c r="E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2:29" ht="14.25" customHeight="1" x14ac:dyDescent="0.25">
      <c r="B67" s="88"/>
      <c r="C67" s="12"/>
      <c r="D67" s="13"/>
      <c r="E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2:29" ht="14.25" customHeight="1" x14ac:dyDescent="0.25">
      <c r="B68" s="88"/>
      <c r="C68" s="12"/>
      <c r="D68" s="13"/>
      <c r="E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2:29" ht="14.25" customHeight="1" x14ac:dyDescent="0.25">
      <c r="B69" s="88"/>
      <c r="C69" s="12"/>
      <c r="D69" s="13"/>
      <c r="E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2:29" ht="14.25" customHeight="1" x14ac:dyDescent="0.25">
      <c r="B70" s="88"/>
      <c r="C70" s="12"/>
      <c r="D70" s="13"/>
      <c r="E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2:29" ht="14.25" customHeight="1" x14ac:dyDescent="0.25">
      <c r="B71" s="88"/>
      <c r="C71" s="12"/>
      <c r="D71" s="13"/>
      <c r="E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2:29" ht="14.25" customHeight="1" x14ac:dyDescent="0.25">
      <c r="B72" s="88"/>
      <c r="C72" s="12"/>
      <c r="D72" s="13"/>
      <c r="E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2:29" ht="14.25" customHeight="1" x14ac:dyDescent="0.25">
      <c r="B73" s="88"/>
      <c r="C73" s="12"/>
      <c r="D73" s="13"/>
      <c r="E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2:29" ht="14.25" customHeight="1" x14ac:dyDescent="0.25">
      <c r="B74" s="88"/>
      <c r="C74" s="12"/>
      <c r="D74" s="13"/>
      <c r="E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2:29" ht="14.25" customHeight="1" x14ac:dyDescent="0.25">
      <c r="B75" s="88"/>
      <c r="C75" s="12"/>
      <c r="D75" s="13"/>
      <c r="E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2:29" ht="14.25" customHeight="1" x14ac:dyDescent="0.25">
      <c r="B76" s="88"/>
      <c r="C76" s="12"/>
      <c r="D76" s="13"/>
      <c r="E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2:29" ht="14.25" customHeight="1" x14ac:dyDescent="0.25">
      <c r="B77" s="88"/>
      <c r="C77" s="12"/>
      <c r="D77" s="13"/>
      <c r="E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2:29" ht="14.25" customHeight="1" x14ac:dyDescent="0.25">
      <c r="B78" s="88"/>
      <c r="C78" s="12"/>
      <c r="D78" s="13"/>
      <c r="E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2:29" ht="14.25" customHeight="1" x14ac:dyDescent="0.25">
      <c r="B79" s="88"/>
      <c r="C79" s="12"/>
      <c r="D79" s="13"/>
      <c r="E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2:29" ht="14.25" customHeight="1" x14ac:dyDescent="0.25">
      <c r="B80" s="88"/>
      <c r="C80" s="12"/>
      <c r="D80" s="13"/>
      <c r="E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2:29" ht="14.25" customHeight="1" x14ac:dyDescent="0.25">
      <c r="B81" s="88"/>
      <c r="C81" s="12"/>
      <c r="D81" s="13"/>
      <c r="E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2:29" ht="14.25" customHeight="1" x14ac:dyDescent="0.25">
      <c r="B82" s="88"/>
      <c r="C82" s="12"/>
      <c r="D82" s="13"/>
      <c r="E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2:29" ht="14.25" customHeight="1" x14ac:dyDescent="0.25">
      <c r="B83" s="88"/>
      <c r="C83" s="12"/>
      <c r="D83" s="13"/>
      <c r="E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2:29" ht="14.25" customHeight="1" x14ac:dyDescent="0.25">
      <c r="B84" s="88"/>
      <c r="C84" s="12"/>
      <c r="D84" s="13"/>
      <c r="E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2:29" ht="14.25" customHeight="1" x14ac:dyDescent="0.25">
      <c r="B85" s="88"/>
      <c r="C85" s="12"/>
      <c r="D85" s="13"/>
      <c r="E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2:29" ht="14.25" customHeight="1" x14ac:dyDescent="0.25">
      <c r="B86" s="88"/>
      <c r="C86" s="12"/>
      <c r="D86" s="13"/>
      <c r="E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2:29" ht="14.25" customHeight="1" x14ac:dyDescent="0.25">
      <c r="B87" s="88"/>
      <c r="C87" s="12"/>
      <c r="D87" s="13"/>
      <c r="E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2:29" ht="14.25" customHeight="1" x14ac:dyDescent="0.25">
      <c r="B88" s="88"/>
      <c r="C88" s="12"/>
      <c r="D88" s="13"/>
      <c r="E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2:29" ht="14.25" customHeight="1" x14ac:dyDescent="0.25">
      <c r="B89" s="88"/>
      <c r="C89" s="12"/>
      <c r="D89" s="13"/>
      <c r="E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2:29" ht="14.25" customHeight="1" x14ac:dyDescent="0.25">
      <c r="B90" s="88"/>
      <c r="C90" s="12"/>
      <c r="D90" s="13"/>
      <c r="E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2:29" ht="14.25" customHeight="1" x14ac:dyDescent="0.25">
      <c r="B91" s="88"/>
      <c r="C91" s="12"/>
      <c r="D91" s="13"/>
      <c r="E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2:29" ht="14.25" customHeight="1" x14ac:dyDescent="0.25">
      <c r="B92" s="88"/>
      <c r="C92" s="12"/>
      <c r="D92" s="13"/>
      <c r="E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2:29" ht="14.25" customHeight="1" x14ac:dyDescent="0.25">
      <c r="B93" s="88"/>
      <c r="C93" s="12"/>
      <c r="D93" s="13"/>
      <c r="E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2:29" ht="14.25" customHeight="1" x14ac:dyDescent="0.25">
      <c r="B94" s="88"/>
      <c r="C94" s="12"/>
      <c r="D94" s="13"/>
      <c r="E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2:29" ht="14.25" customHeight="1" x14ac:dyDescent="0.25">
      <c r="B95" s="88"/>
      <c r="C95" s="12"/>
      <c r="D95" s="13"/>
      <c r="E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2:29" ht="14.25" customHeight="1" x14ac:dyDescent="0.25">
      <c r="B96" s="88"/>
      <c r="C96" s="12"/>
      <c r="D96" s="13"/>
      <c r="E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2:29" ht="14.25" customHeight="1" x14ac:dyDescent="0.25">
      <c r="B97" s="88"/>
      <c r="C97" s="12"/>
      <c r="D97" s="13"/>
      <c r="E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2:29" ht="14.25" customHeight="1" x14ac:dyDescent="0.25">
      <c r="B98" s="88"/>
      <c r="C98" s="12"/>
      <c r="D98" s="13"/>
      <c r="E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2:29" ht="14.25" customHeight="1" x14ac:dyDescent="0.25">
      <c r="B99" s="88"/>
      <c r="C99" s="12"/>
      <c r="D99" s="13"/>
      <c r="E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2:29" ht="14.25" customHeight="1" x14ac:dyDescent="0.25">
      <c r="B100" s="88"/>
      <c r="C100" s="12"/>
      <c r="D100" s="13"/>
      <c r="E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2:29" ht="14.25" customHeight="1" x14ac:dyDescent="0.25">
      <c r="B101" s="88"/>
      <c r="C101" s="12"/>
      <c r="D101" s="13"/>
      <c r="E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2:29" ht="14.25" customHeight="1" x14ac:dyDescent="0.25">
      <c r="B102" s="88"/>
      <c r="C102" s="12"/>
      <c r="D102" s="13"/>
      <c r="E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2:29" ht="14.25" customHeight="1" x14ac:dyDescent="0.25">
      <c r="B103" s="88"/>
      <c r="C103" s="12"/>
      <c r="D103" s="13"/>
      <c r="E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2:29" ht="14.25" customHeight="1" x14ac:dyDescent="0.25">
      <c r="B104" s="88"/>
      <c r="C104" s="12"/>
      <c r="D104" s="13"/>
      <c r="E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2:29" ht="14.25" customHeight="1" x14ac:dyDescent="0.25">
      <c r="B105" s="88"/>
      <c r="C105" s="12"/>
      <c r="D105" s="13"/>
      <c r="E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2:29" ht="14.25" customHeight="1" x14ac:dyDescent="0.25">
      <c r="B106" s="88"/>
      <c r="C106" s="12"/>
      <c r="D106" s="13"/>
      <c r="E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2:29" ht="14.25" customHeight="1" x14ac:dyDescent="0.25">
      <c r="B107" s="88"/>
      <c r="C107" s="12"/>
      <c r="D107" s="13"/>
      <c r="E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2:29" ht="14.25" customHeight="1" x14ac:dyDescent="0.25">
      <c r="B108" s="88"/>
      <c r="C108" s="12"/>
      <c r="D108" s="13"/>
      <c r="E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2:29" ht="14.25" customHeight="1" x14ac:dyDescent="0.25">
      <c r="B109" s="88"/>
      <c r="C109" s="12"/>
      <c r="D109" s="13"/>
      <c r="E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2:29" ht="14.25" customHeight="1" x14ac:dyDescent="0.25">
      <c r="B110" s="88"/>
      <c r="C110" s="12"/>
      <c r="D110" s="13"/>
      <c r="E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2:29" ht="14.25" customHeight="1" x14ac:dyDescent="0.25">
      <c r="B111" s="88"/>
      <c r="C111" s="12"/>
      <c r="D111" s="13"/>
      <c r="E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2:29" ht="14.25" customHeight="1" x14ac:dyDescent="0.25">
      <c r="B112" s="88"/>
      <c r="C112" s="12"/>
      <c r="D112" s="13"/>
      <c r="E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2:29" ht="14.25" customHeight="1" x14ac:dyDescent="0.25">
      <c r="B113" s="88"/>
      <c r="C113" s="12"/>
      <c r="D113" s="13"/>
      <c r="E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2:29" ht="14.25" customHeight="1" x14ac:dyDescent="0.25">
      <c r="B114" s="88"/>
      <c r="C114" s="12"/>
      <c r="D114" s="13"/>
      <c r="E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2:29" ht="14.25" customHeight="1" x14ac:dyDescent="0.25">
      <c r="B115" s="88"/>
      <c r="C115" s="12"/>
      <c r="D115" s="13"/>
      <c r="E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2:29" ht="14.25" customHeight="1" x14ac:dyDescent="0.25">
      <c r="B116" s="88"/>
      <c r="C116" s="12"/>
      <c r="D116" s="13"/>
      <c r="E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2:29" ht="14.25" customHeight="1" x14ac:dyDescent="0.25">
      <c r="B117" s="88"/>
      <c r="C117" s="12"/>
      <c r="D117" s="13"/>
      <c r="E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2:29" ht="14.25" customHeight="1" x14ac:dyDescent="0.25">
      <c r="B118" s="88"/>
      <c r="C118" s="12"/>
      <c r="D118" s="13"/>
      <c r="E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2:29" ht="14.25" customHeight="1" x14ac:dyDescent="0.25">
      <c r="B119" s="88"/>
      <c r="C119" s="12"/>
      <c r="D119" s="13"/>
      <c r="E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2:29" ht="14.25" customHeight="1" x14ac:dyDescent="0.25">
      <c r="B120" s="88"/>
      <c r="C120" s="12"/>
      <c r="D120" s="13"/>
      <c r="E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2:29" ht="14.25" customHeight="1" x14ac:dyDescent="0.25">
      <c r="B121" s="88"/>
      <c r="C121" s="12"/>
      <c r="D121" s="13"/>
      <c r="E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2:29" ht="14.25" customHeight="1" x14ac:dyDescent="0.25">
      <c r="B122" s="88"/>
      <c r="C122" s="12"/>
      <c r="D122" s="13"/>
      <c r="E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2:29" ht="14.25" customHeight="1" x14ac:dyDescent="0.25">
      <c r="B123" s="88"/>
      <c r="C123" s="12"/>
      <c r="D123" s="13"/>
      <c r="E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2:29" ht="14.25" customHeight="1" x14ac:dyDescent="0.25">
      <c r="B124" s="88"/>
      <c r="C124" s="12"/>
      <c r="D124" s="13"/>
      <c r="E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2:29" ht="14.25" customHeight="1" x14ac:dyDescent="0.25">
      <c r="B125" s="88"/>
      <c r="C125" s="12"/>
      <c r="D125" s="13"/>
      <c r="E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2:29" ht="14.25" customHeight="1" x14ac:dyDescent="0.25">
      <c r="B126" s="88"/>
      <c r="C126" s="12"/>
      <c r="D126" s="13"/>
      <c r="E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2:29" ht="14.25" customHeight="1" x14ac:dyDescent="0.25">
      <c r="B127" s="88"/>
      <c r="C127" s="12"/>
      <c r="D127" s="13"/>
      <c r="E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2:29" ht="14.25" customHeight="1" x14ac:dyDescent="0.25">
      <c r="B128" s="88"/>
      <c r="C128" s="12"/>
      <c r="D128" s="13"/>
      <c r="E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2:29" ht="14.25" customHeight="1" x14ac:dyDescent="0.25">
      <c r="B129" s="88"/>
      <c r="C129" s="12"/>
      <c r="D129" s="13"/>
      <c r="E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2:29" ht="14.25" customHeight="1" x14ac:dyDescent="0.25">
      <c r="B130" s="88"/>
      <c r="C130" s="12"/>
      <c r="D130" s="13"/>
      <c r="E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2:29" ht="14.25" customHeight="1" x14ac:dyDescent="0.25">
      <c r="B131" s="88"/>
      <c r="C131" s="12"/>
      <c r="D131" s="13"/>
      <c r="E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2:29" ht="14.25" customHeight="1" x14ac:dyDescent="0.25">
      <c r="B132" s="88"/>
      <c r="C132" s="12"/>
      <c r="D132" s="13"/>
      <c r="E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2:29" ht="14.25" customHeight="1" x14ac:dyDescent="0.25">
      <c r="B133" s="88"/>
      <c r="C133" s="12"/>
      <c r="D133" s="13"/>
      <c r="E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2:29" ht="14.25" customHeight="1" x14ac:dyDescent="0.25">
      <c r="B134" s="88"/>
      <c r="C134" s="12"/>
      <c r="D134" s="13"/>
      <c r="E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2:29" ht="14.25" customHeight="1" x14ac:dyDescent="0.25">
      <c r="B135" s="88"/>
      <c r="C135" s="12"/>
      <c r="D135" s="13"/>
      <c r="E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2:29" ht="14.25" customHeight="1" x14ac:dyDescent="0.25">
      <c r="B136" s="88"/>
      <c r="C136" s="12"/>
      <c r="D136" s="13"/>
      <c r="E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2:29" ht="14.25" customHeight="1" x14ac:dyDescent="0.25">
      <c r="B137" s="88"/>
      <c r="C137" s="12"/>
      <c r="D137" s="13"/>
      <c r="E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2:29" ht="14.25" customHeight="1" x14ac:dyDescent="0.25">
      <c r="B138" s="88"/>
      <c r="C138" s="12"/>
      <c r="D138" s="13"/>
      <c r="E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2:29" ht="14.25" customHeight="1" x14ac:dyDescent="0.25">
      <c r="B139" s="88"/>
      <c r="C139" s="12"/>
      <c r="D139" s="13"/>
      <c r="E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2:29" ht="14.25" customHeight="1" x14ac:dyDescent="0.25">
      <c r="B140" s="88"/>
      <c r="C140" s="12"/>
      <c r="D140" s="13"/>
      <c r="E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2:29" ht="14.25" customHeight="1" x14ac:dyDescent="0.25">
      <c r="B141" s="88"/>
      <c r="C141" s="12"/>
      <c r="D141" s="13"/>
      <c r="E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2:29" ht="14.25" customHeight="1" x14ac:dyDescent="0.25">
      <c r="B142" s="88"/>
      <c r="C142" s="12"/>
      <c r="D142" s="13"/>
      <c r="E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2:29" ht="14.25" customHeight="1" x14ac:dyDescent="0.25">
      <c r="B143" s="88"/>
      <c r="C143" s="12"/>
      <c r="D143" s="13"/>
      <c r="E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2:29" ht="14.25" customHeight="1" x14ac:dyDescent="0.25">
      <c r="B144" s="88"/>
      <c r="C144" s="12"/>
      <c r="D144" s="13"/>
      <c r="E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2:29" ht="14.25" customHeight="1" x14ac:dyDescent="0.25">
      <c r="B145" s="88"/>
      <c r="C145" s="12"/>
      <c r="D145" s="13"/>
      <c r="E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2:29" ht="14.25" customHeight="1" x14ac:dyDescent="0.25">
      <c r="B146" s="88"/>
      <c r="C146" s="12"/>
      <c r="D146" s="13"/>
      <c r="E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2:29" ht="14.25" customHeight="1" x14ac:dyDescent="0.25">
      <c r="B147" s="88"/>
      <c r="C147" s="12"/>
      <c r="D147" s="13"/>
      <c r="E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2:29" ht="14.25" customHeight="1" x14ac:dyDescent="0.25">
      <c r="B148" s="88"/>
      <c r="C148" s="12"/>
      <c r="D148" s="13"/>
      <c r="E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2:29" ht="14.25" customHeight="1" x14ac:dyDescent="0.25">
      <c r="B149" s="88"/>
      <c r="C149" s="12"/>
      <c r="D149" s="13"/>
      <c r="E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2:29" ht="14.25" customHeight="1" x14ac:dyDescent="0.25">
      <c r="B150" s="88"/>
      <c r="C150" s="12"/>
      <c r="D150" s="13"/>
      <c r="E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2:29" ht="14.25" customHeight="1" x14ac:dyDescent="0.25">
      <c r="B151" s="88"/>
      <c r="C151" s="12"/>
      <c r="D151" s="13"/>
      <c r="E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2:29" ht="14.25" customHeight="1" x14ac:dyDescent="0.25">
      <c r="B152" s="88"/>
      <c r="C152" s="12"/>
      <c r="D152" s="13"/>
      <c r="E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2:29" ht="14.25" customHeight="1" x14ac:dyDescent="0.25">
      <c r="B153" s="88"/>
      <c r="C153" s="12"/>
      <c r="D153" s="13"/>
      <c r="E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2:29" ht="14.25" customHeight="1" x14ac:dyDescent="0.25">
      <c r="B154" s="88"/>
      <c r="C154" s="12"/>
      <c r="D154" s="13"/>
      <c r="E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2:29" ht="14.25" customHeight="1" x14ac:dyDescent="0.25">
      <c r="B155" s="88"/>
      <c r="C155" s="12"/>
      <c r="D155" s="13"/>
      <c r="E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2:29" ht="14.25" customHeight="1" x14ac:dyDescent="0.25">
      <c r="B156" s="88"/>
      <c r="C156" s="12"/>
      <c r="D156" s="13"/>
      <c r="E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2:29" ht="14.25" customHeight="1" x14ac:dyDescent="0.25">
      <c r="B157" s="88"/>
      <c r="C157" s="12"/>
      <c r="D157" s="13"/>
      <c r="E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2:29" ht="14.25" customHeight="1" x14ac:dyDescent="0.25">
      <c r="B158" s="88"/>
      <c r="C158" s="12"/>
      <c r="D158" s="13"/>
      <c r="E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2:29" ht="14.25" customHeight="1" x14ac:dyDescent="0.25">
      <c r="B159" s="88"/>
      <c r="C159" s="12"/>
      <c r="D159" s="13"/>
      <c r="E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2:29" ht="14.25" customHeight="1" x14ac:dyDescent="0.25">
      <c r="B160" s="88"/>
      <c r="C160" s="12"/>
      <c r="D160" s="13"/>
      <c r="E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2:29" ht="14.25" customHeight="1" x14ac:dyDescent="0.25">
      <c r="B161" s="88"/>
      <c r="C161" s="12"/>
      <c r="D161" s="13"/>
      <c r="E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2:29" ht="14.25" customHeight="1" x14ac:dyDescent="0.25">
      <c r="B162" s="88"/>
      <c r="C162" s="12"/>
      <c r="D162" s="13"/>
      <c r="E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2:29" ht="14.25" customHeight="1" x14ac:dyDescent="0.25">
      <c r="B163" s="88"/>
      <c r="C163" s="12"/>
      <c r="D163" s="13"/>
      <c r="E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2:29" ht="14.25" customHeight="1" x14ac:dyDescent="0.25">
      <c r="B164" s="88"/>
      <c r="C164" s="12"/>
      <c r="D164" s="13"/>
      <c r="E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2:29" ht="14.25" customHeight="1" x14ac:dyDescent="0.25">
      <c r="B165" s="88"/>
      <c r="C165" s="12"/>
      <c r="D165" s="13"/>
      <c r="E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2:29" ht="14.25" customHeight="1" x14ac:dyDescent="0.25">
      <c r="B166" s="88"/>
      <c r="C166" s="12"/>
      <c r="D166" s="13"/>
      <c r="E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2:29" ht="14.25" customHeight="1" x14ac:dyDescent="0.25">
      <c r="B167" s="88"/>
      <c r="C167" s="12"/>
      <c r="D167" s="13"/>
      <c r="E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2:29" ht="14.25" customHeight="1" x14ac:dyDescent="0.25">
      <c r="B168" s="88"/>
      <c r="C168" s="12"/>
      <c r="D168" s="13"/>
      <c r="E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2:29" ht="14.25" customHeight="1" x14ac:dyDescent="0.25">
      <c r="B169" s="88"/>
      <c r="C169" s="12"/>
      <c r="D169" s="13"/>
      <c r="E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2:29" ht="14.25" customHeight="1" x14ac:dyDescent="0.25">
      <c r="B170" s="88"/>
      <c r="C170" s="12"/>
      <c r="D170" s="13"/>
      <c r="E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2:29" ht="14.25" customHeight="1" x14ac:dyDescent="0.25">
      <c r="B171" s="88"/>
      <c r="C171" s="12"/>
      <c r="D171" s="13"/>
      <c r="E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2:29" ht="14.25" customHeight="1" x14ac:dyDescent="0.25">
      <c r="B172" s="88"/>
      <c r="C172" s="12"/>
      <c r="D172" s="13"/>
      <c r="E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2:29" ht="14.25" customHeight="1" x14ac:dyDescent="0.25">
      <c r="B173" s="88"/>
      <c r="C173" s="12"/>
      <c r="D173" s="13"/>
      <c r="E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2:29" ht="14.25" customHeight="1" x14ac:dyDescent="0.25">
      <c r="B174" s="88"/>
      <c r="C174" s="12"/>
      <c r="D174" s="13"/>
      <c r="E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2:29" ht="14.25" customHeight="1" x14ac:dyDescent="0.25">
      <c r="B175" s="88"/>
      <c r="C175" s="12"/>
      <c r="D175" s="13"/>
      <c r="E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2:29" ht="14.25" customHeight="1" x14ac:dyDescent="0.25">
      <c r="B176" s="88"/>
      <c r="C176" s="12"/>
      <c r="D176" s="13"/>
      <c r="E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2:29" ht="14.25" customHeight="1" x14ac:dyDescent="0.25">
      <c r="B177" s="88"/>
      <c r="C177" s="12"/>
      <c r="D177" s="13"/>
      <c r="E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2:29" ht="14.25" customHeight="1" x14ac:dyDescent="0.25">
      <c r="B178" s="88"/>
      <c r="C178" s="12"/>
      <c r="D178" s="13"/>
      <c r="E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2:29" ht="14.25" customHeight="1" x14ac:dyDescent="0.25">
      <c r="B179" s="88"/>
      <c r="C179" s="12"/>
      <c r="D179" s="13"/>
      <c r="E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2:29" ht="14.25" customHeight="1" x14ac:dyDescent="0.25">
      <c r="B180" s="88"/>
      <c r="C180" s="12"/>
      <c r="D180" s="13"/>
      <c r="E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2:29" ht="14.25" customHeight="1" x14ac:dyDescent="0.25">
      <c r="B181" s="88"/>
      <c r="C181" s="12"/>
      <c r="D181" s="13"/>
      <c r="E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2:29" ht="14.25" customHeight="1" x14ac:dyDescent="0.25">
      <c r="B182" s="88"/>
      <c r="C182" s="12"/>
      <c r="D182" s="13"/>
      <c r="E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2:29" ht="14.25" customHeight="1" x14ac:dyDescent="0.25">
      <c r="B183" s="88"/>
      <c r="C183" s="12"/>
      <c r="D183" s="13"/>
      <c r="E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2:29" ht="14.25" customHeight="1" x14ac:dyDescent="0.25">
      <c r="B184" s="88"/>
      <c r="C184" s="12"/>
      <c r="D184" s="13"/>
      <c r="E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2:29" ht="14.25" customHeight="1" x14ac:dyDescent="0.25">
      <c r="B185" s="88"/>
      <c r="C185" s="12"/>
      <c r="D185" s="13"/>
      <c r="E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2:29" ht="14.25" customHeight="1" x14ac:dyDescent="0.25">
      <c r="B186" s="88"/>
      <c r="C186" s="12"/>
      <c r="D186" s="13"/>
      <c r="E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2:29" ht="14.25" customHeight="1" x14ac:dyDescent="0.25">
      <c r="B187" s="88"/>
      <c r="C187" s="12"/>
      <c r="D187" s="13"/>
      <c r="E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2:29" ht="14.25" customHeight="1" x14ac:dyDescent="0.25">
      <c r="B188" s="88"/>
      <c r="C188" s="12"/>
      <c r="D188" s="13"/>
      <c r="E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2:29" ht="14.25" customHeight="1" x14ac:dyDescent="0.25">
      <c r="B189" s="88"/>
      <c r="C189" s="12"/>
      <c r="D189" s="13"/>
      <c r="E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2:29" ht="14.25" customHeight="1" x14ac:dyDescent="0.25">
      <c r="B190" s="88"/>
      <c r="C190" s="12"/>
      <c r="D190" s="13"/>
      <c r="E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2:29" ht="14.25" customHeight="1" x14ac:dyDescent="0.25">
      <c r="B191" s="88"/>
      <c r="C191" s="12"/>
      <c r="D191" s="13"/>
      <c r="E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2:29" ht="14.25" customHeight="1" x14ac:dyDescent="0.25">
      <c r="B192" s="88"/>
      <c r="C192" s="12"/>
      <c r="D192" s="13"/>
      <c r="E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2:29" ht="14.25" customHeight="1" x14ac:dyDescent="0.25">
      <c r="B193" s="88"/>
      <c r="C193" s="12"/>
      <c r="D193" s="13"/>
      <c r="E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2:29" ht="14.25" customHeight="1" x14ac:dyDescent="0.25">
      <c r="B194" s="88"/>
      <c r="C194" s="12"/>
      <c r="D194" s="13"/>
      <c r="E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2:29" ht="14.25" customHeight="1" x14ac:dyDescent="0.25">
      <c r="B195" s="88"/>
      <c r="C195" s="12"/>
      <c r="D195" s="13"/>
      <c r="E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2:29" ht="14.25" customHeight="1" x14ac:dyDescent="0.25">
      <c r="B196" s="88"/>
      <c r="C196" s="12"/>
      <c r="D196" s="13"/>
      <c r="E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2:29" ht="14.25" customHeight="1" x14ac:dyDescent="0.25">
      <c r="B197" s="88"/>
      <c r="C197" s="12"/>
      <c r="D197" s="13"/>
      <c r="E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2:29" ht="14.25" customHeight="1" x14ac:dyDescent="0.25">
      <c r="B198" s="88"/>
      <c r="C198" s="12"/>
      <c r="D198" s="13"/>
      <c r="E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2:29" ht="14.25" customHeight="1" x14ac:dyDescent="0.25">
      <c r="B199" s="88"/>
      <c r="C199" s="12"/>
      <c r="D199" s="13"/>
      <c r="E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2:29" ht="14.25" customHeight="1" x14ac:dyDescent="0.25">
      <c r="B200" s="88"/>
      <c r="C200" s="12"/>
      <c r="D200" s="13"/>
      <c r="E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2:29" ht="14.25" customHeight="1" x14ac:dyDescent="0.25">
      <c r="B201" s="88"/>
      <c r="C201" s="12"/>
      <c r="D201" s="13"/>
      <c r="E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2:29" ht="14.25" customHeight="1" x14ac:dyDescent="0.25">
      <c r="B202" s="88"/>
      <c r="C202" s="12"/>
      <c r="D202" s="13"/>
      <c r="E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2:29" ht="14.25" customHeight="1" x14ac:dyDescent="0.25">
      <c r="B203" s="88"/>
      <c r="C203" s="12"/>
      <c r="D203" s="13"/>
      <c r="E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2:29" ht="14.25" customHeight="1" x14ac:dyDescent="0.25">
      <c r="B204" s="88"/>
      <c r="C204" s="12"/>
      <c r="D204" s="13"/>
      <c r="E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2:29" ht="14.25" customHeight="1" x14ac:dyDescent="0.25">
      <c r="B205" s="88"/>
      <c r="C205" s="12"/>
      <c r="D205" s="13"/>
      <c r="E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2:29" ht="14.25" customHeight="1" x14ac:dyDescent="0.25">
      <c r="B206" s="88"/>
      <c r="C206" s="12"/>
      <c r="D206" s="13"/>
      <c r="E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2:29" ht="14.25" customHeight="1" x14ac:dyDescent="0.25">
      <c r="B207" s="88"/>
      <c r="C207" s="12"/>
      <c r="D207" s="13"/>
      <c r="E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2:29" ht="14.25" customHeight="1" x14ac:dyDescent="0.25">
      <c r="B208" s="88"/>
      <c r="C208" s="12"/>
      <c r="D208" s="13"/>
      <c r="E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2:29" ht="14.25" customHeight="1" x14ac:dyDescent="0.25">
      <c r="B209" s="88"/>
      <c r="C209" s="12"/>
      <c r="D209" s="13"/>
      <c r="E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2:29" ht="14.25" customHeight="1" x14ac:dyDescent="0.25">
      <c r="B210" s="88"/>
      <c r="C210" s="12"/>
      <c r="D210" s="13"/>
      <c r="E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2:29" ht="14.25" customHeight="1" x14ac:dyDescent="0.25">
      <c r="B211" s="88"/>
      <c r="C211" s="12"/>
      <c r="D211" s="13"/>
      <c r="E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2:29" ht="14.25" customHeight="1" x14ac:dyDescent="0.25">
      <c r="B212" s="88"/>
      <c r="C212" s="12"/>
      <c r="D212" s="13"/>
      <c r="E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2:29" ht="14.25" customHeight="1" x14ac:dyDescent="0.25">
      <c r="B213" s="88"/>
      <c r="C213" s="12"/>
      <c r="D213" s="13"/>
      <c r="E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2:29" ht="14.25" customHeight="1" x14ac:dyDescent="0.25">
      <c r="B214" s="88"/>
      <c r="C214" s="12"/>
      <c r="D214" s="13"/>
      <c r="E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2:29" ht="14.25" customHeight="1" x14ac:dyDescent="0.25">
      <c r="B215" s="88"/>
      <c r="C215" s="12"/>
      <c r="D215" s="13"/>
      <c r="E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2:29" ht="14.25" customHeight="1" x14ac:dyDescent="0.25">
      <c r="B216" s="31"/>
      <c r="C216" s="12"/>
      <c r="D216" s="13"/>
      <c r="E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2:29" ht="14.25" customHeight="1" x14ac:dyDescent="0.25">
      <c r="B217" s="31"/>
      <c r="C217" s="12"/>
      <c r="D217" s="13"/>
      <c r="E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2:29" ht="14.25" customHeight="1" x14ac:dyDescent="0.25">
      <c r="B218" s="31"/>
      <c r="C218" s="12"/>
      <c r="D218" s="13"/>
      <c r="E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2:29" ht="14.25" customHeight="1" x14ac:dyDescent="0.25">
      <c r="B219" s="31"/>
      <c r="C219" s="12"/>
      <c r="D219" s="13"/>
      <c r="E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2:29" ht="14.25" customHeight="1" x14ac:dyDescent="0.25">
      <c r="B220" s="31"/>
      <c r="C220" s="12"/>
      <c r="D220" s="13"/>
      <c r="E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2:29" ht="14.25" customHeight="1" x14ac:dyDescent="0.25">
      <c r="B221" s="31"/>
      <c r="C221" s="12"/>
      <c r="D221" s="13"/>
      <c r="E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2:29" ht="14.25" customHeight="1" x14ac:dyDescent="0.25">
      <c r="B222" s="31"/>
      <c r="C222" s="12"/>
      <c r="D222" s="13"/>
      <c r="E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2:29" ht="14.25" customHeight="1" x14ac:dyDescent="0.25">
      <c r="B223" s="31"/>
      <c r="C223" s="12"/>
      <c r="D223" s="13"/>
      <c r="E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2:29" ht="14.25" customHeight="1" x14ac:dyDescent="0.25">
      <c r="B224" s="31"/>
      <c r="C224" s="12"/>
      <c r="D224" s="13"/>
      <c r="E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2:29" ht="14.25" customHeight="1" x14ac:dyDescent="0.25">
      <c r="B225" s="31"/>
      <c r="C225" s="12"/>
      <c r="D225" s="13"/>
      <c r="E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2:29" ht="14.25" customHeight="1" x14ac:dyDescent="0.25">
      <c r="B226" s="31"/>
      <c r="C226" s="12"/>
      <c r="D226" s="13"/>
      <c r="E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2:29" ht="14.25" customHeight="1" x14ac:dyDescent="0.25">
      <c r="B227" s="31"/>
      <c r="C227" s="12"/>
      <c r="D227" s="13"/>
      <c r="E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2:29" ht="14.25" customHeight="1" x14ac:dyDescent="0.25">
      <c r="B228" s="31"/>
      <c r="C228" s="12"/>
      <c r="D228" s="13"/>
      <c r="E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2:29" ht="14.25" customHeight="1" x14ac:dyDescent="0.25">
      <c r="B229" s="31"/>
      <c r="C229" s="12"/>
      <c r="D229" s="13"/>
      <c r="E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2:29" ht="14.25" customHeight="1" x14ac:dyDescent="0.25">
      <c r="B230" s="31"/>
      <c r="C230" s="12"/>
      <c r="D230" s="13"/>
      <c r="E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2:29" ht="14.25" customHeight="1" x14ac:dyDescent="0.25">
      <c r="B231" s="31"/>
      <c r="C231" s="12"/>
      <c r="D231" s="13"/>
      <c r="E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2:29" ht="15.75" customHeight="1" x14ac:dyDescent="0.25">
      <c r="B232" s="31"/>
      <c r="C232" s="12"/>
      <c r="D232" s="13"/>
      <c r="E232" s="13"/>
    </row>
    <row r="233" spans="2:29" ht="15.75" customHeight="1" x14ac:dyDescent="0.25">
      <c r="B233" s="31"/>
      <c r="C233" s="12"/>
      <c r="D233" s="13"/>
      <c r="E233" s="13"/>
    </row>
    <row r="234" spans="2:29" ht="15.75" customHeight="1" x14ac:dyDescent="0.25">
      <c r="B234" s="31"/>
      <c r="C234" s="12"/>
      <c r="D234" s="13"/>
      <c r="E234" s="13"/>
    </row>
    <row r="235" spans="2:29" ht="15.75" customHeight="1" x14ac:dyDescent="0.25">
      <c r="B235" s="31"/>
      <c r="C235" s="12"/>
      <c r="D235" s="13"/>
      <c r="E235" s="13"/>
    </row>
    <row r="236" spans="2:29" ht="15.75" customHeight="1" x14ac:dyDescent="0.25">
      <c r="B236" s="31"/>
      <c r="C236" s="12"/>
      <c r="D236" s="13"/>
      <c r="E236" s="13"/>
    </row>
    <row r="237" spans="2:29" ht="15.75" customHeight="1" x14ac:dyDescent="0.25">
      <c r="B237" s="31"/>
      <c r="C237" s="12"/>
      <c r="D237" s="13"/>
      <c r="E237" s="13"/>
    </row>
    <row r="238" spans="2:29" ht="15.75" customHeight="1" x14ac:dyDescent="0.25">
      <c r="B238" s="31"/>
      <c r="C238" s="12"/>
      <c r="D238" s="13"/>
      <c r="E238" s="13"/>
    </row>
    <row r="239" spans="2:29" ht="15.75" customHeight="1" x14ac:dyDescent="0.25">
      <c r="B239" s="31"/>
      <c r="C239" s="12"/>
      <c r="D239" s="13"/>
      <c r="E239" s="13"/>
    </row>
    <row r="240" spans="2:29" ht="15.75" customHeight="1" x14ac:dyDescent="0.25">
      <c r="B240" s="31"/>
      <c r="C240" s="12"/>
      <c r="D240" s="13"/>
      <c r="E240" s="13"/>
    </row>
    <row r="241" spans="2:5" ht="15.75" customHeight="1" x14ac:dyDescent="0.25">
      <c r="B241" s="31"/>
      <c r="C241" s="12"/>
      <c r="D241" s="13"/>
      <c r="E241" s="13"/>
    </row>
    <row r="242" spans="2:5" ht="15.75" customHeight="1" x14ac:dyDescent="0.25">
      <c r="B242" s="31"/>
      <c r="C242" s="12"/>
      <c r="D242" s="13"/>
      <c r="E242" s="13"/>
    </row>
    <row r="243" spans="2:5" ht="15.75" customHeight="1" x14ac:dyDescent="0.25">
      <c r="B243" s="31"/>
      <c r="C243" s="12"/>
      <c r="D243" s="13"/>
      <c r="E243" s="13"/>
    </row>
    <row r="244" spans="2:5" ht="15.75" customHeight="1" x14ac:dyDescent="0.25">
      <c r="B244" s="31"/>
      <c r="C244" s="12"/>
      <c r="D244" s="13"/>
      <c r="E244" s="13"/>
    </row>
    <row r="245" spans="2:5" ht="15.75" customHeight="1" x14ac:dyDescent="0.25">
      <c r="B245" s="31"/>
      <c r="C245" s="12"/>
      <c r="D245" s="13"/>
      <c r="E245" s="13"/>
    </row>
    <row r="246" spans="2:5" ht="15.75" customHeight="1" x14ac:dyDescent="0.25">
      <c r="B246" s="31"/>
      <c r="C246" s="31"/>
    </row>
    <row r="247" spans="2:5" ht="15.75" customHeight="1" x14ac:dyDescent="0.25">
      <c r="B247" s="31"/>
      <c r="C247" s="31"/>
    </row>
    <row r="248" spans="2:5" ht="15.75" customHeight="1" x14ac:dyDescent="0.25">
      <c r="B248" s="31"/>
      <c r="C248" s="31"/>
    </row>
    <row r="249" spans="2:5" ht="15.75" customHeight="1" x14ac:dyDescent="0.25">
      <c r="B249" s="31"/>
      <c r="C249" s="31"/>
    </row>
    <row r="250" spans="2:5" ht="15.75" customHeight="1" x14ac:dyDescent="0.25">
      <c r="B250" s="31"/>
      <c r="C250" s="31"/>
    </row>
    <row r="251" spans="2:5" ht="15.75" customHeight="1" x14ac:dyDescent="0.25">
      <c r="B251" s="31"/>
      <c r="C251" s="31"/>
    </row>
    <row r="252" spans="2:5" ht="15.75" customHeight="1" x14ac:dyDescent="0.25">
      <c r="B252" s="31"/>
      <c r="C252" s="31"/>
    </row>
    <row r="253" spans="2:5" ht="15.75" customHeight="1" x14ac:dyDescent="0.25">
      <c r="B253" s="31"/>
      <c r="C253" s="31"/>
    </row>
    <row r="254" spans="2:5" ht="15.75" customHeight="1" x14ac:dyDescent="0.25">
      <c r="B254" s="31"/>
      <c r="C254" s="31"/>
    </row>
    <row r="255" spans="2:5" ht="15.75" customHeight="1" x14ac:dyDescent="0.25">
      <c r="B255" s="31"/>
      <c r="C255" s="31"/>
    </row>
    <row r="256" spans="2:5" ht="15.75" customHeight="1" x14ac:dyDescent="0.25">
      <c r="B256" s="31"/>
      <c r="C256" s="31"/>
    </row>
    <row r="257" spans="2:3" ht="15.75" customHeight="1" x14ac:dyDescent="0.25">
      <c r="B257" s="31"/>
      <c r="C257" s="31"/>
    </row>
    <row r="258" spans="2:3" ht="15.75" customHeight="1" x14ac:dyDescent="0.25">
      <c r="B258" s="31"/>
      <c r="C258" s="31"/>
    </row>
    <row r="259" spans="2:3" ht="15.75" customHeight="1" x14ac:dyDescent="0.25">
      <c r="B259" s="31"/>
      <c r="C259" s="31"/>
    </row>
    <row r="260" spans="2:3" ht="15.75" customHeight="1" x14ac:dyDescent="0.25">
      <c r="B260" s="31"/>
      <c r="C260" s="31"/>
    </row>
    <row r="261" spans="2:3" ht="15.75" customHeight="1" x14ac:dyDescent="0.25">
      <c r="B261" s="31"/>
      <c r="C261" s="31"/>
    </row>
    <row r="262" spans="2:3" ht="15.75" customHeight="1" x14ac:dyDescent="0.25">
      <c r="B262" s="31"/>
      <c r="C262" s="31"/>
    </row>
    <row r="263" spans="2:3" ht="15.75" customHeight="1" x14ac:dyDescent="0.25">
      <c r="B263" s="31"/>
      <c r="C263" s="31"/>
    </row>
    <row r="264" spans="2:3" ht="15.75" customHeight="1" x14ac:dyDescent="0.25">
      <c r="B264" s="31"/>
      <c r="C264" s="31"/>
    </row>
    <row r="265" spans="2:3" ht="15.75" customHeight="1" x14ac:dyDescent="0.25">
      <c r="B265" s="31"/>
      <c r="C265" s="31"/>
    </row>
    <row r="266" spans="2:3" ht="15.75" customHeight="1" x14ac:dyDescent="0.25">
      <c r="B266" s="31"/>
      <c r="C266" s="31"/>
    </row>
    <row r="267" spans="2:3" ht="15.75" customHeight="1" x14ac:dyDescent="0.25">
      <c r="B267" s="31"/>
      <c r="C267" s="31"/>
    </row>
    <row r="268" spans="2:3" ht="15.75" customHeight="1" x14ac:dyDescent="0.25">
      <c r="B268" s="31"/>
      <c r="C268" s="31"/>
    </row>
    <row r="269" spans="2:3" ht="15.75" customHeight="1" x14ac:dyDescent="0.25">
      <c r="B269" s="31"/>
      <c r="C269" s="31"/>
    </row>
    <row r="270" spans="2:3" ht="15.75" customHeight="1" x14ac:dyDescent="0.25">
      <c r="B270" s="31"/>
      <c r="C270" s="31"/>
    </row>
    <row r="271" spans="2:3" ht="15.75" customHeight="1" x14ac:dyDescent="0.25">
      <c r="B271" s="31"/>
      <c r="C271" s="31"/>
    </row>
    <row r="272" spans="2:3" ht="15.75" customHeight="1" x14ac:dyDescent="0.25">
      <c r="B272" s="31"/>
      <c r="C272" s="31"/>
    </row>
    <row r="273" spans="2:3" ht="15.75" customHeight="1" x14ac:dyDescent="0.25">
      <c r="B273" s="31"/>
      <c r="C273" s="31"/>
    </row>
    <row r="274" spans="2:3" ht="15.75" customHeight="1" x14ac:dyDescent="0.25">
      <c r="B274" s="31"/>
      <c r="C274" s="31"/>
    </row>
    <row r="275" spans="2:3" ht="15.75" customHeight="1" x14ac:dyDescent="0.25">
      <c r="B275" s="31"/>
      <c r="C275" s="31"/>
    </row>
    <row r="276" spans="2:3" ht="15.75" customHeight="1" x14ac:dyDescent="0.25">
      <c r="B276" s="31"/>
      <c r="C276" s="31"/>
    </row>
    <row r="277" spans="2:3" ht="15.75" customHeight="1" x14ac:dyDescent="0.25">
      <c r="B277" s="31"/>
      <c r="C277" s="31"/>
    </row>
    <row r="278" spans="2:3" ht="15.75" customHeight="1" x14ac:dyDescent="0.25">
      <c r="B278" s="31"/>
      <c r="C278" s="31"/>
    </row>
    <row r="279" spans="2:3" ht="15.75" customHeight="1" x14ac:dyDescent="0.25">
      <c r="B279" s="31"/>
      <c r="C279" s="31"/>
    </row>
    <row r="280" spans="2:3" ht="15.75" customHeight="1" x14ac:dyDescent="0.25">
      <c r="B280" s="31"/>
      <c r="C280" s="31"/>
    </row>
    <row r="281" spans="2:3" ht="15.75" customHeight="1" x14ac:dyDescent="0.25">
      <c r="B281" s="31"/>
      <c r="C281" s="31"/>
    </row>
    <row r="282" spans="2:3" ht="15.75" customHeight="1" x14ac:dyDescent="0.25">
      <c r="B282" s="31"/>
      <c r="C282" s="31"/>
    </row>
    <row r="283" spans="2:3" ht="15.75" customHeight="1" x14ac:dyDescent="0.25">
      <c r="B283" s="31"/>
      <c r="C283" s="31"/>
    </row>
    <row r="284" spans="2:3" ht="15.75" customHeight="1" x14ac:dyDescent="0.25">
      <c r="B284" s="31"/>
      <c r="C284" s="31"/>
    </row>
    <row r="285" spans="2:3" ht="15.75" customHeight="1" x14ac:dyDescent="0.25">
      <c r="B285" s="31"/>
      <c r="C285" s="31"/>
    </row>
    <row r="286" spans="2:3" ht="15.75" customHeight="1" x14ac:dyDescent="0.25">
      <c r="B286" s="31"/>
      <c r="C286" s="31"/>
    </row>
    <row r="287" spans="2:3" ht="15.75" customHeight="1" x14ac:dyDescent="0.25">
      <c r="B287" s="31"/>
      <c r="C287" s="31"/>
    </row>
    <row r="288" spans="2:3" ht="15.75" customHeight="1" x14ac:dyDescent="0.25">
      <c r="B288" s="31"/>
      <c r="C288" s="31"/>
    </row>
    <row r="289" spans="2:3" ht="15.75" customHeight="1" x14ac:dyDescent="0.25">
      <c r="B289" s="31"/>
      <c r="C289" s="31"/>
    </row>
    <row r="290" spans="2:3" ht="15.75" customHeight="1" x14ac:dyDescent="0.25">
      <c r="B290" s="31"/>
      <c r="C290" s="31"/>
    </row>
    <row r="291" spans="2:3" ht="15.75" customHeight="1" x14ac:dyDescent="0.25">
      <c r="B291" s="31"/>
      <c r="C291" s="31"/>
    </row>
    <row r="292" spans="2:3" ht="15.75" customHeight="1" x14ac:dyDescent="0.25">
      <c r="B292" s="31"/>
      <c r="C292" s="31"/>
    </row>
    <row r="293" spans="2:3" ht="15.75" customHeight="1" x14ac:dyDescent="0.25">
      <c r="B293" s="31"/>
      <c r="C293" s="31"/>
    </row>
    <row r="294" spans="2:3" ht="15.75" customHeight="1" x14ac:dyDescent="0.25">
      <c r="B294" s="31"/>
      <c r="C294" s="31"/>
    </row>
    <row r="295" spans="2:3" ht="15.75" customHeight="1" x14ac:dyDescent="0.25">
      <c r="B295" s="31"/>
      <c r="C295" s="31"/>
    </row>
    <row r="296" spans="2:3" ht="15.75" customHeight="1" x14ac:dyDescent="0.25">
      <c r="B296" s="31"/>
      <c r="C296" s="31"/>
    </row>
    <row r="297" spans="2:3" ht="15.75" customHeight="1" x14ac:dyDescent="0.25">
      <c r="B297" s="31"/>
      <c r="C297" s="31"/>
    </row>
    <row r="298" spans="2:3" ht="15.75" customHeight="1" x14ac:dyDescent="0.25">
      <c r="B298" s="31"/>
      <c r="C298" s="31"/>
    </row>
    <row r="299" spans="2:3" ht="15.75" customHeight="1" x14ac:dyDescent="0.25">
      <c r="B299" s="31"/>
      <c r="C299" s="31"/>
    </row>
    <row r="300" spans="2:3" ht="15.75" customHeight="1" x14ac:dyDescent="0.25">
      <c r="B300" s="31"/>
      <c r="C300" s="31"/>
    </row>
    <row r="301" spans="2:3" ht="15.75" customHeight="1" x14ac:dyDescent="0.25">
      <c r="B301" s="31"/>
      <c r="C301" s="31"/>
    </row>
    <row r="302" spans="2:3" ht="15.75" customHeight="1" x14ac:dyDescent="0.25">
      <c r="B302" s="31"/>
      <c r="C302" s="31"/>
    </row>
    <row r="303" spans="2:3" ht="15.75" customHeight="1" x14ac:dyDescent="0.25">
      <c r="B303" s="31"/>
      <c r="C303" s="31"/>
    </row>
    <row r="304" spans="2:3" ht="15.75" customHeight="1" x14ac:dyDescent="0.25">
      <c r="B304" s="31"/>
      <c r="C304" s="31"/>
    </row>
    <row r="305" spans="2:3" ht="15.75" customHeight="1" x14ac:dyDescent="0.25">
      <c r="B305" s="31"/>
      <c r="C305" s="31"/>
    </row>
    <row r="306" spans="2:3" ht="15.75" customHeight="1" x14ac:dyDescent="0.25">
      <c r="B306" s="31"/>
      <c r="C306" s="31"/>
    </row>
    <row r="307" spans="2:3" ht="15.75" customHeight="1" x14ac:dyDescent="0.25">
      <c r="B307" s="31"/>
      <c r="C307" s="31"/>
    </row>
    <row r="308" spans="2:3" ht="15.75" customHeight="1" x14ac:dyDescent="0.25">
      <c r="B308" s="31"/>
      <c r="C308" s="31"/>
    </row>
    <row r="309" spans="2:3" ht="15.75" customHeight="1" x14ac:dyDescent="0.25">
      <c r="B309" s="31"/>
      <c r="C309" s="31"/>
    </row>
    <row r="310" spans="2:3" ht="15.75" customHeight="1" x14ac:dyDescent="0.25">
      <c r="B310" s="31"/>
      <c r="C310" s="31"/>
    </row>
    <row r="311" spans="2:3" ht="15.75" customHeight="1" x14ac:dyDescent="0.25">
      <c r="B311" s="31"/>
      <c r="C311" s="31"/>
    </row>
    <row r="312" spans="2:3" ht="15.75" customHeight="1" x14ac:dyDescent="0.25">
      <c r="B312" s="31"/>
      <c r="C312" s="31"/>
    </row>
    <row r="313" spans="2:3" ht="15.75" customHeight="1" x14ac:dyDescent="0.25">
      <c r="B313" s="31"/>
      <c r="C313" s="31"/>
    </row>
    <row r="314" spans="2:3" ht="15.75" customHeight="1" x14ac:dyDescent="0.25">
      <c r="B314" s="31"/>
      <c r="C314" s="31"/>
    </row>
    <row r="315" spans="2:3" ht="15.75" customHeight="1" x14ac:dyDescent="0.25">
      <c r="B315" s="31"/>
      <c r="C315" s="31"/>
    </row>
    <row r="316" spans="2:3" ht="15.75" customHeight="1" x14ac:dyDescent="0.25">
      <c r="B316" s="31"/>
      <c r="C316" s="31"/>
    </row>
    <row r="317" spans="2:3" ht="15.75" customHeight="1" x14ac:dyDescent="0.25">
      <c r="B317" s="31"/>
      <c r="C317" s="31"/>
    </row>
    <row r="318" spans="2:3" ht="15.75" customHeight="1" x14ac:dyDescent="0.25">
      <c r="B318" s="31"/>
      <c r="C318" s="31"/>
    </row>
    <row r="319" spans="2:3" ht="15.75" customHeight="1" x14ac:dyDescent="0.25">
      <c r="B319" s="31"/>
      <c r="C319" s="31"/>
    </row>
    <row r="320" spans="2:3" ht="15.75" customHeight="1" x14ac:dyDescent="0.25">
      <c r="B320" s="31"/>
      <c r="C320" s="31"/>
    </row>
    <row r="321" spans="2:3" ht="15.75" customHeight="1" x14ac:dyDescent="0.25">
      <c r="B321" s="31"/>
      <c r="C321" s="31"/>
    </row>
    <row r="322" spans="2:3" ht="15.75" customHeight="1" x14ac:dyDescent="0.25">
      <c r="B322" s="31"/>
      <c r="C322" s="31"/>
    </row>
    <row r="323" spans="2:3" ht="15.75" customHeight="1" x14ac:dyDescent="0.25">
      <c r="B323" s="31"/>
      <c r="C323" s="31"/>
    </row>
    <row r="324" spans="2:3" ht="15.75" customHeight="1" x14ac:dyDescent="0.25">
      <c r="B324" s="31"/>
      <c r="C324" s="31"/>
    </row>
    <row r="325" spans="2:3" ht="15.75" customHeight="1" x14ac:dyDescent="0.25">
      <c r="B325" s="31"/>
      <c r="C325" s="31"/>
    </row>
    <row r="326" spans="2:3" ht="15.75" customHeight="1" x14ac:dyDescent="0.25">
      <c r="B326" s="31"/>
      <c r="C326" s="31"/>
    </row>
    <row r="327" spans="2:3" ht="15.75" customHeight="1" x14ac:dyDescent="0.25">
      <c r="B327" s="31"/>
      <c r="C327" s="31"/>
    </row>
    <row r="328" spans="2:3" ht="15.75" customHeight="1" x14ac:dyDescent="0.25">
      <c r="B328" s="31"/>
      <c r="C328" s="31"/>
    </row>
    <row r="329" spans="2:3" ht="15.75" customHeight="1" x14ac:dyDescent="0.25">
      <c r="B329" s="31"/>
      <c r="C329" s="31"/>
    </row>
    <row r="330" spans="2:3" ht="15.75" customHeight="1" x14ac:dyDescent="0.25">
      <c r="B330" s="31"/>
      <c r="C330" s="31"/>
    </row>
    <row r="331" spans="2:3" ht="15.75" customHeight="1" x14ac:dyDescent="0.25">
      <c r="B331" s="31"/>
      <c r="C331" s="31"/>
    </row>
    <row r="332" spans="2:3" ht="15.75" customHeight="1" x14ac:dyDescent="0.25">
      <c r="B332" s="31"/>
      <c r="C332" s="31"/>
    </row>
    <row r="333" spans="2:3" ht="15.75" customHeight="1" x14ac:dyDescent="0.25">
      <c r="B333" s="31"/>
      <c r="C333" s="31"/>
    </row>
    <row r="334" spans="2:3" ht="15.75" customHeight="1" x14ac:dyDescent="0.25">
      <c r="B334" s="31"/>
      <c r="C334" s="31"/>
    </row>
    <row r="335" spans="2:3" ht="15.75" customHeight="1" x14ac:dyDescent="0.25">
      <c r="B335" s="31"/>
      <c r="C335" s="31"/>
    </row>
    <row r="336" spans="2:3" ht="15.75" customHeight="1" x14ac:dyDescent="0.25">
      <c r="B336" s="31"/>
      <c r="C336" s="31"/>
    </row>
    <row r="337" spans="2:3" ht="15.75" customHeight="1" x14ac:dyDescent="0.25">
      <c r="B337" s="31"/>
      <c r="C337" s="31"/>
    </row>
    <row r="338" spans="2:3" ht="15.75" customHeight="1" x14ac:dyDescent="0.25">
      <c r="B338" s="31"/>
      <c r="C338" s="31"/>
    </row>
    <row r="339" spans="2:3" ht="15.75" customHeight="1" x14ac:dyDescent="0.25">
      <c r="B339" s="31"/>
      <c r="C339" s="31"/>
    </row>
    <row r="340" spans="2:3" ht="15.75" customHeight="1" x14ac:dyDescent="0.25">
      <c r="B340" s="31"/>
      <c r="C340" s="31"/>
    </row>
    <row r="341" spans="2:3" ht="15.75" customHeight="1" x14ac:dyDescent="0.25">
      <c r="B341" s="31"/>
      <c r="C341" s="31"/>
    </row>
    <row r="342" spans="2:3" ht="15.75" customHeight="1" x14ac:dyDescent="0.25">
      <c r="B342" s="31"/>
      <c r="C342" s="31"/>
    </row>
    <row r="343" spans="2:3" ht="15.75" customHeight="1" x14ac:dyDescent="0.25">
      <c r="B343" s="31"/>
      <c r="C343" s="31"/>
    </row>
    <row r="344" spans="2:3" ht="15.75" customHeight="1" x14ac:dyDescent="0.25">
      <c r="B344" s="31"/>
      <c r="C344" s="31"/>
    </row>
    <row r="345" spans="2:3" ht="15.75" customHeight="1" x14ac:dyDescent="0.25">
      <c r="B345" s="31"/>
      <c r="C345" s="31"/>
    </row>
    <row r="346" spans="2:3" ht="15.75" customHeight="1" x14ac:dyDescent="0.25">
      <c r="B346" s="31"/>
      <c r="C346" s="31"/>
    </row>
    <row r="347" spans="2:3" ht="15.75" customHeight="1" x14ac:dyDescent="0.25">
      <c r="B347" s="31"/>
      <c r="C347" s="31"/>
    </row>
    <row r="348" spans="2:3" ht="15.75" customHeight="1" x14ac:dyDescent="0.25">
      <c r="B348" s="31"/>
      <c r="C348" s="31"/>
    </row>
    <row r="349" spans="2:3" ht="15.75" customHeight="1" x14ac:dyDescent="0.25">
      <c r="B349" s="31"/>
      <c r="C349" s="31"/>
    </row>
    <row r="350" spans="2:3" ht="15.75" customHeight="1" x14ac:dyDescent="0.25">
      <c r="B350" s="31"/>
      <c r="C350" s="31"/>
    </row>
    <row r="351" spans="2:3" ht="15.75" customHeight="1" x14ac:dyDescent="0.25">
      <c r="B351" s="31"/>
      <c r="C351" s="31"/>
    </row>
    <row r="352" spans="2:3" ht="15.75" customHeight="1" x14ac:dyDescent="0.25">
      <c r="B352" s="31"/>
      <c r="C352" s="31"/>
    </row>
    <row r="353" spans="2:3" ht="15.75" customHeight="1" x14ac:dyDescent="0.25">
      <c r="B353" s="31"/>
      <c r="C353" s="31"/>
    </row>
    <row r="354" spans="2:3" ht="15.75" customHeight="1" x14ac:dyDescent="0.25">
      <c r="B354" s="31"/>
      <c r="C354" s="31"/>
    </row>
    <row r="355" spans="2:3" ht="15.75" customHeight="1" x14ac:dyDescent="0.25">
      <c r="B355" s="31"/>
      <c r="C355" s="31"/>
    </row>
    <row r="356" spans="2:3" ht="15.75" customHeight="1" x14ac:dyDescent="0.25">
      <c r="B356" s="31"/>
      <c r="C356" s="31"/>
    </row>
    <row r="357" spans="2:3" ht="15.75" customHeight="1" x14ac:dyDescent="0.25">
      <c r="B357" s="31"/>
      <c r="C357" s="31"/>
    </row>
    <row r="358" spans="2:3" ht="15.75" customHeight="1" x14ac:dyDescent="0.25">
      <c r="B358" s="31"/>
      <c r="C358" s="31"/>
    </row>
    <row r="359" spans="2:3" ht="15.75" customHeight="1" x14ac:dyDescent="0.25">
      <c r="B359" s="31"/>
      <c r="C359" s="31"/>
    </row>
    <row r="360" spans="2:3" ht="15.75" customHeight="1" x14ac:dyDescent="0.25">
      <c r="B360" s="31"/>
      <c r="C360" s="31"/>
    </row>
    <row r="361" spans="2:3" ht="15.75" customHeight="1" x14ac:dyDescent="0.25">
      <c r="B361" s="31"/>
      <c r="C361" s="31"/>
    </row>
    <row r="362" spans="2:3" ht="15.75" customHeight="1" x14ac:dyDescent="0.25">
      <c r="B362" s="31"/>
      <c r="C362" s="31"/>
    </row>
    <row r="363" spans="2:3" ht="15.75" customHeight="1" x14ac:dyDescent="0.25">
      <c r="B363" s="31"/>
      <c r="C363" s="31"/>
    </row>
    <row r="364" spans="2:3" ht="15.75" customHeight="1" x14ac:dyDescent="0.25">
      <c r="B364" s="31"/>
      <c r="C364" s="31"/>
    </row>
    <row r="365" spans="2:3" ht="15.75" customHeight="1" x14ac:dyDescent="0.25">
      <c r="B365" s="31"/>
      <c r="C365" s="31"/>
    </row>
    <row r="366" spans="2:3" ht="15.75" customHeight="1" x14ac:dyDescent="0.25">
      <c r="B366" s="31"/>
      <c r="C366" s="31"/>
    </row>
    <row r="367" spans="2:3" ht="15.75" customHeight="1" x14ac:dyDescent="0.25">
      <c r="B367" s="31"/>
      <c r="C367" s="31"/>
    </row>
    <row r="368" spans="2:3" ht="15.75" customHeight="1" x14ac:dyDescent="0.25">
      <c r="B368" s="31"/>
      <c r="C368" s="31"/>
    </row>
    <row r="369" spans="2:3" ht="15.75" customHeight="1" x14ac:dyDescent="0.25">
      <c r="B369" s="31"/>
      <c r="C369" s="31"/>
    </row>
    <row r="370" spans="2:3" ht="15.75" customHeight="1" x14ac:dyDescent="0.25">
      <c r="B370" s="31"/>
      <c r="C370" s="31"/>
    </row>
    <row r="371" spans="2:3" ht="15.75" customHeight="1" x14ac:dyDescent="0.25">
      <c r="B371" s="31"/>
      <c r="C371" s="31"/>
    </row>
    <row r="372" spans="2:3" ht="15.75" customHeight="1" x14ac:dyDescent="0.25">
      <c r="B372" s="31"/>
      <c r="C372" s="31"/>
    </row>
    <row r="373" spans="2:3" ht="15.75" customHeight="1" x14ac:dyDescent="0.25">
      <c r="B373" s="31"/>
      <c r="C373" s="31"/>
    </row>
    <row r="374" spans="2:3" ht="15.75" customHeight="1" x14ac:dyDescent="0.25">
      <c r="B374" s="31"/>
      <c r="C374" s="31"/>
    </row>
    <row r="375" spans="2:3" ht="15.75" customHeight="1" x14ac:dyDescent="0.25">
      <c r="B375" s="31"/>
      <c r="C375" s="31"/>
    </row>
    <row r="376" spans="2:3" ht="15.75" customHeight="1" x14ac:dyDescent="0.25">
      <c r="B376" s="31"/>
      <c r="C376" s="31"/>
    </row>
    <row r="377" spans="2:3" ht="15.75" customHeight="1" x14ac:dyDescent="0.25">
      <c r="B377" s="31"/>
      <c r="C377" s="31"/>
    </row>
    <row r="378" spans="2:3" ht="15.75" customHeight="1" x14ac:dyDescent="0.25">
      <c r="B378" s="31"/>
      <c r="C378" s="31"/>
    </row>
    <row r="379" spans="2:3" ht="15.75" customHeight="1" x14ac:dyDescent="0.25">
      <c r="B379" s="31"/>
      <c r="C379" s="31"/>
    </row>
    <row r="380" spans="2:3" ht="15.75" customHeight="1" x14ac:dyDescent="0.25">
      <c r="B380" s="31"/>
      <c r="C380" s="31"/>
    </row>
    <row r="381" spans="2:3" ht="15.75" customHeight="1" x14ac:dyDescent="0.25">
      <c r="B381" s="31"/>
      <c r="C381" s="31"/>
    </row>
    <row r="382" spans="2:3" ht="15.75" customHeight="1" x14ac:dyDescent="0.25">
      <c r="B382" s="31"/>
      <c r="C382" s="31"/>
    </row>
    <row r="383" spans="2:3" ht="15.75" customHeight="1" x14ac:dyDescent="0.25">
      <c r="B383" s="31"/>
      <c r="C383" s="31"/>
    </row>
    <row r="384" spans="2:3" ht="15.75" customHeight="1" x14ac:dyDescent="0.25">
      <c r="B384" s="31"/>
      <c r="C384" s="31"/>
    </row>
    <row r="385" spans="2:3" ht="15.75" customHeight="1" x14ac:dyDescent="0.25">
      <c r="B385" s="31"/>
      <c r="C385" s="31"/>
    </row>
    <row r="386" spans="2:3" ht="15.75" customHeight="1" x14ac:dyDescent="0.25">
      <c r="B386" s="31"/>
      <c r="C386" s="31"/>
    </row>
    <row r="387" spans="2:3" ht="15.75" customHeight="1" x14ac:dyDescent="0.25">
      <c r="B387" s="31"/>
      <c r="C387" s="31"/>
    </row>
    <row r="388" spans="2:3" ht="15.75" customHeight="1" x14ac:dyDescent="0.25">
      <c r="B388" s="31"/>
      <c r="C388" s="31"/>
    </row>
    <row r="389" spans="2:3" ht="15.75" customHeight="1" x14ac:dyDescent="0.25">
      <c r="B389" s="31"/>
      <c r="C389" s="31"/>
    </row>
    <row r="390" spans="2:3" ht="15.75" customHeight="1" x14ac:dyDescent="0.25">
      <c r="B390" s="31"/>
      <c r="C390" s="31"/>
    </row>
    <row r="391" spans="2:3" ht="15.75" customHeight="1" x14ac:dyDescent="0.25">
      <c r="B391" s="31"/>
      <c r="C391" s="31"/>
    </row>
    <row r="392" spans="2:3" ht="15.75" customHeight="1" x14ac:dyDescent="0.25">
      <c r="B392" s="31"/>
      <c r="C392" s="31"/>
    </row>
    <row r="393" spans="2:3" ht="15.75" customHeight="1" x14ac:dyDescent="0.25">
      <c r="B393" s="31"/>
      <c r="C393" s="31"/>
    </row>
    <row r="394" spans="2:3" ht="15.75" customHeight="1" x14ac:dyDescent="0.25">
      <c r="B394" s="31"/>
      <c r="C394" s="31"/>
    </row>
    <row r="395" spans="2:3" ht="15.75" customHeight="1" x14ac:dyDescent="0.25">
      <c r="B395" s="31"/>
      <c r="C395" s="31"/>
    </row>
    <row r="396" spans="2:3" ht="15.75" customHeight="1" x14ac:dyDescent="0.25">
      <c r="B396" s="31"/>
      <c r="C396" s="31"/>
    </row>
    <row r="397" spans="2:3" ht="15.75" customHeight="1" x14ac:dyDescent="0.25">
      <c r="B397" s="31"/>
      <c r="C397" s="31"/>
    </row>
    <row r="398" spans="2:3" ht="15.75" customHeight="1" x14ac:dyDescent="0.25">
      <c r="B398" s="31"/>
      <c r="C398" s="31"/>
    </row>
    <row r="399" spans="2:3" ht="15.75" customHeight="1" x14ac:dyDescent="0.25">
      <c r="B399" s="31"/>
      <c r="C399" s="31"/>
    </row>
    <row r="400" spans="2:3" ht="15.75" customHeight="1" x14ac:dyDescent="0.25">
      <c r="B400" s="31"/>
      <c r="C400" s="31"/>
    </row>
    <row r="401" spans="2:3" ht="15.75" customHeight="1" x14ac:dyDescent="0.25">
      <c r="B401" s="31"/>
      <c r="C401" s="31"/>
    </row>
    <row r="402" spans="2:3" ht="15.75" customHeight="1" x14ac:dyDescent="0.25">
      <c r="B402" s="31"/>
      <c r="C402" s="31"/>
    </row>
    <row r="403" spans="2:3" ht="15.75" customHeight="1" x14ac:dyDescent="0.25">
      <c r="B403" s="31"/>
      <c r="C403" s="31"/>
    </row>
    <row r="404" spans="2:3" ht="15.75" customHeight="1" x14ac:dyDescent="0.25">
      <c r="B404" s="31"/>
      <c r="C404" s="31"/>
    </row>
    <row r="405" spans="2:3" ht="15.75" customHeight="1" x14ac:dyDescent="0.25">
      <c r="B405" s="31"/>
      <c r="C405" s="31"/>
    </row>
    <row r="406" spans="2:3" ht="15.75" customHeight="1" x14ac:dyDescent="0.25">
      <c r="B406" s="31"/>
      <c r="C406" s="31"/>
    </row>
    <row r="407" spans="2:3" ht="15.75" customHeight="1" x14ac:dyDescent="0.25">
      <c r="B407" s="31"/>
      <c r="C407" s="31"/>
    </row>
    <row r="408" spans="2:3" ht="15.75" customHeight="1" x14ac:dyDescent="0.25">
      <c r="B408" s="31"/>
      <c r="C408" s="31"/>
    </row>
    <row r="409" spans="2:3" ht="15.75" customHeight="1" x14ac:dyDescent="0.25">
      <c r="B409" s="31"/>
      <c r="C409" s="31"/>
    </row>
    <row r="410" spans="2:3" ht="15.75" customHeight="1" x14ac:dyDescent="0.25">
      <c r="B410" s="31"/>
      <c r="C410" s="31"/>
    </row>
    <row r="411" spans="2:3" ht="15.75" customHeight="1" x14ac:dyDescent="0.25">
      <c r="B411" s="31"/>
      <c r="C411" s="31"/>
    </row>
    <row r="412" spans="2:3" ht="15.75" customHeight="1" x14ac:dyDescent="0.25">
      <c r="B412" s="31"/>
      <c r="C412" s="31"/>
    </row>
    <row r="413" spans="2:3" ht="15.75" customHeight="1" x14ac:dyDescent="0.25">
      <c r="B413" s="31"/>
      <c r="C413" s="31"/>
    </row>
    <row r="414" spans="2:3" ht="15.75" customHeight="1" x14ac:dyDescent="0.25">
      <c r="B414" s="31"/>
      <c r="C414" s="31"/>
    </row>
    <row r="415" spans="2:3" ht="15.75" customHeight="1" x14ac:dyDescent="0.25">
      <c r="B415" s="31"/>
      <c r="C415" s="31"/>
    </row>
    <row r="416" spans="2:3" ht="15.75" customHeight="1" x14ac:dyDescent="0.25">
      <c r="B416" s="31"/>
      <c r="C416" s="31"/>
    </row>
    <row r="417" spans="2:3" ht="15.75" customHeight="1" x14ac:dyDescent="0.25">
      <c r="B417" s="31"/>
      <c r="C417" s="31"/>
    </row>
    <row r="418" spans="2:3" ht="15.75" customHeight="1" x14ac:dyDescent="0.25">
      <c r="B418" s="31"/>
      <c r="C418" s="31"/>
    </row>
    <row r="419" spans="2:3" ht="15.75" customHeight="1" x14ac:dyDescent="0.25">
      <c r="B419" s="31"/>
      <c r="C419" s="31"/>
    </row>
    <row r="420" spans="2:3" ht="15.75" customHeight="1" x14ac:dyDescent="0.25">
      <c r="B420" s="31"/>
      <c r="C420" s="31"/>
    </row>
    <row r="421" spans="2:3" ht="15.75" customHeight="1" x14ac:dyDescent="0.25">
      <c r="B421" s="31"/>
      <c r="C421" s="31"/>
    </row>
    <row r="422" spans="2:3" ht="15.75" customHeight="1" x14ac:dyDescent="0.25">
      <c r="B422" s="31"/>
      <c r="C422" s="31"/>
    </row>
    <row r="423" spans="2:3" ht="15.75" customHeight="1" x14ac:dyDescent="0.25">
      <c r="B423" s="31"/>
      <c r="C423" s="31"/>
    </row>
    <row r="424" spans="2:3" ht="15.75" customHeight="1" x14ac:dyDescent="0.25">
      <c r="B424" s="31"/>
      <c r="C424" s="31"/>
    </row>
    <row r="425" spans="2:3" ht="15.75" customHeight="1" x14ac:dyDescent="0.25">
      <c r="B425" s="31"/>
      <c r="C425" s="31"/>
    </row>
    <row r="426" spans="2:3" ht="15.75" customHeight="1" x14ac:dyDescent="0.25">
      <c r="B426" s="31"/>
      <c r="C426" s="31"/>
    </row>
    <row r="427" spans="2:3" ht="15.75" customHeight="1" x14ac:dyDescent="0.25">
      <c r="B427" s="31"/>
      <c r="C427" s="31"/>
    </row>
    <row r="428" spans="2:3" ht="15.75" customHeight="1" x14ac:dyDescent="0.25">
      <c r="B428" s="31"/>
      <c r="C428" s="31"/>
    </row>
    <row r="429" spans="2:3" ht="15.75" customHeight="1" x14ac:dyDescent="0.25">
      <c r="B429" s="31"/>
      <c r="C429" s="31"/>
    </row>
    <row r="430" spans="2:3" ht="15.75" customHeight="1" x14ac:dyDescent="0.25">
      <c r="B430" s="31"/>
      <c r="C430" s="31"/>
    </row>
    <row r="431" spans="2:3" ht="15.75" customHeight="1" x14ac:dyDescent="0.25">
      <c r="B431" s="31"/>
      <c r="C431" s="31"/>
    </row>
    <row r="432" spans="2:3" ht="15.75" customHeight="1" x14ac:dyDescent="0.25">
      <c r="B432" s="31"/>
      <c r="C432" s="31"/>
    </row>
    <row r="433" spans="2:3" ht="15.75" customHeight="1" x14ac:dyDescent="0.25">
      <c r="B433" s="31"/>
      <c r="C433" s="31"/>
    </row>
    <row r="434" spans="2:3" ht="15.75" customHeight="1" x14ac:dyDescent="0.25">
      <c r="B434" s="31"/>
      <c r="C434" s="31"/>
    </row>
    <row r="435" spans="2:3" ht="15.75" customHeight="1" x14ac:dyDescent="0.25">
      <c r="B435" s="31"/>
      <c r="C435" s="31"/>
    </row>
    <row r="436" spans="2:3" ht="15.75" customHeight="1" x14ac:dyDescent="0.25">
      <c r="B436" s="31"/>
      <c r="C436" s="31"/>
    </row>
    <row r="437" spans="2:3" ht="15.75" customHeight="1" x14ac:dyDescent="0.25">
      <c r="B437" s="31"/>
      <c r="C437" s="31"/>
    </row>
    <row r="438" spans="2:3" ht="15.75" customHeight="1" x14ac:dyDescent="0.25">
      <c r="B438" s="31"/>
      <c r="C438" s="31"/>
    </row>
    <row r="439" spans="2:3" ht="15.75" customHeight="1" x14ac:dyDescent="0.25">
      <c r="B439" s="31"/>
      <c r="C439" s="31"/>
    </row>
    <row r="440" spans="2:3" ht="15.75" customHeight="1" x14ac:dyDescent="0.25">
      <c r="B440" s="31"/>
      <c r="C440" s="31"/>
    </row>
    <row r="441" spans="2:3" ht="15.75" customHeight="1" x14ac:dyDescent="0.25">
      <c r="B441" s="31"/>
      <c r="C441" s="31"/>
    </row>
    <row r="442" spans="2:3" ht="15.75" customHeight="1" x14ac:dyDescent="0.25">
      <c r="B442" s="31"/>
      <c r="C442" s="31"/>
    </row>
    <row r="443" spans="2:3" ht="15.75" customHeight="1" x14ac:dyDescent="0.25">
      <c r="B443" s="31"/>
      <c r="C443" s="31"/>
    </row>
    <row r="444" spans="2:3" ht="15.75" customHeight="1" x14ac:dyDescent="0.25">
      <c r="B444" s="31"/>
      <c r="C444" s="31"/>
    </row>
    <row r="445" spans="2:3" ht="15.75" customHeight="1" x14ac:dyDescent="0.25">
      <c r="B445" s="31"/>
      <c r="C445" s="31"/>
    </row>
    <row r="446" spans="2:3" ht="15.75" customHeight="1" x14ac:dyDescent="0.25">
      <c r="B446" s="31"/>
      <c r="C446" s="31"/>
    </row>
    <row r="447" spans="2:3" ht="15.75" customHeight="1" x14ac:dyDescent="0.25">
      <c r="B447" s="31"/>
      <c r="C447" s="31"/>
    </row>
    <row r="448" spans="2:3" ht="15.75" customHeight="1" x14ac:dyDescent="0.25">
      <c r="B448" s="31"/>
      <c r="C448" s="31"/>
    </row>
    <row r="449" spans="2:3" ht="15.75" customHeight="1" x14ac:dyDescent="0.25">
      <c r="B449" s="31"/>
      <c r="C449" s="31"/>
    </row>
    <row r="450" spans="2:3" ht="15.75" customHeight="1" x14ac:dyDescent="0.25">
      <c r="B450" s="31"/>
      <c r="C450" s="31"/>
    </row>
    <row r="451" spans="2:3" ht="15.75" customHeight="1" x14ac:dyDescent="0.25">
      <c r="B451" s="31"/>
      <c r="C451" s="31"/>
    </row>
    <row r="452" spans="2:3" ht="15.75" customHeight="1" x14ac:dyDescent="0.25">
      <c r="B452" s="31"/>
      <c r="C452" s="31"/>
    </row>
    <row r="453" spans="2:3" ht="15.75" customHeight="1" x14ac:dyDescent="0.25">
      <c r="B453" s="31"/>
      <c r="C453" s="31"/>
    </row>
    <row r="454" spans="2:3" ht="15.75" customHeight="1" x14ac:dyDescent="0.25">
      <c r="B454" s="31"/>
      <c r="C454" s="31"/>
    </row>
    <row r="455" spans="2:3" ht="15.75" customHeight="1" x14ac:dyDescent="0.25">
      <c r="B455" s="31"/>
      <c r="C455" s="31"/>
    </row>
    <row r="456" spans="2:3" ht="15.75" customHeight="1" x14ac:dyDescent="0.25">
      <c r="B456" s="31"/>
      <c r="C456" s="31"/>
    </row>
    <row r="457" spans="2:3" ht="15.75" customHeight="1" x14ac:dyDescent="0.25">
      <c r="B457" s="31"/>
      <c r="C457" s="31"/>
    </row>
    <row r="458" spans="2:3" ht="15.75" customHeight="1" x14ac:dyDescent="0.25">
      <c r="B458" s="31"/>
      <c r="C458" s="31"/>
    </row>
    <row r="459" spans="2:3" ht="15.75" customHeight="1" x14ac:dyDescent="0.25">
      <c r="B459" s="31"/>
      <c r="C459" s="31"/>
    </row>
    <row r="460" spans="2:3" ht="15.75" customHeight="1" x14ac:dyDescent="0.25">
      <c r="B460" s="31"/>
      <c r="C460" s="31"/>
    </row>
    <row r="461" spans="2:3" ht="15.75" customHeight="1" x14ac:dyDescent="0.25">
      <c r="B461" s="31"/>
      <c r="C461" s="31"/>
    </row>
    <row r="462" spans="2:3" ht="15.75" customHeight="1" x14ac:dyDescent="0.25">
      <c r="B462" s="31"/>
      <c r="C462" s="31"/>
    </row>
    <row r="463" spans="2:3" ht="15.75" customHeight="1" x14ac:dyDescent="0.25">
      <c r="B463" s="31"/>
      <c r="C463" s="31"/>
    </row>
    <row r="464" spans="2:3" ht="15.75" customHeight="1" x14ac:dyDescent="0.25">
      <c r="B464" s="31"/>
      <c r="C464" s="31"/>
    </row>
    <row r="465" spans="2:3" ht="15.75" customHeight="1" x14ac:dyDescent="0.25">
      <c r="B465" s="31"/>
      <c r="C465" s="31"/>
    </row>
    <row r="466" spans="2:3" ht="15.75" customHeight="1" x14ac:dyDescent="0.25">
      <c r="B466" s="31"/>
      <c r="C466" s="31"/>
    </row>
    <row r="467" spans="2:3" ht="15.75" customHeight="1" x14ac:dyDescent="0.25">
      <c r="B467" s="31"/>
      <c r="C467" s="31"/>
    </row>
    <row r="468" spans="2:3" ht="15.75" customHeight="1" x14ac:dyDescent="0.25">
      <c r="B468" s="31"/>
      <c r="C468" s="31"/>
    </row>
    <row r="469" spans="2:3" ht="15.75" customHeight="1" x14ac:dyDescent="0.25">
      <c r="B469" s="31"/>
      <c r="C469" s="31"/>
    </row>
    <row r="470" spans="2:3" ht="15.75" customHeight="1" x14ac:dyDescent="0.25">
      <c r="B470" s="31"/>
      <c r="C470" s="31"/>
    </row>
    <row r="471" spans="2:3" ht="15.75" customHeight="1" x14ac:dyDescent="0.25">
      <c r="B471" s="31"/>
      <c r="C471" s="31"/>
    </row>
    <row r="472" spans="2:3" ht="15.75" customHeight="1" x14ac:dyDescent="0.25">
      <c r="B472" s="31"/>
      <c r="C472" s="31"/>
    </row>
    <row r="473" spans="2:3" ht="15.75" customHeight="1" x14ac:dyDescent="0.25">
      <c r="B473" s="31"/>
      <c r="C473" s="31"/>
    </row>
    <row r="474" spans="2:3" ht="15.75" customHeight="1" x14ac:dyDescent="0.25">
      <c r="B474" s="31"/>
      <c r="C474" s="31"/>
    </row>
    <row r="475" spans="2:3" ht="15.75" customHeight="1" x14ac:dyDescent="0.25">
      <c r="B475" s="31"/>
      <c r="C475" s="31"/>
    </row>
    <row r="476" spans="2:3" ht="15.75" customHeight="1" x14ac:dyDescent="0.25">
      <c r="B476" s="31"/>
      <c r="C476" s="31"/>
    </row>
    <row r="477" spans="2:3" ht="15.75" customHeight="1" x14ac:dyDescent="0.25">
      <c r="B477" s="31"/>
      <c r="C477" s="31"/>
    </row>
    <row r="478" spans="2:3" ht="15.75" customHeight="1" x14ac:dyDescent="0.25">
      <c r="B478" s="31"/>
      <c r="C478" s="31"/>
    </row>
    <row r="479" spans="2:3" ht="15.75" customHeight="1" x14ac:dyDescent="0.25">
      <c r="B479" s="31"/>
      <c r="C479" s="31"/>
    </row>
    <row r="480" spans="2:3" ht="15.75" customHeight="1" x14ac:dyDescent="0.25">
      <c r="B480" s="31"/>
      <c r="C480" s="31"/>
    </row>
    <row r="481" spans="2:3" ht="15.75" customHeight="1" x14ac:dyDescent="0.25">
      <c r="B481" s="31"/>
      <c r="C481" s="31"/>
    </row>
    <row r="482" spans="2:3" ht="15.75" customHeight="1" x14ac:dyDescent="0.25">
      <c r="B482" s="31"/>
      <c r="C482" s="31"/>
    </row>
    <row r="483" spans="2:3" ht="15.75" customHeight="1" x14ac:dyDescent="0.25">
      <c r="B483" s="31"/>
      <c r="C483" s="31"/>
    </row>
    <row r="484" spans="2:3" ht="15.75" customHeight="1" x14ac:dyDescent="0.25">
      <c r="B484" s="31"/>
      <c r="C484" s="31"/>
    </row>
    <row r="485" spans="2:3" ht="15.75" customHeight="1" x14ac:dyDescent="0.25">
      <c r="B485" s="31"/>
      <c r="C485" s="31"/>
    </row>
    <row r="486" spans="2:3" ht="15.75" customHeight="1" x14ac:dyDescent="0.25">
      <c r="B486" s="31"/>
      <c r="C486" s="31"/>
    </row>
    <row r="487" spans="2:3" ht="15.75" customHeight="1" x14ac:dyDescent="0.25">
      <c r="B487" s="31"/>
      <c r="C487" s="31"/>
    </row>
    <row r="488" spans="2:3" ht="15.75" customHeight="1" x14ac:dyDescent="0.25">
      <c r="B488" s="31"/>
      <c r="C488" s="31"/>
    </row>
    <row r="489" spans="2:3" ht="15.75" customHeight="1" x14ac:dyDescent="0.25">
      <c r="B489" s="31"/>
      <c r="C489" s="31"/>
    </row>
    <row r="490" spans="2:3" ht="15.75" customHeight="1" x14ac:dyDescent="0.25">
      <c r="B490" s="31"/>
      <c r="C490" s="31"/>
    </row>
    <row r="491" spans="2:3" ht="15.75" customHeight="1" x14ac:dyDescent="0.25">
      <c r="B491" s="31"/>
      <c r="C491" s="31"/>
    </row>
    <row r="492" spans="2:3" ht="15.75" customHeight="1" x14ac:dyDescent="0.25">
      <c r="B492" s="31"/>
      <c r="C492" s="31"/>
    </row>
    <row r="493" spans="2:3" ht="15.75" customHeight="1" x14ac:dyDescent="0.25">
      <c r="B493" s="31"/>
      <c r="C493" s="31"/>
    </row>
    <row r="494" spans="2:3" ht="15.75" customHeight="1" x14ac:dyDescent="0.25">
      <c r="B494" s="31"/>
      <c r="C494" s="31"/>
    </row>
    <row r="495" spans="2:3" ht="15.75" customHeight="1" x14ac:dyDescent="0.25">
      <c r="B495" s="31"/>
      <c r="C495" s="31"/>
    </row>
    <row r="496" spans="2:3" ht="15.75" customHeight="1" x14ac:dyDescent="0.25">
      <c r="B496" s="31"/>
      <c r="C496" s="31"/>
    </row>
    <row r="497" spans="2:3" ht="15.75" customHeight="1" x14ac:dyDescent="0.25">
      <c r="B497" s="31"/>
      <c r="C497" s="31"/>
    </row>
    <row r="498" spans="2:3" ht="15.75" customHeight="1" x14ac:dyDescent="0.25">
      <c r="B498" s="31"/>
      <c r="C498" s="31"/>
    </row>
    <row r="499" spans="2:3" ht="15.75" customHeight="1" x14ac:dyDescent="0.25">
      <c r="B499" s="31"/>
      <c r="C499" s="31"/>
    </row>
    <row r="500" spans="2:3" ht="15.75" customHeight="1" x14ac:dyDescent="0.25">
      <c r="B500" s="31"/>
      <c r="C500" s="31"/>
    </row>
    <row r="501" spans="2:3" ht="15.75" customHeight="1" x14ac:dyDescent="0.25">
      <c r="B501" s="31"/>
      <c r="C501" s="31"/>
    </row>
    <row r="502" spans="2:3" ht="15.75" customHeight="1" x14ac:dyDescent="0.25">
      <c r="B502" s="31"/>
      <c r="C502" s="31"/>
    </row>
    <row r="503" spans="2:3" ht="15.75" customHeight="1" x14ac:dyDescent="0.25">
      <c r="B503" s="31"/>
      <c r="C503" s="31"/>
    </row>
    <row r="504" spans="2:3" ht="15.75" customHeight="1" x14ac:dyDescent="0.25">
      <c r="B504" s="31"/>
      <c r="C504" s="31"/>
    </row>
    <row r="505" spans="2:3" ht="15.75" customHeight="1" x14ac:dyDescent="0.25">
      <c r="B505" s="31"/>
      <c r="C505" s="31"/>
    </row>
    <row r="506" spans="2:3" ht="15.75" customHeight="1" x14ac:dyDescent="0.25">
      <c r="B506" s="31"/>
      <c r="C506" s="31"/>
    </row>
    <row r="507" spans="2:3" ht="15.75" customHeight="1" x14ac:dyDescent="0.25">
      <c r="B507" s="31"/>
      <c r="C507" s="31"/>
    </row>
    <row r="508" spans="2:3" ht="15.75" customHeight="1" x14ac:dyDescent="0.25">
      <c r="B508" s="31"/>
      <c r="C508" s="31"/>
    </row>
    <row r="509" spans="2:3" ht="15.75" customHeight="1" x14ac:dyDescent="0.25">
      <c r="B509" s="31"/>
      <c r="C509" s="31"/>
    </row>
    <row r="510" spans="2:3" ht="15.75" customHeight="1" x14ac:dyDescent="0.25">
      <c r="B510" s="31"/>
      <c r="C510" s="31"/>
    </row>
    <row r="511" spans="2:3" ht="15.75" customHeight="1" x14ac:dyDescent="0.25">
      <c r="B511" s="31"/>
      <c r="C511" s="31"/>
    </row>
    <row r="512" spans="2:3" ht="15.75" customHeight="1" x14ac:dyDescent="0.25">
      <c r="B512" s="31"/>
      <c r="C512" s="31"/>
    </row>
    <row r="513" spans="2:3" ht="15.75" customHeight="1" x14ac:dyDescent="0.25">
      <c r="B513" s="31"/>
      <c r="C513" s="31"/>
    </row>
    <row r="514" spans="2:3" ht="15.75" customHeight="1" x14ac:dyDescent="0.25">
      <c r="B514" s="31"/>
      <c r="C514" s="31"/>
    </row>
    <row r="515" spans="2:3" ht="15.75" customHeight="1" x14ac:dyDescent="0.25">
      <c r="B515" s="31"/>
      <c r="C515" s="31"/>
    </row>
    <row r="516" spans="2:3" ht="15.75" customHeight="1" x14ac:dyDescent="0.25">
      <c r="B516" s="31"/>
      <c r="C516" s="31"/>
    </row>
    <row r="517" spans="2:3" ht="15.75" customHeight="1" x14ac:dyDescent="0.25">
      <c r="B517" s="31"/>
      <c r="C517" s="31"/>
    </row>
    <row r="518" spans="2:3" ht="15.75" customHeight="1" x14ac:dyDescent="0.25">
      <c r="B518" s="31"/>
      <c r="C518" s="31"/>
    </row>
    <row r="519" spans="2:3" ht="15.75" customHeight="1" x14ac:dyDescent="0.25">
      <c r="B519" s="31"/>
      <c r="C519" s="31"/>
    </row>
    <row r="520" spans="2:3" ht="15.75" customHeight="1" x14ac:dyDescent="0.25">
      <c r="B520" s="31"/>
      <c r="C520" s="31"/>
    </row>
    <row r="521" spans="2:3" ht="15.75" customHeight="1" x14ac:dyDescent="0.25">
      <c r="B521" s="31"/>
      <c r="C521" s="31"/>
    </row>
    <row r="522" spans="2:3" ht="15.75" customHeight="1" x14ac:dyDescent="0.25">
      <c r="B522" s="31"/>
      <c r="C522" s="31"/>
    </row>
    <row r="523" spans="2:3" ht="15.75" customHeight="1" x14ac:dyDescent="0.25">
      <c r="B523" s="31"/>
      <c r="C523" s="31"/>
    </row>
    <row r="524" spans="2:3" ht="15.75" customHeight="1" x14ac:dyDescent="0.25">
      <c r="B524" s="31"/>
      <c r="C524" s="31"/>
    </row>
    <row r="525" spans="2:3" ht="15.75" customHeight="1" x14ac:dyDescent="0.25">
      <c r="B525" s="31"/>
      <c r="C525" s="31"/>
    </row>
    <row r="526" spans="2:3" ht="15.75" customHeight="1" x14ac:dyDescent="0.25">
      <c r="B526" s="31"/>
      <c r="C526" s="31"/>
    </row>
    <row r="527" spans="2:3" ht="15.75" customHeight="1" x14ac:dyDescent="0.25">
      <c r="B527" s="31"/>
      <c r="C527" s="31"/>
    </row>
    <row r="528" spans="2:3" ht="15.75" customHeight="1" x14ac:dyDescent="0.25">
      <c r="B528" s="31"/>
      <c r="C528" s="31"/>
    </row>
    <row r="529" spans="2:3" ht="15.75" customHeight="1" x14ac:dyDescent="0.25">
      <c r="B529" s="31"/>
      <c r="C529" s="31"/>
    </row>
    <row r="530" spans="2:3" ht="15.75" customHeight="1" x14ac:dyDescent="0.25">
      <c r="B530" s="31"/>
      <c r="C530" s="31"/>
    </row>
    <row r="531" spans="2:3" ht="15.75" customHeight="1" x14ac:dyDescent="0.25">
      <c r="B531" s="31"/>
      <c r="C531" s="31"/>
    </row>
    <row r="532" spans="2:3" ht="15.75" customHeight="1" x14ac:dyDescent="0.25">
      <c r="B532" s="31"/>
      <c r="C532" s="31"/>
    </row>
    <row r="533" spans="2:3" ht="15.75" customHeight="1" x14ac:dyDescent="0.25">
      <c r="B533" s="31"/>
      <c r="C533" s="31"/>
    </row>
    <row r="534" spans="2:3" ht="15.75" customHeight="1" x14ac:dyDescent="0.25">
      <c r="B534" s="31"/>
      <c r="C534" s="31"/>
    </row>
    <row r="535" spans="2:3" ht="15.75" customHeight="1" x14ac:dyDescent="0.25">
      <c r="B535" s="31"/>
      <c r="C535" s="31"/>
    </row>
    <row r="536" spans="2:3" ht="15.75" customHeight="1" x14ac:dyDescent="0.25">
      <c r="B536" s="31"/>
      <c r="C536" s="31"/>
    </row>
    <row r="537" spans="2:3" ht="15.75" customHeight="1" x14ac:dyDescent="0.25">
      <c r="B537" s="31"/>
      <c r="C537" s="31"/>
    </row>
    <row r="538" spans="2:3" ht="15.75" customHeight="1" x14ac:dyDescent="0.25">
      <c r="B538" s="31"/>
      <c r="C538" s="31"/>
    </row>
    <row r="539" spans="2:3" ht="15.75" customHeight="1" x14ac:dyDescent="0.25">
      <c r="B539" s="31"/>
      <c r="C539" s="31"/>
    </row>
    <row r="540" spans="2:3" ht="15.75" customHeight="1" x14ac:dyDescent="0.25">
      <c r="B540" s="31"/>
      <c r="C540" s="31"/>
    </row>
    <row r="541" spans="2:3" ht="15.75" customHeight="1" x14ac:dyDescent="0.25">
      <c r="B541" s="31"/>
      <c r="C541" s="31"/>
    </row>
    <row r="542" spans="2:3" ht="15.75" customHeight="1" x14ac:dyDescent="0.25">
      <c r="B542" s="31"/>
      <c r="C542" s="31"/>
    </row>
    <row r="543" spans="2:3" ht="15.75" customHeight="1" x14ac:dyDescent="0.25">
      <c r="B543" s="31"/>
      <c r="C543" s="31"/>
    </row>
    <row r="544" spans="2:3" ht="15.75" customHeight="1" x14ac:dyDescent="0.25">
      <c r="B544" s="31"/>
      <c r="C544" s="31"/>
    </row>
    <row r="545" spans="2:3" ht="15.75" customHeight="1" x14ac:dyDescent="0.25">
      <c r="B545" s="31"/>
      <c r="C545" s="31"/>
    </row>
    <row r="546" spans="2:3" ht="15.75" customHeight="1" x14ac:dyDescent="0.25">
      <c r="B546" s="31"/>
      <c r="C546" s="31"/>
    </row>
    <row r="547" spans="2:3" ht="15.75" customHeight="1" x14ac:dyDescent="0.25">
      <c r="B547" s="31"/>
      <c r="C547" s="31"/>
    </row>
    <row r="548" spans="2:3" ht="15.75" customHeight="1" x14ac:dyDescent="0.25">
      <c r="B548" s="31"/>
      <c r="C548" s="31"/>
    </row>
    <row r="549" spans="2:3" ht="15.75" customHeight="1" x14ac:dyDescent="0.25">
      <c r="B549" s="31"/>
      <c r="C549" s="31"/>
    </row>
    <row r="550" spans="2:3" ht="15.75" customHeight="1" x14ac:dyDescent="0.25">
      <c r="B550" s="31"/>
      <c r="C550" s="31"/>
    </row>
    <row r="551" spans="2:3" ht="15.75" customHeight="1" x14ac:dyDescent="0.25">
      <c r="B551" s="31"/>
      <c r="C551" s="31"/>
    </row>
    <row r="552" spans="2:3" ht="15.75" customHeight="1" x14ac:dyDescent="0.25">
      <c r="B552" s="31"/>
      <c r="C552" s="31"/>
    </row>
    <row r="553" spans="2:3" ht="15.75" customHeight="1" x14ac:dyDescent="0.25">
      <c r="B553" s="31"/>
      <c r="C553" s="31"/>
    </row>
    <row r="554" spans="2:3" ht="15.75" customHeight="1" x14ac:dyDescent="0.25">
      <c r="B554" s="31"/>
      <c r="C554" s="31"/>
    </row>
    <row r="555" spans="2:3" ht="15.75" customHeight="1" x14ac:dyDescent="0.25">
      <c r="B555" s="31"/>
      <c r="C555" s="31"/>
    </row>
    <row r="556" spans="2:3" ht="15.75" customHeight="1" x14ac:dyDescent="0.25">
      <c r="B556" s="31"/>
      <c r="C556" s="31"/>
    </row>
    <row r="557" spans="2:3" ht="15.75" customHeight="1" x14ac:dyDescent="0.25">
      <c r="B557" s="31"/>
      <c r="C557" s="31"/>
    </row>
    <row r="558" spans="2:3" ht="15.75" customHeight="1" x14ac:dyDescent="0.25">
      <c r="B558" s="31"/>
      <c r="C558" s="31"/>
    </row>
    <row r="559" spans="2:3" ht="15.75" customHeight="1" x14ac:dyDescent="0.25">
      <c r="B559" s="31"/>
      <c r="C559" s="31"/>
    </row>
    <row r="560" spans="2:3" ht="15.75" customHeight="1" x14ac:dyDescent="0.25">
      <c r="B560" s="31"/>
      <c r="C560" s="31"/>
    </row>
    <row r="561" spans="2:3" ht="15.75" customHeight="1" x14ac:dyDescent="0.25">
      <c r="B561" s="31"/>
      <c r="C561" s="31"/>
    </row>
    <row r="562" spans="2:3" ht="15.75" customHeight="1" x14ac:dyDescent="0.25">
      <c r="B562" s="31"/>
      <c r="C562" s="31"/>
    </row>
    <row r="563" spans="2:3" ht="15.75" customHeight="1" x14ac:dyDescent="0.25">
      <c r="B563" s="31"/>
      <c r="C563" s="31"/>
    </row>
    <row r="564" spans="2:3" ht="15.75" customHeight="1" x14ac:dyDescent="0.25">
      <c r="B564" s="31"/>
      <c r="C564" s="31"/>
    </row>
    <row r="565" spans="2:3" ht="15.75" customHeight="1" x14ac:dyDescent="0.25">
      <c r="B565" s="31"/>
      <c r="C565" s="31"/>
    </row>
    <row r="566" spans="2:3" ht="15.75" customHeight="1" x14ac:dyDescent="0.25">
      <c r="B566" s="31"/>
      <c r="C566" s="31"/>
    </row>
    <row r="567" spans="2:3" ht="15.75" customHeight="1" x14ac:dyDescent="0.25">
      <c r="B567" s="31"/>
      <c r="C567" s="31"/>
    </row>
    <row r="568" spans="2:3" ht="15.75" customHeight="1" x14ac:dyDescent="0.25">
      <c r="B568" s="31"/>
      <c r="C568" s="31"/>
    </row>
    <row r="569" spans="2:3" ht="15.75" customHeight="1" x14ac:dyDescent="0.25">
      <c r="B569" s="31"/>
      <c r="C569" s="31"/>
    </row>
    <row r="570" spans="2:3" ht="15.75" customHeight="1" x14ac:dyDescent="0.25">
      <c r="B570" s="31"/>
      <c r="C570" s="31"/>
    </row>
    <row r="571" spans="2:3" ht="15.75" customHeight="1" x14ac:dyDescent="0.25">
      <c r="B571" s="31"/>
      <c r="C571" s="31"/>
    </row>
    <row r="572" spans="2:3" ht="15.75" customHeight="1" x14ac:dyDescent="0.25">
      <c r="B572" s="31"/>
      <c r="C572" s="31"/>
    </row>
    <row r="573" spans="2:3" ht="15.75" customHeight="1" x14ac:dyDescent="0.25">
      <c r="B573" s="31"/>
      <c r="C573" s="31"/>
    </row>
    <row r="574" spans="2:3" ht="15.75" customHeight="1" x14ac:dyDescent="0.25">
      <c r="B574" s="31"/>
      <c r="C574" s="31"/>
    </row>
    <row r="575" spans="2:3" ht="15.75" customHeight="1" x14ac:dyDescent="0.25">
      <c r="B575" s="31"/>
      <c r="C575" s="31"/>
    </row>
    <row r="576" spans="2:3" ht="15.75" customHeight="1" x14ac:dyDescent="0.25">
      <c r="B576" s="31"/>
      <c r="C576" s="31"/>
    </row>
    <row r="577" spans="2:3" ht="15.75" customHeight="1" x14ac:dyDescent="0.25">
      <c r="B577" s="31"/>
      <c r="C577" s="31"/>
    </row>
    <row r="578" spans="2:3" ht="15.75" customHeight="1" x14ac:dyDescent="0.25">
      <c r="B578" s="31"/>
      <c r="C578" s="31"/>
    </row>
    <row r="579" spans="2:3" ht="15.75" customHeight="1" x14ac:dyDescent="0.25">
      <c r="B579" s="31"/>
      <c r="C579" s="31"/>
    </row>
    <row r="580" spans="2:3" ht="15.75" customHeight="1" x14ac:dyDescent="0.25">
      <c r="B580" s="31"/>
      <c r="C580" s="31"/>
    </row>
    <row r="581" spans="2:3" ht="15.75" customHeight="1" x14ac:dyDescent="0.25">
      <c r="B581" s="31"/>
      <c r="C581" s="31"/>
    </row>
    <row r="582" spans="2:3" ht="15.75" customHeight="1" x14ac:dyDescent="0.25">
      <c r="B582" s="31"/>
      <c r="C582" s="31"/>
    </row>
    <row r="583" spans="2:3" ht="15.75" customHeight="1" x14ac:dyDescent="0.25">
      <c r="B583" s="31"/>
      <c r="C583" s="31"/>
    </row>
    <row r="584" spans="2:3" ht="15.75" customHeight="1" x14ac:dyDescent="0.25">
      <c r="B584" s="31"/>
      <c r="C584" s="31"/>
    </row>
    <row r="585" spans="2:3" ht="15.75" customHeight="1" x14ac:dyDescent="0.25">
      <c r="B585" s="31"/>
      <c r="C585" s="31"/>
    </row>
    <row r="586" spans="2:3" ht="15.75" customHeight="1" x14ac:dyDescent="0.25">
      <c r="B586" s="31"/>
      <c r="C586" s="31"/>
    </row>
    <row r="587" spans="2:3" ht="15.75" customHeight="1" x14ac:dyDescent="0.25">
      <c r="B587" s="31"/>
      <c r="C587" s="31"/>
    </row>
    <row r="588" spans="2:3" ht="15.75" customHeight="1" x14ac:dyDescent="0.25">
      <c r="B588" s="31"/>
      <c r="C588" s="31"/>
    </row>
    <row r="589" spans="2:3" ht="15.75" customHeight="1" x14ac:dyDescent="0.25">
      <c r="B589" s="31"/>
      <c r="C589" s="31"/>
    </row>
    <row r="590" spans="2:3" ht="15.75" customHeight="1" x14ac:dyDescent="0.25">
      <c r="B590" s="31"/>
      <c r="C590" s="31"/>
    </row>
    <row r="591" spans="2:3" ht="15.75" customHeight="1" x14ac:dyDescent="0.25">
      <c r="B591" s="31"/>
      <c r="C591" s="31"/>
    </row>
    <row r="592" spans="2:3" ht="15.75" customHeight="1" x14ac:dyDescent="0.25">
      <c r="B592" s="31"/>
      <c r="C592" s="31"/>
    </row>
    <row r="593" spans="2:3" ht="15.75" customHeight="1" x14ac:dyDescent="0.25">
      <c r="B593" s="31"/>
      <c r="C593" s="31"/>
    </row>
    <row r="594" spans="2:3" ht="15.75" customHeight="1" x14ac:dyDescent="0.25">
      <c r="B594" s="31"/>
      <c r="C594" s="31"/>
    </row>
    <row r="595" spans="2:3" ht="15.75" customHeight="1" x14ac:dyDescent="0.25">
      <c r="B595" s="31"/>
      <c r="C595" s="31"/>
    </row>
    <row r="596" spans="2:3" ht="15.75" customHeight="1" x14ac:dyDescent="0.25">
      <c r="B596" s="31"/>
      <c r="C596" s="31"/>
    </row>
    <row r="597" spans="2:3" ht="15.75" customHeight="1" x14ac:dyDescent="0.25">
      <c r="B597" s="31"/>
      <c r="C597" s="31"/>
    </row>
    <row r="598" spans="2:3" ht="15.75" customHeight="1" x14ac:dyDescent="0.25">
      <c r="B598" s="31"/>
      <c r="C598" s="31"/>
    </row>
    <row r="599" spans="2:3" ht="15.75" customHeight="1" x14ac:dyDescent="0.25">
      <c r="B599" s="31"/>
      <c r="C599" s="31"/>
    </row>
    <row r="600" spans="2:3" ht="15.75" customHeight="1" x14ac:dyDescent="0.25">
      <c r="B600" s="31"/>
      <c r="C600" s="31"/>
    </row>
    <row r="601" spans="2:3" ht="15.75" customHeight="1" x14ac:dyDescent="0.25">
      <c r="B601" s="31"/>
      <c r="C601" s="31"/>
    </row>
    <row r="602" spans="2:3" ht="15.75" customHeight="1" x14ac:dyDescent="0.25">
      <c r="B602" s="31"/>
      <c r="C602" s="31"/>
    </row>
    <row r="603" spans="2:3" ht="15.75" customHeight="1" x14ac:dyDescent="0.25">
      <c r="B603" s="31"/>
      <c r="C603" s="31"/>
    </row>
    <row r="604" spans="2:3" ht="15.75" customHeight="1" x14ac:dyDescent="0.25">
      <c r="B604" s="31"/>
      <c r="C604" s="31"/>
    </row>
    <row r="605" spans="2:3" ht="15.75" customHeight="1" x14ac:dyDescent="0.25">
      <c r="B605" s="31"/>
      <c r="C605" s="31"/>
    </row>
    <row r="606" spans="2:3" ht="15.75" customHeight="1" x14ac:dyDescent="0.25">
      <c r="B606" s="31"/>
      <c r="C606" s="31"/>
    </row>
    <row r="607" spans="2:3" ht="15.75" customHeight="1" x14ac:dyDescent="0.25">
      <c r="B607" s="31"/>
      <c r="C607" s="31"/>
    </row>
    <row r="608" spans="2:3" ht="15.75" customHeight="1" x14ac:dyDescent="0.25">
      <c r="B608" s="31"/>
      <c r="C608" s="31"/>
    </row>
    <row r="609" spans="2:3" ht="15.75" customHeight="1" x14ac:dyDescent="0.25">
      <c r="B609" s="31"/>
      <c r="C609" s="31"/>
    </row>
    <row r="610" spans="2:3" ht="15.75" customHeight="1" x14ac:dyDescent="0.25">
      <c r="B610" s="31"/>
      <c r="C610" s="31"/>
    </row>
    <row r="611" spans="2:3" ht="15.75" customHeight="1" x14ac:dyDescent="0.25">
      <c r="B611" s="31"/>
      <c r="C611" s="31"/>
    </row>
    <row r="612" spans="2:3" ht="15.75" customHeight="1" x14ac:dyDescent="0.25">
      <c r="B612" s="31"/>
      <c r="C612" s="31"/>
    </row>
    <row r="613" spans="2:3" ht="15.75" customHeight="1" x14ac:dyDescent="0.25">
      <c r="B613" s="31"/>
      <c r="C613" s="31"/>
    </row>
    <row r="614" spans="2:3" ht="15.75" customHeight="1" x14ac:dyDescent="0.25">
      <c r="B614" s="31"/>
      <c r="C614" s="31"/>
    </row>
    <row r="615" spans="2:3" ht="15.75" customHeight="1" x14ac:dyDescent="0.25">
      <c r="B615" s="31"/>
      <c r="C615" s="31"/>
    </row>
    <row r="616" spans="2:3" ht="15.75" customHeight="1" x14ac:dyDescent="0.25">
      <c r="B616" s="31"/>
      <c r="C616" s="31"/>
    </row>
    <row r="617" spans="2:3" ht="15.75" customHeight="1" x14ac:dyDescent="0.25">
      <c r="B617" s="31"/>
      <c r="C617" s="31"/>
    </row>
    <row r="618" spans="2:3" ht="15.75" customHeight="1" x14ac:dyDescent="0.25">
      <c r="B618" s="31"/>
      <c r="C618" s="31"/>
    </row>
    <row r="619" spans="2:3" ht="15.75" customHeight="1" x14ac:dyDescent="0.25">
      <c r="B619" s="31"/>
      <c r="C619" s="31"/>
    </row>
    <row r="620" spans="2:3" ht="15.75" customHeight="1" x14ac:dyDescent="0.25">
      <c r="B620" s="31"/>
      <c r="C620" s="31"/>
    </row>
    <row r="621" spans="2:3" ht="15.75" customHeight="1" x14ac:dyDescent="0.25">
      <c r="B621" s="31"/>
      <c r="C621" s="31"/>
    </row>
    <row r="622" spans="2:3" ht="15.75" customHeight="1" x14ac:dyDescent="0.25">
      <c r="B622" s="31"/>
      <c r="C622" s="31"/>
    </row>
    <row r="623" spans="2:3" ht="15.75" customHeight="1" x14ac:dyDescent="0.25">
      <c r="B623" s="31"/>
      <c r="C623" s="31"/>
    </row>
    <row r="624" spans="2:3" ht="15.75" customHeight="1" x14ac:dyDescent="0.25">
      <c r="B624" s="31"/>
      <c r="C624" s="31"/>
    </row>
    <row r="625" spans="2:3" ht="15.75" customHeight="1" x14ac:dyDescent="0.25">
      <c r="B625" s="31"/>
      <c r="C625" s="31"/>
    </row>
    <row r="626" spans="2:3" ht="15.75" customHeight="1" x14ac:dyDescent="0.25">
      <c r="B626" s="31"/>
      <c r="C626" s="31"/>
    </row>
    <row r="627" spans="2:3" ht="15.75" customHeight="1" x14ac:dyDescent="0.25">
      <c r="B627" s="31"/>
      <c r="C627" s="31"/>
    </row>
    <row r="628" spans="2:3" ht="15.75" customHeight="1" x14ac:dyDescent="0.25">
      <c r="B628" s="31"/>
      <c r="C628" s="31"/>
    </row>
    <row r="629" spans="2:3" ht="15.75" customHeight="1" x14ac:dyDescent="0.25">
      <c r="B629" s="31"/>
      <c r="C629" s="31"/>
    </row>
    <row r="630" spans="2:3" ht="15.75" customHeight="1" x14ac:dyDescent="0.25">
      <c r="B630" s="31"/>
      <c r="C630" s="31"/>
    </row>
    <row r="631" spans="2:3" ht="15.75" customHeight="1" x14ac:dyDescent="0.25">
      <c r="B631" s="31"/>
      <c r="C631" s="31"/>
    </row>
    <row r="632" spans="2:3" ht="15.75" customHeight="1" x14ac:dyDescent="0.25">
      <c r="B632" s="31"/>
      <c r="C632" s="31"/>
    </row>
    <row r="633" spans="2:3" ht="15.75" customHeight="1" x14ac:dyDescent="0.25">
      <c r="B633" s="31"/>
      <c r="C633" s="31"/>
    </row>
    <row r="634" spans="2:3" ht="15.75" customHeight="1" x14ac:dyDescent="0.25">
      <c r="B634" s="31"/>
      <c r="C634" s="31"/>
    </row>
    <row r="635" spans="2:3" ht="15.75" customHeight="1" x14ac:dyDescent="0.25">
      <c r="B635" s="31"/>
      <c r="C635" s="31"/>
    </row>
    <row r="636" spans="2:3" ht="15.75" customHeight="1" x14ac:dyDescent="0.25">
      <c r="B636" s="31"/>
      <c r="C636" s="31"/>
    </row>
    <row r="637" spans="2:3" ht="15.75" customHeight="1" x14ac:dyDescent="0.25">
      <c r="B637" s="31"/>
      <c r="C637" s="31"/>
    </row>
    <row r="638" spans="2:3" ht="15.75" customHeight="1" x14ac:dyDescent="0.25">
      <c r="B638" s="31"/>
      <c r="C638" s="31"/>
    </row>
    <row r="639" spans="2:3" ht="15.75" customHeight="1" x14ac:dyDescent="0.25">
      <c r="B639" s="31"/>
      <c r="C639" s="31"/>
    </row>
    <row r="640" spans="2:3" ht="15.75" customHeight="1" x14ac:dyDescent="0.25">
      <c r="B640" s="31"/>
      <c r="C640" s="31"/>
    </row>
    <row r="641" spans="2:3" ht="15.75" customHeight="1" x14ac:dyDescent="0.25">
      <c r="B641" s="31"/>
      <c r="C641" s="31"/>
    </row>
    <row r="642" spans="2:3" ht="15.75" customHeight="1" x14ac:dyDescent="0.25">
      <c r="B642" s="31"/>
      <c r="C642" s="31"/>
    </row>
    <row r="643" spans="2:3" ht="15.75" customHeight="1" x14ac:dyDescent="0.25">
      <c r="B643" s="31"/>
      <c r="C643" s="31"/>
    </row>
    <row r="644" spans="2:3" ht="15.75" customHeight="1" x14ac:dyDescent="0.25">
      <c r="B644" s="31"/>
      <c r="C644" s="31"/>
    </row>
    <row r="645" spans="2:3" ht="15.75" customHeight="1" x14ac:dyDescent="0.25">
      <c r="B645" s="31"/>
      <c r="C645" s="31"/>
    </row>
    <row r="646" spans="2:3" ht="15.75" customHeight="1" x14ac:dyDescent="0.25">
      <c r="B646" s="31"/>
      <c r="C646" s="31"/>
    </row>
    <row r="647" spans="2:3" ht="15.75" customHeight="1" x14ac:dyDescent="0.25">
      <c r="B647" s="31"/>
      <c r="C647" s="31"/>
    </row>
    <row r="648" spans="2:3" ht="15.75" customHeight="1" x14ac:dyDescent="0.25">
      <c r="B648" s="31"/>
      <c r="C648" s="31"/>
    </row>
    <row r="649" spans="2:3" ht="15.75" customHeight="1" x14ac:dyDescent="0.25">
      <c r="B649" s="31"/>
      <c r="C649" s="31"/>
    </row>
    <row r="650" spans="2:3" ht="15.75" customHeight="1" x14ac:dyDescent="0.25">
      <c r="B650" s="31"/>
      <c r="C650" s="31"/>
    </row>
    <row r="651" spans="2:3" ht="15.75" customHeight="1" x14ac:dyDescent="0.25">
      <c r="B651" s="31"/>
      <c r="C651" s="31"/>
    </row>
    <row r="652" spans="2:3" ht="15.75" customHeight="1" x14ac:dyDescent="0.25">
      <c r="B652" s="31"/>
      <c r="C652" s="31"/>
    </row>
    <row r="653" spans="2:3" ht="15.75" customHeight="1" x14ac:dyDescent="0.25">
      <c r="B653" s="31"/>
      <c r="C653" s="31"/>
    </row>
    <row r="654" spans="2:3" ht="15.75" customHeight="1" x14ac:dyDescent="0.25">
      <c r="B654" s="31"/>
      <c r="C654" s="31"/>
    </row>
    <row r="655" spans="2:3" ht="15.75" customHeight="1" x14ac:dyDescent="0.25">
      <c r="B655" s="31"/>
      <c r="C655" s="31"/>
    </row>
    <row r="656" spans="2:3" ht="15.75" customHeight="1" x14ac:dyDescent="0.25">
      <c r="B656" s="31"/>
      <c r="C656" s="31"/>
    </row>
    <row r="657" spans="2:3" ht="15.75" customHeight="1" x14ac:dyDescent="0.25">
      <c r="B657" s="31"/>
      <c r="C657" s="31"/>
    </row>
    <row r="658" spans="2:3" ht="15.75" customHeight="1" x14ac:dyDescent="0.25">
      <c r="B658" s="31"/>
      <c r="C658" s="31"/>
    </row>
    <row r="659" spans="2:3" ht="15.75" customHeight="1" x14ac:dyDescent="0.25">
      <c r="B659" s="31"/>
      <c r="C659" s="31"/>
    </row>
    <row r="660" spans="2:3" ht="15.75" customHeight="1" x14ac:dyDescent="0.25">
      <c r="B660" s="31"/>
      <c r="C660" s="31"/>
    </row>
    <row r="661" spans="2:3" ht="15.75" customHeight="1" x14ac:dyDescent="0.25">
      <c r="B661" s="31"/>
      <c r="C661" s="31"/>
    </row>
    <row r="662" spans="2:3" ht="15.75" customHeight="1" x14ac:dyDescent="0.25">
      <c r="B662" s="31"/>
      <c r="C662" s="31"/>
    </row>
    <row r="663" spans="2:3" ht="15.75" customHeight="1" x14ac:dyDescent="0.25">
      <c r="B663" s="31"/>
      <c r="C663" s="31"/>
    </row>
    <row r="664" spans="2:3" ht="15.75" customHeight="1" x14ac:dyDescent="0.25">
      <c r="B664" s="31"/>
      <c r="C664" s="31"/>
    </row>
    <row r="665" spans="2:3" ht="15.75" customHeight="1" x14ac:dyDescent="0.25">
      <c r="B665" s="31"/>
      <c r="C665" s="31"/>
    </row>
    <row r="666" spans="2:3" ht="15.75" customHeight="1" x14ac:dyDescent="0.25">
      <c r="B666" s="31"/>
      <c r="C666" s="31"/>
    </row>
    <row r="667" spans="2:3" ht="15.75" customHeight="1" x14ac:dyDescent="0.25">
      <c r="B667" s="31"/>
      <c r="C667" s="31"/>
    </row>
    <row r="668" spans="2:3" ht="15.75" customHeight="1" x14ac:dyDescent="0.25">
      <c r="B668" s="31"/>
      <c r="C668" s="31"/>
    </row>
    <row r="669" spans="2:3" ht="15.75" customHeight="1" x14ac:dyDescent="0.25">
      <c r="B669" s="31"/>
      <c r="C669" s="31"/>
    </row>
    <row r="670" spans="2:3" ht="15.75" customHeight="1" x14ac:dyDescent="0.25">
      <c r="B670" s="31"/>
      <c r="C670" s="31"/>
    </row>
    <row r="671" spans="2:3" ht="15.75" customHeight="1" x14ac:dyDescent="0.25">
      <c r="B671" s="31"/>
      <c r="C671" s="31"/>
    </row>
    <row r="672" spans="2:3" ht="15.75" customHeight="1" x14ac:dyDescent="0.25">
      <c r="B672" s="31"/>
      <c r="C672" s="31"/>
    </row>
    <row r="673" spans="2:3" ht="15.75" customHeight="1" x14ac:dyDescent="0.25">
      <c r="B673" s="31"/>
      <c r="C673" s="31"/>
    </row>
    <row r="674" spans="2:3" ht="15.75" customHeight="1" x14ac:dyDescent="0.25">
      <c r="B674" s="31"/>
      <c r="C674" s="31"/>
    </row>
    <row r="675" spans="2:3" ht="15.75" customHeight="1" x14ac:dyDescent="0.25">
      <c r="B675" s="31"/>
      <c r="C675" s="31"/>
    </row>
    <row r="676" spans="2:3" ht="15.75" customHeight="1" x14ac:dyDescent="0.25">
      <c r="B676" s="31"/>
      <c r="C676" s="31"/>
    </row>
    <row r="677" spans="2:3" ht="15.75" customHeight="1" x14ac:dyDescent="0.25">
      <c r="B677" s="31"/>
      <c r="C677" s="31"/>
    </row>
    <row r="678" spans="2:3" ht="15.75" customHeight="1" x14ac:dyDescent="0.25">
      <c r="B678" s="31"/>
      <c r="C678" s="31"/>
    </row>
    <row r="679" spans="2:3" ht="15.75" customHeight="1" x14ac:dyDescent="0.25">
      <c r="B679" s="31"/>
      <c r="C679" s="31"/>
    </row>
    <row r="680" spans="2:3" ht="15.75" customHeight="1" x14ac:dyDescent="0.25">
      <c r="B680" s="31"/>
      <c r="C680" s="31"/>
    </row>
    <row r="681" spans="2:3" ht="15.75" customHeight="1" x14ac:dyDescent="0.25">
      <c r="B681" s="31"/>
      <c r="C681" s="31"/>
    </row>
    <row r="682" spans="2:3" ht="15.75" customHeight="1" x14ac:dyDescent="0.25">
      <c r="B682" s="31"/>
      <c r="C682" s="31"/>
    </row>
    <row r="683" spans="2:3" ht="15.75" customHeight="1" x14ac:dyDescent="0.25">
      <c r="B683" s="31"/>
      <c r="C683" s="31"/>
    </row>
    <row r="684" spans="2:3" ht="15.75" customHeight="1" x14ac:dyDescent="0.25">
      <c r="B684" s="31"/>
      <c r="C684" s="31"/>
    </row>
    <row r="685" spans="2:3" ht="15.75" customHeight="1" x14ac:dyDescent="0.25">
      <c r="B685" s="31"/>
      <c r="C685" s="31"/>
    </row>
    <row r="686" spans="2:3" ht="15.75" customHeight="1" x14ac:dyDescent="0.25">
      <c r="B686" s="31"/>
      <c r="C686" s="31"/>
    </row>
    <row r="687" spans="2:3" ht="15.75" customHeight="1" x14ac:dyDescent="0.25">
      <c r="B687" s="31"/>
      <c r="C687" s="31"/>
    </row>
    <row r="688" spans="2:3" ht="15.75" customHeight="1" x14ac:dyDescent="0.25">
      <c r="B688" s="31"/>
      <c r="C688" s="31"/>
    </row>
    <row r="689" spans="2:3" ht="15.75" customHeight="1" x14ac:dyDescent="0.25">
      <c r="B689" s="31"/>
      <c r="C689" s="31"/>
    </row>
    <row r="690" spans="2:3" ht="15.75" customHeight="1" x14ac:dyDescent="0.25">
      <c r="B690" s="31"/>
      <c r="C690" s="31"/>
    </row>
    <row r="691" spans="2:3" ht="15.75" customHeight="1" x14ac:dyDescent="0.25">
      <c r="B691" s="31"/>
      <c r="C691" s="31"/>
    </row>
    <row r="692" spans="2:3" ht="15.75" customHeight="1" x14ac:dyDescent="0.25">
      <c r="B692" s="31"/>
      <c r="C692" s="31"/>
    </row>
    <row r="693" spans="2:3" ht="15.75" customHeight="1" x14ac:dyDescent="0.25">
      <c r="B693" s="31"/>
      <c r="C693" s="31"/>
    </row>
    <row r="694" spans="2:3" ht="15.75" customHeight="1" x14ac:dyDescent="0.25">
      <c r="B694" s="31"/>
      <c r="C694" s="31"/>
    </row>
    <row r="695" spans="2:3" ht="15.75" customHeight="1" x14ac:dyDescent="0.25">
      <c r="B695" s="31"/>
      <c r="C695" s="31"/>
    </row>
    <row r="696" spans="2:3" ht="15.75" customHeight="1" x14ac:dyDescent="0.25">
      <c r="B696" s="31"/>
      <c r="C696" s="31"/>
    </row>
    <row r="697" spans="2:3" ht="15.75" customHeight="1" x14ac:dyDescent="0.25">
      <c r="B697" s="31"/>
      <c r="C697" s="31"/>
    </row>
    <row r="698" spans="2:3" ht="15.75" customHeight="1" x14ac:dyDescent="0.25">
      <c r="B698" s="31"/>
      <c r="C698" s="31"/>
    </row>
    <row r="699" spans="2:3" ht="15.75" customHeight="1" x14ac:dyDescent="0.25">
      <c r="B699" s="31"/>
      <c r="C699" s="31"/>
    </row>
    <row r="700" spans="2:3" ht="15.75" customHeight="1" x14ac:dyDescent="0.25">
      <c r="B700" s="31"/>
      <c r="C700" s="31"/>
    </row>
    <row r="701" spans="2:3" ht="15.75" customHeight="1" x14ac:dyDescent="0.25">
      <c r="B701" s="31"/>
      <c r="C701" s="31"/>
    </row>
    <row r="702" spans="2:3" ht="15.75" customHeight="1" x14ac:dyDescent="0.25">
      <c r="B702" s="31"/>
      <c r="C702" s="31"/>
    </row>
    <row r="703" spans="2:3" ht="15.75" customHeight="1" x14ac:dyDescent="0.25">
      <c r="B703" s="31"/>
      <c r="C703" s="31"/>
    </row>
    <row r="704" spans="2:3" ht="15.75" customHeight="1" x14ac:dyDescent="0.25">
      <c r="B704" s="31"/>
      <c r="C704" s="31"/>
    </row>
    <row r="705" spans="2:3" ht="15.75" customHeight="1" x14ac:dyDescent="0.25">
      <c r="B705" s="31"/>
      <c r="C705" s="31"/>
    </row>
    <row r="706" spans="2:3" ht="15.75" customHeight="1" x14ac:dyDescent="0.25">
      <c r="B706" s="31"/>
      <c r="C706" s="31"/>
    </row>
    <row r="707" spans="2:3" ht="15.75" customHeight="1" x14ac:dyDescent="0.25">
      <c r="B707" s="31"/>
      <c r="C707" s="31"/>
    </row>
    <row r="708" spans="2:3" ht="15.75" customHeight="1" x14ac:dyDescent="0.25">
      <c r="B708" s="31"/>
      <c r="C708" s="31"/>
    </row>
    <row r="709" spans="2:3" ht="15.75" customHeight="1" x14ac:dyDescent="0.25">
      <c r="B709" s="31"/>
      <c r="C709" s="31"/>
    </row>
    <row r="710" spans="2:3" ht="15.75" customHeight="1" x14ac:dyDescent="0.25">
      <c r="B710" s="31"/>
      <c r="C710" s="31"/>
    </row>
    <row r="711" spans="2:3" ht="15.75" customHeight="1" x14ac:dyDescent="0.25">
      <c r="B711" s="31"/>
      <c r="C711" s="31"/>
    </row>
    <row r="712" spans="2:3" ht="15.75" customHeight="1" x14ac:dyDescent="0.25">
      <c r="B712" s="31"/>
      <c r="C712" s="31"/>
    </row>
    <row r="713" spans="2:3" ht="15.75" customHeight="1" x14ac:dyDescent="0.25">
      <c r="B713" s="31"/>
      <c r="C713" s="31"/>
    </row>
    <row r="714" spans="2:3" ht="15.75" customHeight="1" x14ac:dyDescent="0.25">
      <c r="B714" s="31"/>
      <c r="C714" s="31"/>
    </row>
    <row r="715" spans="2:3" ht="15.75" customHeight="1" x14ac:dyDescent="0.25">
      <c r="B715" s="31"/>
      <c r="C715" s="31"/>
    </row>
    <row r="716" spans="2:3" ht="15.75" customHeight="1" x14ac:dyDescent="0.25">
      <c r="B716" s="31"/>
      <c r="C716" s="31"/>
    </row>
    <row r="717" spans="2:3" ht="15.75" customHeight="1" x14ac:dyDescent="0.25">
      <c r="B717" s="31"/>
      <c r="C717" s="31"/>
    </row>
    <row r="718" spans="2:3" ht="15.75" customHeight="1" x14ac:dyDescent="0.25">
      <c r="B718" s="31"/>
      <c r="C718" s="31"/>
    </row>
    <row r="719" spans="2:3" ht="15.75" customHeight="1" x14ac:dyDescent="0.25">
      <c r="B719" s="31"/>
      <c r="C719" s="31"/>
    </row>
    <row r="720" spans="2:3" ht="15.75" customHeight="1" x14ac:dyDescent="0.25">
      <c r="B720" s="31"/>
      <c r="C720" s="31"/>
    </row>
    <row r="721" spans="2:3" ht="15.75" customHeight="1" x14ac:dyDescent="0.25">
      <c r="B721" s="31"/>
      <c r="C721" s="31"/>
    </row>
    <row r="722" spans="2:3" ht="15.75" customHeight="1" x14ac:dyDescent="0.25">
      <c r="B722" s="31"/>
      <c r="C722" s="31"/>
    </row>
    <row r="723" spans="2:3" ht="15.75" customHeight="1" x14ac:dyDescent="0.25">
      <c r="B723" s="31"/>
      <c r="C723" s="31"/>
    </row>
    <row r="724" spans="2:3" ht="15.75" customHeight="1" x14ac:dyDescent="0.25">
      <c r="B724" s="31"/>
      <c r="C724" s="31"/>
    </row>
    <row r="725" spans="2:3" ht="15.75" customHeight="1" x14ac:dyDescent="0.25">
      <c r="B725" s="31"/>
      <c r="C725" s="31"/>
    </row>
    <row r="726" spans="2:3" ht="15.75" customHeight="1" x14ac:dyDescent="0.25">
      <c r="B726" s="31"/>
      <c r="C726" s="31"/>
    </row>
    <row r="727" spans="2:3" ht="15.75" customHeight="1" x14ac:dyDescent="0.25">
      <c r="B727" s="31"/>
      <c r="C727" s="31"/>
    </row>
    <row r="728" spans="2:3" ht="15.75" customHeight="1" x14ac:dyDescent="0.25">
      <c r="B728" s="31"/>
      <c r="C728" s="31"/>
    </row>
    <row r="729" spans="2:3" ht="15.75" customHeight="1" x14ac:dyDescent="0.25">
      <c r="B729" s="31"/>
      <c r="C729" s="31"/>
    </row>
    <row r="730" spans="2:3" ht="15.75" customHeight="1" x14ac:dyDescent="0.25">
      <c r="B730" s="31"/>
      <c r="C730" s="31"/>
    </row>
    <row r="731" spans="2:3" ht="15.75" customHeight="1" x14ac:dyDescent="0.25">
      <c r="B731" s="31"/>
      <c r="C731" s="31"/>
    </row>
    <row r="732" spans="2:3" ht="15.75" customHeight="1" x14ac:dyDescent="0.25">
      <c r="B732" s="31"/>
      <c r="C732" s="31"/>
    </row>
    <row r="733" spans="2:3" ht="15.75" customHeight="1" x14ac:dyDescent="0.25">
      <c r="B733" s="31"/>
      <c r="C733" s="31"/>
    </row>
    <row r="734" spans="2:3" ht="15.75" customHeight="1" x14ac:dyDescent="0.25">
      <c r="B734" s="31"/>
      <c r="C734" s="31"/>
    </row>
    <row r="735" spans="2:3" ht="15.75" customHeight="1" x14ac:dyDescent="0.25">
      <c r="B735" s="31"/>
      <c r="C735" s="31"/>
    </row>
    <row r="736" spans="2:3" ht="15.75" customHeight="1" x14ac:dyDescent="0.25">
      <c r="B736" s="31"/>
      <c r="C736" s="31"/>
    </row>
    <row r="737" spans="2:3" ht="15.75" customHeight="1" x14ac:dyDescent="0.25">
      <c r="B737" s="31"/>
      <c r="C737" s="31"/>
    </row>
    <row r="738" spans="2:3" ht="15.75" customHeight="1" x14ac:dyDescent="0.25">
      <c r="B738" s="31"/>
      <c r="C738" s="31"/>
    </row>
    <row r="739" spans="2:3" ht="15.75" customHeight="1" x14ac:dyDescent="0.25">
      <c r="B739" s="31"/>
      <c r="C739" s="31"/>
    </row>
    <row r="740" spans="2:3" ht="15.75" customHeight="1" x14ac:dyDescent="0.25">
      <c r="B740" s="31"/>
      <c r="C740" s="31"/>
    </row>
    <row r="741" spans="2:3" ht="15.75" customHeight="1" x14ac:dyDescent="0.25">
      <c r="B741" s="31"/>
      <c r="C741" s="31"/>
    </row>
    <row r="742" spans="2:3" ht="15.75" customHeight="1" x14ac:dyDescent="0.25">
      <c r="B742" s="31"/>
      <c r="C742" s="31"/>
    </row>
    <row r="743" spans="2:3" ht="15.75" customHeight="1" x14ac:dyDescent="0.25">
      <c r="B743" s="31"/>
      <c r="C743" s="31"/>
    </row>
    <row r="744" spans="2:3" ht="15.75" customHeight="1" x14ac:dyDescent="0.25">
      <c r="B744" s="31"/>
      <c r="C744" s="31"/>
    </row>
    <row r="745" spans="2:3" ht="15.75" customHeight="1" x14ac:dyDescent="0.25">
      <c r="B745" s="31"/>
      <c r="C745" s="31"/>
    </row>
    <row r="746" spans="2:3" ht="15.75" customHeight="1" x14ac:dyDescent="0.25">
      <c r="B746" s="31"/>
      <c r="C746" s="31"/>
    </row>
    <row r="747" spans="2:3" ht="15.75" customHeight="1" x14ac:dyDescent="0.25">
      <c r="B747" s="31"/>
      <c r="C747" s="31"/>
    </row>
    <row r="748" spans="2:3" ht="15.75" customHeight="1" x14ac:dyDescent="0.25">
      <c r="B748" s="31"/>
      <c r="C748" s="31"/>
    </row>
    <row r="749" spans="2:3" ht="15.75" customHeight="1" x14ac:dyDescent="0.25">
      <c r="B749" s="31"/>
      <c r="C749" s="31"/>
    </row>
    <row r="750" spans="2:3" ht="15.75" customHeight="1" x14ac:dyDescent="0.25">
      <c r="B750" s="31"/>
      <c r="C750" s="31"/>
    </row>
    <row r="751" spans="2:3" ht="15.75" customHeight="1" x14ac:dyDescent="0.25">
      <c r="B751" s="31"/>
      <c r="C751" s="31"/>
    </row>
    <row r="752" spans="2:3" ht="15.75" customHeight="1" x14ac:dyDescent="0.25">
      <c r="B752" s="31"/>
      <c r="C752" s="31"/>
    </row>
    <row r="753" spans="2:3" ht="15.75" customHeight="1" x14ac:dyDescent="0.25">
      <c r="B753" s="31"/>
      <c r="C753" s="31"/>
    </row>
    <row r="754" spans="2:3" ht="15.75" customHeight="1" x14ac:dyDescent="0.25">
      <c r="B754" s="31"/>
      <c r="C754" s="31"/>
    </row>
    <row r="755" spans="2:3" ht="15.75" customHeight="1" x14ac:dyDescent="0.25">
      <c r="B755" s="31"/>
      <c r="C755" s="31"/>
    </row>
    <row r="756" spans="2:3" ht="15.75" customHeight="1" x14ac:dyDescent="0.25">
      <c r="B756" s="31"/>
      <c r="C756" s="31"/>
    </row>
    <row r="757" spans="2:3" ht="15.75" customHeight="1" x14ac:dyDescent="0.25">
      <c r="B757" s="31"/>
      <c r="C757" s="31"/>
    </row>
    <row r="758" spans="2:3" ht="15.75" customHeight="1" x14ac:dyDescent="0.25">
      <c r="B758" s="31"/>
      <c r="C758" s="31"/>
    </row>
    <row r="759" spans="2:3" ht="15.75" customHeight="1" x14ac:dyDescent="0.25">
      <c r="B759" s="31"/>
      <c r="C759" s="31"/>
    </row>
    <row r="760" spans="2:3" ht="15.75" customHeight="1" x14ac:dyDescent="0.25">
      <c r="B760" s="31"/>
      <c r="C760" s="31"/>
    </row>
    <row r="761" spans="2:3" ht="15.75" customHeight="1" x14ac:dyDescent="0.25">
      <c r="B761" s="31"/>
      <c r="C761" s="31"/>
    </row>
    <row r="762" spans="2:3" ht="15.75" customHeight="1" x14ac:dyDescent="0.25">
      <c r="B762" s="31"/>
      <c r="C762" s="31"/>
    </row>
    <row r="763" spans="2:3" ht="15.75" customHeight="1" x14ac:dyDescent="0.25">
      <c r="B763" s="31"/>
      <c r="C763" s="31"/>
    </row>
    <row r="764" spans="2:3" ht="15.75" customHeight="1" x14ac:dyDescent="0.25">
      <c r="B764" s="31"/>
      <c r="C764" s="31"/>
    </row>
    <row r="765" spans="2:3" ht="15.75" customHeight="1" x14ac:dyDescent="0.25">
      <c r="B765" s="31"/>
      <c r="C765" s="31"/>
    </row>
    <row r="766" spans="2:3" ht="15.75" customHeight="1" x14ac:dyDescent="0.25">
      <c r="B766" s="31"/>
      <c r="C766" s="31"/>
    </row>
    <row r="767" spans="2:3" ht="15.75" customHeight="1" x14ac:dyDescent="0.25">
      <c r="B767" s="31"/>
      <c r="C767" s="31"/>
    </row>
    <row r="768" spans="2:3" ht="15.75" customHeight="1" x14ac:dyDescent="0.25">
      <c r="B768" s="31"/>
      <c r="C768" s="31"/>
    </row>
    <row r="769" spans="2:3" ht="15.75" customHeight="1" x14ac:dyDescent="0.25">
      <c r="B769" s="31"/>
      <c r="C769" s="31"/>
    </row>
    <row r="770" spans="2:3" ht="15.75" customHeight="1" x14ac:dyDescent="0.25">
      <c r="B770" s="31"/>
      <c r="C770" s="31"/>
    </row>
    <row r="771" spans="2:3" ht="15.75" customHeight="1" x14ac:dyDescent="0.25">
      <c r="B771" s="31"/>
      <c r="C771" s="31"/>
    </row>
    <row r="772" spans="2:3" ht="15.75" customHeight="1" x14ac:dyDescent="0.25">
      <c r="B772" s="31"/>
      <c r="C772" s="31"/>
    </row>
    <row r="773" spans="2:3" ht="15.75" customHeight="1" x14ac:dyDescent="0.25">
      <c r="B773" s="31"/>
      <c r="C773" s="31"/>
    </row>
    <row r="774" spans="2:3" ht="15.75" customHeight="1" x14ac:dyDescent="0.25">
      <c r="B774" s="31"/>
      <c r="C774" s="31"/>
    </row>
    <row r="775" spans="2:3" ht="15.75" customHeight="1" x14ac:dyDescent="0.25">
      <c r="B775" s="31"/>
      <c r="C775" s="31"/>
    </row>
    <row r="776" spans="2:3" ht="15.75" customHeight="1" x14ac:dyDescent="0.25">
      <c r="B776" s="31"/>
      <c r="C776" s="31"/>
    </row>
    <row r="777" spans="2:3" ht="15.75" customHeight="1" x14ac:dyDescent="0.25">
      <c r="B777" s="31"/>
      <c r="C777" s="31"/>
    </row>
    <row r="778" spans="2:3" ht="15.75" customHeight="1" x14ac:dyDescent="0.25">
      <c r="B778" s="31"/>
      <c r="C778" s="31"/>
    </row>
    <row r="779" spans="2:3" ht="15.75" customHeight="1" x14ac:dyDescent="0.25">
      <c r="B779" s="31"/>
      <c r="C779" s="31"/>
    </row>
    <row r="780" spans="2:3" ht="15.75" customHeight="1" x14ac:dyDescent="0.25">
      <c r="B780" s="31"/>
      <c r="C780" s="31"/>
    </row>
    <row r="781" spans="2:3" ht="15.75" customHeight="1" x14ac:dyDescent="0.25">
      <c r="B781" s="31"/>
      <c r="C781" s="31"/>
    </row>
    <row r="782" spans="2:3" ht="15.75" customHeight="1" x14ac:dyDescent="0.25">
      <c r="B782" s="31"/>
      <c r="C782" s="31"/>
    </row>
    <row r="783" spans="2:3" ht="15.75" customHeight="1" x14ac:dyDescent="0.25">
      <c r="B783" s="31"/>
      <c r="C783" s="31"/>
    </row>
    <row r="784" spans="2:3" ht="15.75" customHeight="1" x14ac:dyDescent="0.25">
      <c r="B784" s="31"/>
      <c r="C784" s="31"/>
    </row>
    <row r="785" spans="2:3" ht="15.75" customHeight="1" x14ac:dyDescent="0.25">
      <c r="B785" s="31"/>
      <c r="C785" s="31"/>
    </row>
    <row r="786" spans="2:3" ht="15.75" customHeight="1" x14ac:dyDescent="0.25">
      <c r="B786" s="31"/>
      <c r="C786" s="31"/>
    </row>
    <row r="787" spans="2:3" ht="15.75" customHeight="1" x14ac:dyDescent="0.25">
      <c r="B787" s="31"/>
      <c r="C787" s="31"/>
    </row>
    <row r="788" spans="2:3" ht="15.75" customHeight="1" x14ac:dyDescent="0.25">
      <c r="B788" s="31"/>
      <c r="C788" s="31"/>
    </row>
    <row r="789" spans="2:3" ht="15.75" customHeight="1" x14ac:dyDescent="0.25">
      <c r="B789" s="31"/>
      <c r="C789" s="31"/>
    </row>
    <row r="790" spans="2:3" ht="15.75" customHeight="1" x14ac:dyDescent="0.25">
      <c r="B790" s="31"/>
      <c r="C790" s="31"/>
    </row>
    <row r="791" spans="2:3" ht="15.75" customHeight="1" x14ac:dyDescent="0.25">
      <c r="B791" s="31"/>
      <c r="C791" s="31"/>
    </row>
    <row r="792" spans="2:3" ht="15.75" customHeight="1" x14ac:dyDescent="0.25">
      <c r="B792" s="31"/>
      <c r="C792" s="31"/>
    </row>
    <row r="793" spans="2:3" ht="15.75" customHeight="1" x14ac:dyDescent="0.25">
      <c r="B793" s="31"/>
      <c r="C793" s="31"/>
    </row>
    <row r="794" spans="2:3" ht="15.75" customHeight="1" x14ac:dyDescent="0.25">
      <c r="B794" s="31"/>
      <c r="C794" s="31"/>
    </row>
    <row r="795" spans="2:3" ht="15.75" customHeight="1" x14ac:dyDescent="0.25">
      <c r="B795" s="31"/>
      <c r="C795" s="31"/>
    </row>
    <row r="796" spans="2:3" ht="15.75" customHeight="1" x14ac:dyDescent="0.25">
      <c r="B796" s="31"/>
      <c r="C796" s="31"/>
    </row>
    <row r="797" spans="2:3" ht="15.75" customHeight="1" x14ac:dyDescent="0.25">
      <c r="B797" s="31"/>
      <c r="C797" s="31"/>
    </row>
    <row r="798" spans="2:3" ht="15.75" customHeight="1" x14ac:dyDescent="0.25">
      <c r="B798" s="31"/>
      <c r="C798" s="31"/>
    </row>
    <row r="799" spans="2:3" ht="15.75" customHeight="1" x14ac:dyDescent="0.25">
      <c r="B799" s="31"/>
      <c r="C799" s="31"/>
    </row>
    <row r="800" spans="2:3" ht="15.75" customHeight="1" x14ac:dyDescent="0.25">
      <c r="B800" s="31"/>
      <c r="C800" s="31"/>
    </row>
    <row r="801" spans="2:3" ht="15.75" customHeight="1" x14ac:dyDescent="0.25">
      <c r="B801" s="31"/>
      <c r="C801" s="31"/>
    </row>
    <row r="802" spans="2:3" ht="15.75" customHeight="1" x14ac:dyDescent="0.25">
      <c r="B802" s="31"/>
      <c r="C802" s="31"/>
    </row>
    <row r="803" spans="2:3" ht="15.75" customHeight="1" x14ac:dyDescent="0.25">
      <c r="B803" s="31"/>
      <c r="C803" s="31"/>
    </row>
    <row r="804" spans="2:3" ht="15.75" customHeight="1" x14ac:dyDescent="0.25">
      <c r="B804" s="31"/>
      <c r="C804" s="31"/>
    </row>
    <row r="805" spans="2:3" ht="15.75" customHeight="1" x14ac:dyDescent="0.25">
      <c r="B805" s="31"/>
      <c r="C805" s="31"/>
    </row>
    <row r="806" spans="2:3" ht="15.75" customHeight="1" x14ac:dyDescent="0.25">
      <c r="B806" s="31"/>
      <c r="C806" s="31"/>
    </row>
    <row r="807" spans="2:3" ht="15.75" customHeight="1" x14ac:dyDescent="0.25">
      <c r="B807" s="31"/>
      <c r="C807" s="31"/>
    </row>
    <row r="808" spans="2:3" ht="15.75" customHeight="1" x14ac:dyDescent="0.25">
      <c r="B808" s="31"/>
      <c r="C808" s="31"/>
    </row>
    <row r="809" spans="2:3" ht="15.75" customHeight="1" x14ac:dyDescent="0.25">
      <c r="B809" s="31"/>
      <c r="C809" s="31"/>
    </row>
    <row r="810" spans="2:3" ht="15.75" customHeight="1" x14ac:dyDescent="0.25">
      <c r="B810" s="31"/>
      <c r="C810" s="31"/>
    </row>
    <row r="811" spans="2:3" ht="15.75" customHeight="1" x14ac:dyDescent="0.25">
      <c r="B811" s="31"/>
      <c r="C811" s="31"/>
    </row>
    <row r="812" spans="2:3" ht="15.75" customHeight="1" x14ac:dyDescent="0.25">
      <c r="B812" s="31"/>
      <c r="C812" s="31"/>
    </row>
    <row r="813" spans="2:3" ht="15.75" customHeight="1" x14ac:dyDescent="0.25">
      <c r="B813" s="31"/>
      <c r="C813" s="31"/>
    </row>
    <row r="814" spans="2:3" ht="15.75" customHeight="1" x14ac:dyDescent="0.25">
      <c r="B814" s="31"/>
      <c r="C814" s="31"/>
    </row>
    <row r="815" spans="2:3" ht="15.75" customHeight="1" x14ac:dyDescent="0.25">
      <c r="B815" s="31"/>
      <c r="C815" s="31"/>
    </row>
    <row r="816" spans="2:3" ht="15.75" customHeight="1" x14ac:dyDescent="0.25">
      <c r="B816" s="31"/>
      <c r="C816" s="31"/>
    </row>
    <row r="817" spans="2:3" ht="15.75" customHeight="1" x14ac:dyDescent="0.25">
      <c r="B817" s="31"/>
      <c r="C817" s="31"/>
    </row>
    <row r="818" spans="2:3" ht="15.75" customHeight="1" x14ac:dyDescent="0.25">
      <c r="B818" s="31"/>
      <c r="C818" s="31"/>
    </row>
    <row r="819" spans="2:3" ht="15.75" customHeight="1" x14ac:dyDescent="0.25">
      <c r="B819" s="31"/>
      <c r="C819" s="31"/>
    </row>
    <row r="820" spans="2:3" ht="15.75" customHeight="1" x14ac:dyDescent="0.25">
      <c r="B820" s="31"/>
      <c r="C820" s="31"/>
    </row>
    <row r="821" spans="2:3" ht="15.75" customHeight="1" x14ac:dyDescent="0.25">
      <c r="B821" s="31"/>
      <c r="C821" s="31"/>
    </row>
    <row r="822" spans="2:3" ht="15.75" customHeight="1" x14ac:dyDescent="0.25">
      <c r="B822" s="31"/>
      <c r="C822" s="31"/>
    </row>
    <row r="823" spans="2:3" ht="15.75" customHeight="1" x14ac:dyDescent="0.25">
      <c r="B823" s="31"/>
      <c r="C823" s="31"/>
    </row>
    <row r="824" spans="2:3" ht="15.75" customHeight="1" x14ac:dyDescent="0.25">
      <c r="B824" s="31"/>
      <c r="C824" s="31"/>
    </row>
    <row r="825" spans="2:3" ht="15.75" customHeight="1" x14ac:dyDescent="0.25">
      <c r="B825" s="31"/>
      <c r="C825" s="31"/>
    </row>
    <row r="826" spans="2:3" ht="15.75" customHeight="1" x14ac:dyDescent="0.25">
      <c r="B826" s="31"/>
      <c r="C826" s="31"/>
    </row>
    <row r="827" spans="2:3" ht="15.75" customHeight="1" x14ac:dyDescent="0.25">
      <c r="B827" s="31"/>
      <c r="C827" s="31"/>
    </row>
    <row r="828" spans="2:3" ht="15.75" customHeight="1" x14ac:dyDescent="0.25">
      <c r="B828" s="31"/>
      <c r="C828" s="31"/>
    </row>
    <row r="829" spans="2:3" ht="15.75" customHeight="1" x14ac:dyDescent="0.25">
      <c r="B829" s="31"/>
      <c r="C829" s="31"/>
    </row>
    <row r="830" spans="2:3" ht="15.75" customHeight="1" x14ac:dyDescent="0.25">
      <c r="B830" s="31"/>
      <c r="C830" s="31"/>
    </row>
    <row r="831" spans="2:3" ht="15.75" customHeight="1" x14ac:dyDescent="0.25">
      <c r="B831" s="31"/>
      <c r="C831" s="31"/>
    </row>
    <row r="832" spans="2:3" ht="15.75" customHeight="1" x14ac:dyDescent="0.25">
      <c r="B832" s="31"/>
      <c r="C832" s="31"/>
    </row>
    <row r="833" spans="2:3" ht="15.75" customHeight="1" x14ac:dyDescent="0.25">
      <c r="B833" s="31"/>
      <c r="C833" s="31"/>
    </row>
    <row r="834" spans="2:3" ht="15.75" customHeight="1" x14ac:dyDescent="0.25">
      <c r="B834" s="31"/>
      <c r="C834" s="31"/>
    </row>
    <row r="835" spans="2:3" ht="15.75" customHeight="1" x14ac:dyDescent="0.25">
      <c r="B835" s="31"/>
      <c r="C835" s="31"/>
    </row>
    <row r="836" spans="2:3" ht="15.75" customHeight="1" x14ac:dyDescent="0.25">
      <c r="B836" s="31"/>
      <c r="C836" s="31"/>
    </row>
    <row r="837" spans="2:3" ht="15.75" customHeight="1" x14ac:dyDescent="0.25">
      <c r="B837" s="31"/>
      <c r="C837" s="31"/>
    </row>
    <row r="838" spans="2:3" ht="15.75" customHeight="1" x14ac:dyDescent="0.25">
      <c r="B838" s="31"/>
      <c r="C838" s="31"/>
    </row>
    <row r="839" spans="2:3" ht="15.75" customHeight="1" x14ac:dyDescent="0.25">
      <c r="B839" s="31"/>
      <c r="C839" s="31"/>
    </row>
    <row r="840" spans="2:3" ht="15.75" customHeight="1" x14ac:dyDescent="0.25">
      <c r="B840" s="31"/>
      <c r="C840" s="31"/>
    </row>
    <row r="841" spans="2:3" ht="15.75" customHeight="1" x14ac:dyDescent="0.25">
      <c r="B841" s="31"/>
      <c r="C841" s="31"/>
    </row>
    <row r="842" spans="2:3" ht="15.75" customHeight="1" x14ac:dyDescent="0.25">
      <c r="B842" s="31"/>
      <c r="C842" s="31"/>
    </row>
    <row r="843" spans="2:3" ht="15.75" customHeight="1" x14ac:dyDescent="0.25">
      <c r="B843" s="31"/>
      <c r="C843" s="31"/>
    </row>
    <row r="844" spans="2:3" ht="15.75" customHeight="1" x14ac:dyDescent="0.25">
      <c r="B844" s="31"/>
      <c r="C844" s="31"/>
    </row>
    <row r="845" spans="2:3" ht="15.75" customHeight="1" x14ac:dyDescent="0.25">
      <c r="B845" s="31"/>
      <c r="C845" s="31"/>
    </row>
    <row r="846" spans="2:3" ht="15.75" customHeight="1" x14ac:dyDescent="0.25">
      <c r="B846" s="31"/>
      <c r="C846" s="31"/>
    </row>
    <row r="847" spans="2:3" ht="15.75" customHeight="1" x14ac:dyDescent="0.25">
      <c r="B847" s="31"/>
      <c r="C847" s="31"/>
    </row>
    <row r="848" spans="2:3" ht="15.75" customHeight="1" x14ac:dyDescent="0.25">
      <c r="B848" s="31"/>
      <c r="C848" s="31"/>
    </row>
    <row r="849" spans="2:3" ht="15.75" customHeight="1" x14ac:dyDescent="0.25">
      <c r="B849" s="31"/>
      <c r="C849" s="31"/>
    </row>
    <row r="850" spans="2:3" ht="15.75" customHeight="1" x14ac:dyDescent="0.25">
      <c r="B850" s="31"/>
      <c r="C850" s="31"/>
    </row>
    <row r="851" spans="2:3" ht="15.75" customHeight="1" x14ac:dyDescent="0.25">
      <c r="B851" s="31"/>
      <c r="C851" s="31"/>
    </row>
    <row r="852" spans="2:3" ht="15.75" customHeight="1" x14ac:dyDescent="0.25">
      <c r="B852" s="31"/>
      <c r="C852" s="31"/>
    </row>
    <row r="853" spans="2:3" ht="15.75" customHeight="1" x14ac:dyDescent="0.25">
      <c r="B853" s="31"/>
      <c r="C853" s="31"/>
    </row>
    <row r="854" spans="2:3" ht="15.75" customHeight="1" x14ac:dyDescent="0.25">
      <c r="B854" s="31"/>
      <c r="C854" s="31"/>
    </row>
    <row r="855" spans="2:3" ht="15.75" customHeight="1" x14ac:dyDescent="0.25">
      <c r="B855" s="31"/>
      <c r="C855" s="31"/>
    </row>
    <row r="856" spans="2:3" ht="15.75" customHeight="1" x14ac:dyDescent="0.25">
      <c r="B856" s="31"/>
      <c r="C856" s="31"/>
    </row>
    <row r="857" spans="2:3" ht="15.75" customHeight="1" x14ac:dyDescent="0.25">
      <c r="B857" s="31"/>
      <c r="C857" s="31"/>
    </row>
    <row r="858" spans="2:3" ht="15.75" customHeight="1" x14ac:dyDescent="0.25">
      <c r="B858" s="31"/>
      <c r="C858" s="31"/>
    </row>
    <row r="859" spans="2:3" ht="15.75" customHeight="1" x14ac:dyDescent="0.25">
      <c r="B859" s="31"/>
      <c r="C859" s="31"/>
    </row>
    <row r="860" spans="2:3" ht="15.75" customHeight="1" x14ac:dyDescent="0.25">
      <c r="B860" s="31"/>
      <c r="C860" s="31"/>
    </row>
    <row r="861" spans="2:3" ht="15.75" customHeight="1" x14ac:dyDescent="0.25">
      <c r="B861" s="31"/>
      <c r="C861" s="31"/>
    </row>
    <row r="862" spans="2:3" ht="15.75" customHeight="1" x14ac:dyDescent="0.25">
      <c r="B862" s="31"/>
      <c r="C862" s="31"/>
    </row>
    <row r="863" spans="2:3" ht="15.75" customHeight="1" x14ac:dyDescent="0.25">
      <c r="B863" s="31"/>
      <c r="C863" s="31"/>
    </row>
    <row r="864" spans="2:3" ht="15.75" customHeight="1" x14ac:dyDescent="0.25">
      <c r="B864" s="31"/>
      <c r="C864" s="31"/>
    </row>
    <row r="865" spans="2:3" ht="15.75" customHeight="1" x14ac:dyDescent="0.25">
      <c r="B865" s="31"/>
      <c r="C865" s="31"/>
    </row>
    <row r="866" spans="2:3" ht="15.75" customHeight="1" x14ac:dyDescent="0.25">
      <c r="B866" s="31"/>
      <c r="C866" s="31"/>
    </row>
    <row r="867" spans="2:3" ht="15.75" customHeight="1" x14ac:dyDescent="0.25">
      <c r="B867" s="31"/>
      <c r="C867" s="31"/>
    </row>
    <row r="868" spans="2:3" ht="15.75" customHeight="1" x14ac:dyDescent="0.25">
      <c r="B868" s="31"/>
      <c r="C868" s="31"/>
    </row>
    <row r="869" spans="2:3" ht="15.75" customHeight="1" x14ac:dyDescent="0.25">
      <c r="B869" s="31"/>
      <c r="C869" s="31"/>
    </row>
    <row r="870" spans="2:3" ht="15.75" customHeight="1" x14ac:dyDescent="0.25">
      <c r="B870" s="31"/>
      <c r="C870" s="31"/>
    </row>
    <row r="871" spans="2:3" ht="15.75" customHeight="1" x14ac:dyDescent="0.25">
      <c r="B871" s="31"/>
      <c r="C871" s="31"/>
    </row>
    <row r="872" spans="2:3" ht="15.75" customHeight="1" x14ac:dyDescent="0.25">
      <c r="B872" s="31"/>
      <c r="C872" s="31"/>
    </row>
    <row r="873" spans="2:3" ht="15.75" customHeight="1" x14ac:dyDescent="0.25">
      <c r="B873" s="31"/>
      <c r="C873" s="31"/>
    </row>
    <row r="874" spans="2:3" ht="15.75" customHeight="1" x14ac:dyDescent="0.25">
      <c r="B874" s="31"/>
      <c r="C874" s="31"/>
    </row>
    <row r="875" spans="2:3" ht="15.75" customHeight="1" x14ac:dyDescent="0.25">
      <c r="B875" s="31"/>
      <c r="C875" s="31"/>
    </row>
    <row r="876" spans="2:3" ht="15.75" customHeight="1" x14ac:dyDescent="0.25">
      <c r="B876" s="31"/>
      <c r="C876" s="31"/>
    </row>
    <row r="877" spans="2:3" ht="15.75" customHeight="1" x14ac:dyDescent="0.25">
      <c r="B877" s="31"/>
      <c r="C877" s="31"/>
    </row>
    <row r="878" spans="2:3" ht="15.75" customHeight="1" x14ac:dyDescent="0.25">
      <c r="B878" s="31"/>
      <c r="C878" s="31"/>
    </row>
    <row r="879" spans="2:3" ht="15.75" customHeight="1" x14ac:dyDescent="0.25">
      <c r="B879" s="31"/>
      <c r="C879" s="31"/>
    </row>
    <row r="880" spans="2:3" ht="15.75" customHeight="1" x14ac:dyDescent="0.25">
      <c r="B880" s="31"/>
      <c r="C880" s="31"/>
    </row>
    <row r="881" spans="2:3" ht="15.75" customHeight="1" x14ac:dyDescent="0.25">
      <c r="B881" s="31"/>
      <c r="C881" s="31"/>
    </row>
    <row r="882" spans="2:3" ht="15.75" customHeight="1" x14ac:dyDescent="0.25">
      <c r="B882" s="31"/>
      <c r="C882" s="31"/>
    </row>
    <row r="883" spans="2:3" ht="15.75" customHeight="1" x14ac:dyDescent="0.25">
      <c r="B883" s="31"/>
      <c r="C883" s="31"/>
    </row>
    <row r="884" spans="2:3" ht="15.75" customHeight="1" x14ac:dyDescent="0.25">
      <c r="B884" s="31"/>
      <c r="C884" s="31"/>
    </row>
    <row r="885" spans="2:3" ht="15.75" customHeight="1" x14ac:dyDescent="0.25">
      <c r="B885" s="31"/>
      <c r="C885" s="31"/>
    </row>
    <row r="886" spans="2:3" ht="15.75" customHeight="1" x14ac:dyDescent="0.25">
      <c r="B886" s="31"/>
      <c r="C886" s="31"/>
    </row>
    <row r="887" spans="2:3" ht="15.75" customHeight="1" x14ac:dyDescent="0.25">
      <c r="B887" s="31"/>
      <c r="C887" s="31"/>
    </row>
    <row r="888" spans="2:3" ht="15.75" customHeight="1" x14ac:dyDescent="0.25">
      <c r="B888" s="31"/>
      <c r="C888" s="31"/>
    </row>
    <row r="889" spans="2:3" ht="15.75" customHeight="1" x14ac:dyDescent="0.25">
      <c r="B889" s="31"/>
      <c r="C889" s="31"/>
    </row>
    <row r="890" spans="2:3" ht="15.75" customHeight="1" x14ac:dyDescent="0.25">
      <c r="B890" s="31"/>
      <c r="C890" s="31"/>
    </row>
    <row r="891" spans="2:3" ht="15.75" customHeight="1" x14ac:dyDescent="0.25">
      <c r="B891" s="31"/>
      <c r="C891" s="31"/>
    </row>
    <row r="892" spans="2:3" ht="15.75" customHeight="1" x14ac:dyDescent="0.25">
      <c r="B892" s="31"/>
      <c r="C892" s="31"/>
    </row>
    <row r="893" spans="2:3" ht="15.75" customHeight="1" x14ac:dyDescent="0.25">
      <c r="B893" s="31"/>
      <c r="C893" s="31"/>
    </row>
    <row r="894" spans="2:3" ht="15.75" customHeight="1" x14ac:dyDescent="0.25">
      <c r="B894" s="31"/>
      <c r="C894" s="31"/>
    </row>
    <row r="895" spans="2:3" ht="15.75" customHeight="1" x14ac:dyDescent="0.25">
      <c r="B895" s="31"/>
      <c r="C895" s="31"/>
    </row>
    <row r="896" spans="2:3" ht="15.75" customHeight="1" x14ac:dyDescent="0.25">
      <c r="B896" s="31"/>
      <c r="C896" s="31"/>
    </row>
    <row r="897" spans="2:3" ht="15.75" customHeight="1" x14ac:dyDescent="0.25">
      <c r="B897" s="31"/>
      <c r="C897" s="31"/>
    </row>
    <row r="898" spans="2:3" ht="15.75" customHeight="1" x14ac:dyDescent="0.25">
      <c r="B898" s="31"/>
      <c r="C898" s="31"/>
    </row>
    <row r="899" spans="2:3" ht="15.75" customHeight="1" x14ac:dyDescent="0.25">
      <c r="B899" s="31"/>
      <c r="C899" s="31"/>
    </row>
    <row r="900" spans="2:3" ht="15.75" customHeight="1" x14ac:dyDescent="0.25">
      <c r="B900" s="31"/>
      <c r="C900" s="31"/>
    </row>
    <row r="901" spans="2:3" ht="15.75" customHeight="1" x14ac:dyDescent="0.25">
      <c r="B901" s="31"/>
      <c r="C901" s="31"/>
    </row>
    <row r="902" spans="2:3" ht="15.75" customHeight="1" x14ac:dyDescent="0.25">
      <c r="B902" s="31"/>
      <c r="C902" s="31"/>
    </row>
    <row r="903" spans="2:3" ht="15.75" customHeight="1" x14ac:dyDescent="0.25">
      <c r="B903" s="31"/>
      <c r="C903" s="31"/>
    </row>
    <row r="904" spans="2:3" ht="15.75" customHeight="1" x14ac:dyDescent="0.25">
      <c r="B904" s="31"/>
      <c r="C904" s="31"/>
    </row>
    <row r="905" spans="2:3" ht="15.75" customHeight="1" x14ac:dyDescent="0.25">
      <c r="B905" s="31"/>
      <c r="C905" s="31"/>
    </row>
    <row r="906" spans="2:3" ht="15.75" customHeight="1" x14ac:dyDescent="0.25">
      <c r="B906" s="31"/>
      <c r="C906" s="31"/>
    </row>
    <row r="907" spans="2:3" ht="15.75" customHeight="1" x14ac:dyDescent="0.25">
      <c r="B907" s="31"/>
      <c r="C907" s="31"/>
    </row>
    <row r="908" spans="2:3" ht="15.75" customHeight="1" x14ac:dyDescent="0.25">
      <c r="B908" s="31"/>
      <c r="C908" s="31"/>
    </row>
    <row r="909" spans="2:3" ht="15.75" customHeight="1" x14ac:dyDescent="0.25">
      <c r="B909" s="31"/>
      <c r="C909" s="31"/>
    </row>
    <row r="910" spans="2:3" ht="15.75" customHeight="1" x14ac:dyDescent="0.25">
      <c r="B910" s="31"/>
      <c r="C910" s="31"/>
    </row>
    <row r="911" spans="2:3" ht="15.75" customHeight="1" x14ac:dyDescent="0.25">
      <c r="B911" s="31"/>
      <c r="C911" s="31"/>
    </row>
    <row r="912" spans="2:3" ht="15.75" customHeight="1" x14ac:dyDescent="0.25">
      <c r="B912" s="31"/>
      <c r="C912" s="31"/>
    </row>
    <row r="913" spans="2:3" ht="15.75" customHeight="1" x14ac:dyDescent="0.25">
      <c r="B913" s="31"/>
      <c r="C913" s="31"/>
    </row>
    <row r="914" spans="2:3" ht="15.75" customHeight="1" x14ac:dyDescent="0.25">
      <c r="B914" s="31"/>
      <c r="C914" s="31"/>
    </row>
    <row r="915" spans="2:3" ht="15.75" customHeight="1" x14ac:dyDescent="0.25">
      <c r="B915" s="31"/>
      <c r="C915" s="31"/>
    </row>
    <row r="916" spans="2:3" ht="15.75" customHeight="1" x14ac:dyDescent="0.25">
      <c r="B916" s="31"/>
      <c r="C916" s="31"/>
    </row>
    <row r="917" spans="2:3" ht="15.75" customHeight="1" x14ac:dyDescent="0.25">
      <c r="B917" s="31"/>
      <c r="C917" s="31"/>
    </row>
    <row r="918" spans="2:3" ht="15.75" customHeight="1" x14ac:dyDescent="0.25">
      <c r="B918" s="31"/>
      <c r="C918" s="31"/>
    </row>
    <row r="919" spans="2:3" ht="15.75" customHeight="1" x14ac:dyDescent="0.25">
      <c r="B919" s="31"/>
      <c r="C919" s="31"/>
    </row>
    <row r="920" spans="2:3" ht="15.75" customHeight="1" x14ac:dyDescent="0.25">
      <c r="B920" s="31"/>
      <c r="C920" s="31"/>
    </row>
    <row r="921" spans="2:3" ht="15.75" customHeight="1" x14ac:dyDescent="0.25">
      <c r="B921" s="31"/>
      <c r="C921" s="31"/>
    </row>
    <row r="922" spans="2:3" ht="15.75" customHeight="1" x14ac:dyDescent="0.25">
      <c r="B922" s="31"/>
      <c r="C922" s="31"/>
    </row>
    <row r="923" spans="2:3" ht="15.75" customHeight="1" x14ac:dyDescent="0.25">
      <c r="B923" s="31"/>
      <c r="C923" s="31"/>
    </row>
    <row r="924" spans="2:3" ht="15.75" customHeight="1" x14ac:dyDescent="0.25">
      <c r="B924" s="31"/>
      <c r="C924" s="31"/>
    </row>
    <row r="925" spans="2:3" ht="15.75" customHeight="1" x14ac:dyDescent="0.25">
      <c r="B925" s="31"/>
      <c r="C925" s="31"/>
    </row>
    <row r="926" spans="2:3" ht="15.75" customHeight="1" x14ac:dyDescent="0.25">
      <c r="B926" s="31"/>
      <c r="C926" s="31"/>
    </row>
    <row r="927" spans="2:3" ht="15.75" customHeight="1" x14ac:dyDescent="0.25">
      <c r="B927" s="31"/>
      <c r="C927" s="31"/>
    </row>
    <row r="928" spans="2:3" ht="15.75" customHeight="1" x14ac:dyDescent="0.25">
      <c r="B928" s="31"/>
      <c r="C928" s="31"/>
    </row>
    <row r="929" spans="2:3" ht="15.75" customHeight="1" x14ac:dyDescent="0.25">
      <c r="B929" s="31"/>
      <c r="C929" s="31"/>
    </row>
    <row r="930" spans="2:3" ht="15.75" customHeight="1" x14ac:dyDescent="0.25">
      <c r="B930" s="31"/>
      <c r="C930" s="31"/>
    </row>
    <row r="931" spans="2:3" ht="15.75" customHeight="1" x14ac:dyDescent="0.25">
      <c r="B931" s="31"/>
      <c r="C931" s="31"/>
    </row>
    <row r="932" spans="2:3" ht="15.75" customHeight="1" x14ac:dyDescent="0.25">
      <c r="B932" s="31"/>
      <c r="C932" s="31"/>
    </row>
    <row r="933" spans="2:3" ht="15.75" customHeight="1" x14ac:dyDescent="0.25">
      <c r="B933" s="31"/>
      <c r="C933" s="31"/>
    </row>
    <row r="934" spans="2:3" ht="15.75" customHeight="1" x14ac:dyDescent="0.25">
      <c r="B934" s="31"/>
      <c r="C934" s="31"/>
    </row>
    <row r="935" spans="2:3" ht="15.75" customHeight="1" x14ac:dyDescent="0.25">
      <c r="B935" s="31"/>
      <c r="C935" s="31"/>
    </row>
    <row r="936" spans="2:3" ht="15.75" customHeight="1" x14ac:dyDescent="0.25">
      <c r="B936" s="31"/>
      <c r="C936" s="31"/>
    </row>
    <row r="937" spans="2:3" ht="15.75" customHeight="1" x14ac:dyDescent="0.25">
      <c r="B937" s="31"/>
      <c r="C937" s="31"/>
    </row>
    <row r="938" spans="2:3" ht="15.75" customHeight="1" x14ac:dyDescent="0.25">
      <c r="B938" s="31"/>
      <c r="C938" s="31"/>
    </row>
    <row r="939" spans="2:3" ht="15.75" customHeight="1" x14ac:dyDescent="0.25">
      <c r="B939" s="31"/>
      <c r="C939" s="31"/>
    </row>
    <row r="940" spans="2:3" ht="15.75" customHeight="1" x14ac:dyDescent="0.25">
      <c r="B940" s="31"/>
      <c r="C940" s="31"/>
    </row>
    <row r="941" spans="2:3" ht="15.75" customHeight="1" x14ac:dyDescent="0.25">
      <c r="B941" s="31"/>
      <c r="C941" s="31"/>
    </row>
    <row r="942" spans="2:3" ht="15.75" customHeight="1" x14ac:dyDescent="0.25">
      <c r="B942" s="31"/>
      <c r="C942" s="31"/>
    </row>
    <row r="943" spans="2:3" ht="15.75" customHeight="1" x14ac:dyDescent="0.25">
      <c r="B943" s="31"/>
      <c r="C943" s="31"/>
    </row>
    <row r="944" spans="2:3" ht="15.75" customHeight="1" x14ac:dyDescent="0.25">
      <c r="B944" s="31"/>
      <c r="C944" s="31"/>
    </row>
    <row r="945" spans="2:3" ht="15.75" customHeight="1" x14ac:dyDescent="0.25">
      <c r="B945" s="31"/>
      <c r="C945" s="31"/>
    </row>
    <row r="946" spans="2:3" ht="15.75" customHeight="1" x14ac:dyDescent="0.25">
      <c r="B946" s="31"/>
      <c r="C946" s="31"/>
    </row>
    <row r="947" spans="2:3" ht="15.75" customHeight="1" x14ac:dyDescent="0.25">
      <c r="B947" s="31"/>
      <c r="C947" s="31"/>
    </row>
    <row r="948" spans="2:3" ht="15.75" customHeight="1" x14ac:dyDescent="0.25">
      <c r="B948" s="31"/>
      <c r="C948" s="31"/>
    </row>
    <row r="949" spans="2:3" ht="15.75" customHeight="1" x14ac:dyDescent="0.25">
      <c r="B949" s="31"/>
      <c r="C949" s="31"/>
    </row>
    <row r="950" spans="2:3" ht="15.75" customHeight="1" x14ac:dyDescent="0.25">
      <c r="B950" s="31"/>
      <c r="C950" s="31"/>
    </row>
    <row r="951" spans="2:3" ht="15.75" customHeight="1" x14ac:dyDescent="0.25">
      <c r="B951" s="31"/>
      <c r="C951" s="31"/>
    </row>
    <row r="952" spans="2:3" ht="15.75" customHeight="1" x14ac:dyDescent="0.25">
      <c r="B952" s="31"/>
      <c r="C952" s="31"/>
    </row>
    <row r="953" spans="2:3" ht="15.75" customHeight="1" x14ac:dyDescent="0.25">
      <c r="B953" s="31"/>
      <c r="C953" s="31"/>
    </row>
    <row r="954" spans="2:3" ht="15.75" customHeight="1" x14ac:dyDescent="0.25">
      <c r="B954" s="31"/>
      <c r="C954" s="31"/>
    </row>
    <row r="955" spans="2:3" ht="15.75" customHeight="1" x14ac:dyDescent="0.25">
      <c r="B955" s="31"/>
      <c r="C955" s="31"/>
    </row>
    <row r="956" spans="2:3" ht="15.75" customHeight="1" x14ac:dyDescent="0.25">
      <c r="B956" s="31"/>
      <c r="C956" s="31"/>
    </row>
    <row r="957" spans="2:3" ht="15.75" customHeight="1" x14ac:dyDescent="0.25">
      <c r="B957" s="31"/>
      <c r="C957" s="31"/>
    </row>
    <row r="958" spans="2:3" ht="15.75" customHeight="1" x14ac:dyDescent="0.25">
      <c r="B958" s="31"/>
      <c r="C958" s="31"/>
    </row>
    <row r="959" spans="2:3" ht="15.75" customHeight="1" x14ac:dyDescent="0.25">
      <c r="B959" s="31"/>
      <c r="C959" s="31"/>
    </row>
    <row r="960" spans="2:3" ht="15.75" customHeight="1" x14ac:dyDescent="0.25">
      <c r="B960" s="31"/>
      <c r="C960" s="31"/>
    </row>
    <row r="961" spans="2:3" ht="15.75" customHeight="1" x14ac:dyDescent="0.25">
      <c r="B961" s="31"/>
      <c r="C961" s="31"/>
    </row>
    <row r="962" spans="2:3" ht="15.75" customHeight="1" x14ac:dyDescent="0.25">
      <c r="B962" s="31"/>
      <c r="C962" s="31"/>
    </row>
    <row r="963" spans="2:3" ht="15.75" customHeight="1" x14ac:dyDescent="0.25">
      <c r="B963" s="31"/>
      <c r="C963" s="31"/>
    </row>
    <row r="964" spans="2:3" ht="15.75" customHeight="1" x14ac:dyDescent="0.25">
      <c r="B964" s="31"/>
      <c r="C964" s="31"/>
    </row>
    <row r="965" spans="2:3" ht="15.75" customHeight="1" x14ac:dyDescent="0.25">
      <c r="B965" s="31"/>
      <c r="C965" s="31"/>
    </row>
    <row r="966" spans="2:3" ht="15.75" customHeight="1" x14ac:dyDescent="0.25">
      <c r="B966" s="31"/>
      <c r="C966" s="31"/>
    </row>
    <row r="967" spans="2:3" ht="15.75" customHeight="1" x14ac:dyDescent="0.25">
      <c r="B967" s="31"/>
      <c r="C967" s="31"/>
    </row>
    <row r="968" spans="2:3" ht="15.75" customHeight="1" x14ac:dyDescent="0.25">
      <c r="B968" s="31"/>
      <c r="C968" s="31"/>
    </row>
    <row r="969" spans="2:3" ht="15.75" customHeight="1" x14ac:dyDescent="0.25">
      <c r="B969" s="31"/>
      <c r="C969" s="31"/>
    </row>
    <row r="970" spans="2:3" ht="15.75" customHeight="1" x14ac:dyDescent="0.25">
      <c r="B970" s="31"/>
      <c r="C970" s="31"/>
    </row>
    <row r="971" spans="2:3" ht="15.75" customHeight="1" x14ac:dyDescent="0.25">
      <c r="B971" s="31"/>
      <c r="C971" s="31"/>
    </row>
    <row r="972" spans="2:3" ht="15.75" customHeight="1" x14ac:dyDescent="0.25">
      <c r="B972" s="31"/>
      <c r="C972" s="31"/>
    </row>
    <row r="973" spans="2:3" ht="15.75" customHeight="1" x14ac:dyDescent="0.25">
      <c r="B973" s="31"/>
      <c r="C973" s="31"/>
    </row>
    <row r="974" spans="2:3" ht="15.75" customHeight="1" x14ac:dyDescent="0.25">
      <c r="B974" s="31"/>
      <c r="C974" s="31"/>
    </row>
    <row r="975" spans="2:3" ht="15.75" customHeight="1" x14ac:dyDescent="0.25">
      <c r="B975" s="31"/>
      <c r="C975" s="31"/>
    </row>
    <row r="976" spans="2:3" ht="15.75" customHeight="1" x14ac:dyDescent="0.25">
      <c r="B976" s="31"/>
      <c r="C976" s="31"/>
    </row>
    <row r="977" spans="2:3" ht="15.75" customHeight="1" x14ac:dyDescent="0.25">
      <c r="B977" s="31"/>
      <c r="C977" s="31"/>
    </row>
    <row r="978" spans="2:3" ht="15.75" customHeight="1" x14ac:dyDescent="0.25">
      <c r="B978" s="31"/>
      <c r="C978" s="31"/>
    </row>
    <row r="979" spans="2:3" ht="15.75" customHeight="1" x14ac:dyDescent="0.25">
      <c r="B979" s="31"/>
      <c r="C979" s="31"/>
    </row>
    <row r="980" spans="2:3" ht="15.75" customHeight="1" x14ac:dyDescent="0.25">
      <c r="B980" s="31"/>
      <c r="C980" s="31"/>
    </row>
    <row r="981" spans="2:3" ht="15.75" customHeight="1" x14ac:dyDescent="0.25">
      <c r="B981" s="31"/>
      <c r="C981" s="31"/>
    </row>
    <row r="982" spans="2:3" ht="15.75" customHeight="1" x14ac:dyDescent="0.25">
      <c r="B982" s="31"/>
      <c r="C982" s="31"/>
    </row>
    <row r="983" spans="2:3" ht="15.75" customHeight="1" x14ac:dyDescent="0.25">
      <c r="B983" s="31"/>
      <c r="C983" s="31"/>
    </row>
    <row r="984" spans="2:3" ht="15.75" customHeight="1" x14ac:dyDescent="0.25">
      <c r="B984" s="31"/>
      <c r="C984" s="31"/>
    </row>
    <row r="985" spans="2:3" ht="15.75" customHeight="1" x14ac:dyDescent="0.25">
      <c r="B985" s="31"/>
      <c r="C985" s="31"/>
    </row>
    <row r="986" spans="2:3" ht="15.75" customHeight="1" x14ac:dyDescent="0.25">
      <c r="B986" s="31"/>
      <c r="C986" s="31"/>
    </row>
    <row r="987" spans="2:3" ht="15.75" customHeight="1" x14ac:dyDescent="0.25">
      <c r="B987" s="31"/>
      <c r="C987" s="31"/>
    </row>
    <row r="988" spans="2:3" ht="15.75" customHeight="1" x14ac:dyDescent="0.25">
      <c r="B988" s="31"/>
      <c r="C988" s="31"/>
    </row>
    <row r="989" spans="2:3" ht="15.75" customHeight="1" x14ac:dyDescent="0.25">
      <c r="B989" s="31"/>
      <c r="C989" s="31"/>
    </row>
    <row r="990" spans="2:3" ht="15.75" customHeight="1" x14ac:dyDescent="0.25">
      <c r="B990" s="31"/>
      <c r="C990" s="31"/>
    </row>
    <row r="991" spans="2:3" ht="15.75" customHeight="1" x14ac:dyDescent="0.25">
      <c r="B991" s="31"/>
      <c r="C991" s="31"/>
    </row>
    <row r="992" spans="2:3" ht="15.75" customHeight="1" x14ac:dyDescent="0.25">
      <c r="B992" s="31"/>
      <c r="C992" s="31"/>
    </row>
    <row r="993" spans="2:3" ht="15.75" customHeight="1" x14ac:dyDescent="0.25">
      <c r="B993" s="31"/>
      <c r="C993" s="31"/>
    </row>
    <row r="994" spans="2:3" ht="15.75" customHeight="1" x14ac:dyDescent="0.25">
      <c r="B994" s="31"/>
      <c r="C994" s="31"/>
    </row>
    <row r="995" spans="2:3" ht="15.75" customHeight="1" x14ac:dyDescent="0.25">
      <c r="B995" s="31"/>
      <c r="C995" s="31"/>
    </row>
    <row r="996" spans="2:3" ht="15.75" customHeight="1" x14ac:dyDescent="0.25">
      <c r="B996" s="31"/>
    </row>
    <row r="997" spans="2:3" ht="15.75" customHeight="1" x14ac:dyDescent="0.25">
      <c r="B997" s="31"/>
    </row>
    <row r="998" spans="2:3" ht="15.75" customHeight="1" x14ac:dyDescent="0.25">
      <c r="B998" s="31"/>
    </row>
    <row r="999" spans="2:3" ht="15.75" customHeight="1" x14ac:dyDescent="0.25">
      <c r="B999" s="31"/>
    </row>
    <row r="1000" spans="2:3" ht="15.75" customHeight="1" x14ac:dyDescent="0.25">
      <c r="B1000" s="31"/>
    </row>
  </sheetData>
  <autoFilter ref="A8:AE33" xr:uid="{00000000-0009-0000-0000-000001000000}"/>
  <mergeCells count="6">
    <mergeCell ref="AD7:AE7"/>
    <mergeCell ref="E2:E6"/>
    <mergeCell ref="C7:E7"/>
    <mergeCell ref="F7:J7"/>
    <mergeCell ref="K7:Q7"/>
    <mergeCell ref="S7:AB7"/>
  </mergeCells>
  <dataValidations count="3">
    <dataValidation type="list" allowBlank="1" sqref="C9:C33" xr:uid="{00000000-0002-0000-0100-000000000000}">
      <formula1>"PJ,CLT"</formula1>
    </dataValidation>
    <dataValidation type="list" allowBlank="1" sqref="C34:C995" xr:uid="{00000000-0002-0000-0100-000001000000}">
      <formula1>#REF!</formula1>
    </dataValidation>
    <dataValidation type="list" allowBlank="1" showErrorMessage="1" sqref="E9:E33" xr:uid="{00000000-0002-0000-0100-000003000000}">
      <formula1>"Sim,Não"</formula1>
    </dataValidation>
  </dataValidations>
  <pageMargins left="0.511811024" right="0.511811024" top="0.63726821165609882" bottom="0.78740157499999996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'Lista Profissionais'!$C$11:$C$214</xm:f>
          </x14:formula1>
          <xm:sqref>B9:B1000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B1:T1042"/>
  <sheetViews>
    <sheetView topLeftCell="A197" zoomScale="120" zoomScaleNormal="120" workbookViewId="0">
      <selection activeCell="C218" sqref="C218:C221"/>
    </sheetView>
  </sheetViews>
  <sheetFormatPr defaultColWidth="14.42578125" defaultRowHeight="15" customHeight="1" x14ac:dyDescent="0.25"/>
  <cols>
    <col min="1" max="1" width="8.7109375" customWidth="1"/>
    <col min="2" max="2" width="42.85546875" bestFit="1" customWidth="1"/>
    <col min="3" max="3" width="54.7109375" customWidth="1"/>
    <col min="4" max="4" width="13.7109375" customWidth="1"/>
    <col min="5" max="5" width="16" customWidth="1"/>
    <col min="6" max="6" width="16" bestFit="1" customWidth="1"/>
    <col min="7" max="7" width="15.42578125" customWidth="1"/>
    <col min="8" max="8" width="13.7109375" customWidth="1"/>
    <col min="9" max="9" width="12.28515625" hidden="1" customWidth="1"/>
    <col min="10" max="10" width="11.28515625" hidden="1" customWidth="1"/>
    <col min="11" max="11" width="12.42578125" hidden="1" customWidth="1"/>
    <col min="12" max="12" width="9.85546875" style="136" hidden="1" customWidth="1"/>
    <col min="13" max="13" width="10.28515625" hidden="1" customWidth="1"/>
    <col min="14" max="14" width="10.28515625" customWidth="1"/>
    <col min="15" max="15" width="11.5703125" customWidth="1"/>
    <col min="16" max="16" width="13.42578125" hidden="1" customWidth="1"/>
    <col min="17" max="17" width="12.85546875" customWidth="1"/>
    <col min="18" max="18" width="14.5703125" customWidth="1"/>
    <col min="19" max="19" width="12.140625" hidden="1" customWidth="1"/>
    <col min="20" max="20" width="11.85546875" hidden="1" customWidth="1"/>
    <col min="21" max="29" width="8.7109375" customWidth="1"/>
  </cols>
  <sheetData>
    <row r="1" spans="2:20" ht="15" customHeight="1" x14ac:dyDescent="0.25">
      <c r="B1" s="271" t="s">
        <v>97</v>
      </c>
      <c r="C1" s="272"/>
      <c r="D1" s="272"/>
      <c r="E1" s="272"/>
      <c r="F1" s="272"/>
      <c r="G1" s="272"/>
      <c r="H1" s="272"/>
      <c r="I1" s="111"/>
      <c r="J1" s="111"/>
      <c r="K1" s="111"/>
      <c r="L1" s="130"/>
      <c r="M1" s="111"/>
      <c r="N1" s="111"/>
      <c r="O1" s="111"/>
    </row>
    <row r="2" spans="2:20" ht="14.25" customHeight="1" x14ac:dyDescent="0.25">
      <c r="B2" s="273"/>
      <c r="C2" s="273"/>
      <c r="D2" s="273"/>
      <c r="E2" s="273"/>
      <c r="F2" s="273"/>
      <c r="G2" s="273"/>
      <c r="H2" s="273"/>
      <c r="I2" s="111"/>
      <c r="J2" s="111"/>
      <c r="K2" s="111"/>
      <c r="L2" s="130"/>
      <c r="M2" s="111"/>
      <c r="N2" s="111"/>
      <c r="O2" s="111"/>
    </row>
    <row r="3" spans="2:20" ht="14.25" customHeight="1" x14ac:dyDescent="0.25">
      <c r="B3" s="274" t="s">
        <v>98</v>
      </c>
      <c r="C3" s="120"/>
      <c r="D3" s="109" t="s">
        <v>99</v>
      </c>
      <c r="E3" s="110">
        <v>0.3</v>
      </c>
      <c r="F3" s="216"/>
      <c r="G3" s="216"/>
      <c r="H3" s="276"/>
      <c r="I3" s="112"/>
      <c r="J3" s="112"/>
      <c r="K3" s="112"/>
      <c r="L3" s="131"/>
      <c r="M3" s="112"/>
      <c r="N3" s="112"/>
      <c r="O3" s="112"/>
    </row>
    <row r="4" spans="2:20" ht="14.25" customHeight="1" x14ac:dyDescent="0.25">
      <c r="B4" s="275"/>
      <c r="C4" s="119"/>
      <c r="D4" s="109" t="s">
        <v>100</v>
      </c>
      <c r="E4" s="110">
        <v>0.3</v>
      </c>
      <c r="F4" s="217"/>
      <c r="G4" s="217"/>
      <c r="H4" s="277"/>
      <c r="I4" s="112"/>
      <c r="J4" s="112"/>
      <c r="K4" s="112"/>
      <c r="L4" s="131"/>
      <c r="M4" s="112"/>
      <c r="N4" s="112"/>
      <c r="O4" s="112"/>
      <c r="Q4" s="140"/>
    </row>
    <row r="5" spans="2:20" ht="14.25" customHeight="1" x14ac:dyDescent="0.25">
      <c r="B5" s="275"/>
      <c r="C5" s="119"/>
      <c r="D5" s="109" t="s">
        <v>101</v>
      </c>
      <c r="E5" s="110">
        <v>0.3</v>
      </c>
      <c r="F5" s="217"/>
      <c r="G5" s="217"/>
      <c r="H5" s="277"/>
      <c r="I5" s="112"/>
      <c r="J5" s="112"/>
      <c r="K5" s="112"/>
      <c r="L5" s="138" t="s">
        <v>138</v>
      </c>
      <c r="M5" s="139">
        <f ca="1">COUNTIF(M11:M526,"Alta")</f>
        <v>0</v>
      </c>
      <c r="N5" s="210"/>
      <c r="O5" s="112"/>
    </row>
    <row r="6" spans="2:20" ht="14.25" customHeight="1" x14ac:dyDescent="0.25">
      <c r="B6" s="121"/>
      <c r="C6" s="119"/>
      <c r="D6" s="109" t="s">
        <v>102</v>
      </c>
      <c r="E6" s="110">
        <v>0.3</v>
      </c>
      <c r="F6" s="217"/>
      <c r="G6" s="217"/>
      <c r="H6" s="277"/>
      <c r="I6" s="112"/>
      <c r="J6" s="112"/>
      <c r="K6" s="112"/>
      <c r="L6" s="138" t="s">
        <v>139</v>
      </c>
      <c r="M6" s="139">
        <f ca="1">COUNTIF(M11:M526,"Média")</f>
        <v>0</v>
      </c>
      <c r="N6" s="210"/>
      <c r="O6" s="112"/>
    </row>
    <row r="7" spans="2:20" ht="14.25" customHeight="1" x14ac:dyDescent="0.25">
      <c r="B7" s="113" t="s">
        <v>123</v>
      </c>
      <c r="C7" s="125" t="s">
        <v>122</v>
      </c>
      <c r="D7" s="109" t="s">
        <v>103</v>
      </c>
      <c r="E7" s="110">
        <v>0.3</v>
      </c>
      <c r="F7" s="217"/>
      <c r="G7" s="217"/>
      <c r="H7" s="277"/>
      <c r="I7" s="112"/>
      <c r="J7" s="112"/>
      <c r="K7" s="112"/>
      <c r="L7" s="138" t="s">
        <v>140</v>
      </c>
      <c r="M7" s="139">
        <f ca="1">COUNTIF(M11:M526,"Baixa")</f>
        <v>0</v>
      </c>
      <c r="N7" s="210"/>
      <c r="O7" s="112"/>
    </row>
    <row r="8" spans="2:20" ht="14.25" customHeight="1" x14ac:dyDescent="0.25">
      <c r="B8" s="122"/>
      <c r="C8" s="119"/>
      <c r="D8" s="109" t="s">
        <v>104</v>
      </c>
      <c r="E8" s="110">
        <v>0.3</v>
      </c>
      <c r="F8" s="217"/>
      <c r="G8" s="217"/>
      <c r="H8" s="277"/>
      <c r="I8" s="112"/>
      <c r="J8" s="112"/>
      <c r="K8" s="112"/>
      <c r="L8" s="131"/>
      <c r="M8" s="112"/>
      <c r="N8" s="112"/>
      <c r="O8" s="112"/>
    </row>
    <row r="9" spans="2:20" ht="14.25" customHeight="1" x14ac:dyDescent="0.25">
      <c r="B9" s="123"/>
      <c r="C9" s="124"/>
      <c r="D9" s="109" t="s">
        <v>105</v>
      </c>
      <c r="E9" s="110">
        <v>0.3</v>
      </c>
      <c r="F9" s="218"/>
      <c r="G9" s="220">
        <v>0.2</v>
      </c>
      <c r="H9" s="278"/>
      <c r="I9" s="269" t="s">
        <v>131</v>
      </c>
      <c r="J9" s="270"/>
      <c r="K9" s="270"/>
      <c r="L9" s="132" t="s">
        <v>134</v>
      </c>
      <c r="M9" s="126"/>
      <c r="N9" s="126"/>
      <c r="O9" s="115" t="s">
        <v>133</v>
      </c>
      <c r="P9" s="279" t="s">
        <v>130</v>
      </c>
      <c r="Q9" s="279"/>
      <c r="R9" s="279"/>
      <c r="S9" s="279"/>
      <c r="T9" s="279"/>
    </row>
    <row r="10" spans="2:20" ht="14.25" customHeight="1" x14ac:dyDescent="0.25">
      <c r="B10" s="127" t="s">
        <v>106</v>
      </c>
      <c r="C10" s="127" t="s">
        <v>107</v>
      </c>
      <c r="D10" s="127" t="s">
        <v>108</v>
      </c>
      <c r="E10" s="128" t="s">
        <v>109</v>
      </c>
      <c r="F10" s="128" t="s">
        <v>347</v>
      </c>
      <c r="G10" s="228" t="s">
        <v>348</v>
      </c>
      <c r="H10" s="128" t="s">
        <v>73</v>
      </c>
      <c r="I10" s="116" t="s">
        <v>124</v>
      </c>
      <c r="J10" s="116" t="s">
        <v>125</v>
      </c>
      <c r="K10" s="116" t="s">
        <v>126</v>
      </c>
      <c r="L10" s="133" t="s">
        <v>135</v>
      </c>
      <c r="M10" s="116" t="s">
        <v>132</v>
      </c>
      <c r="N10" s="211" t="s">
        <v>214</v>
      </c>
      <c r="O10" s="115" t="s">
        <v>122</v>
      </c>
      <c r="P10" s="137" t="s">
        <v>127</v>
      </c>
      <c r="Q10" s="137" t="s">
        <v>128</v>
      </c>
      <c r="R10" s="137" t="s">
        <v>129</v>
      </c>
      <c r="S10" s="117" t="s">
        <v>136</v>
      </c>
      <c r="T10" s="117" t="s">
        <v>137</v>
      </c>
    </row>
    <row r="11" spans="2:20" ht="14.25" hidden="1" customHeight="1" x14ac:dyDescent="0.25">
      <c r="B11" s="198" t="s">
        <v>144</v>
      </c>
      <c r="C11" s="199" t="str">
        <f t="shared" ref="C11:C14" si="0">B11</f>
        <v>Administrador/Consultor Salesforce - Especialista</v>
      </c>
      <c r="D11" s="192" t="s">
        <v>103</v>
      </c>
      <c r="E11" s="213">
        <f>F11-G11</f>
        <v>9600</v>
      </c>
      <c r="F11" s="213">
        <v>12000</v>
      </c>
      <c r="G11" s="214">
        <f>F11*$G$9</f>
        <v>2400</v>
      </c>
      <c r="H11" s="129">
        <f t="shared" ref="H11:H46" si="1">E11+(E11*IF(D11&lt;&gt;"",IF(D11&lt;&gt;"",VLOOKUP(D11,$D$3:$E$9,2,0)),""))</f>
        <v>12480</v>
      </c>
      <c r="I11" s="114" t="e">
        <f t="shared" ref="I11:I49" ca="1" si="2">_xlfn.MINIFS(Q11:T11,Q11:T11,"&gt;0",Q11:T11,"&lt;&gt;"&amp;"")</f>
        <v>#NAME?</v>
      </c>
      <c r="J11" s="114">
        <f t="shared" ref="J11:J49" si="3">IF(SUM(Q11:T11)&gt;0,
AVERAGEIFS(Q11:T11, Q11:T11,"&gt;0",Q11:T11,"&lt;&gt;"&amp;""),
0)</f>
        <v>11525.985000000001</v>
      </c>
      <c r="K11" s="114" t="e">
        <f t="shared" ref="K11:K49" ca="1" si="4">_xlfn.MAXIFS(Q11:T11,Q11:T11,"&gt;0",Q11:T11,"&lt;&gt;"&amp;"")</f>
        <v>#NAME?</v>
      </c>
      <c r="L11" s="134" t="e">
        <f t="shared" ref="L11:L49" ca="1" si="5">(K11-I11)/I11</f>
        <v>#NAME?</v>
      </c>
      <c r="M11" s="114" t="e" cm="1">
        <f t="array" aca="1" ref="M11" ca="1">_xlfn.IFS(L11&gt;=70%,"Alta",L11&gt;20%,"Média",L11&lt;=20%,"Baixa")</f>
        <v>#NAME?</v>
      </c>
      <c r="N11" s="114"/>
      <c r="O11" s="145">
        <f t="shared" ref="O11:O30" si="6">J11</f>
        <v>11525.985000000001</v>
      </c>
      <c r="P11" s="118">
        <v>0</v>
      </c>
      <c r="Q11" s="118">
        <v>11051.97</v>
      </c>
      <c r="R11" s="118">
        <v>12000</v>
      </c>
      <c r="S11" s="118">
        <v>0</v>
      </c>
      <c r="T11" s="118">
        <v>0</v>
      </c>
    </row>
    <row r="12" spans="2:20" ht="14.25" hidden="1" customHeight="1" x14ac:dyDescent="0.25">
      <c r="B12" s="198" t="s">
        <v>141</v>
      </c>
      <c r="C12" s="199" t="str">
        <f t="shared" si="0"/>
        <v>Administrador/Consultor Salesforce - Junior</v>
      </c>
      <c r="D12" s="192" t="s">
        <v>99</v>
      </c>
      <c r="E12" s="213">
        <f t="shared" ref="E12:E79" si="7">F12-G12</f>
        <v>3040</v>
      </c>
      <c r="F12" s="213">
        <v>3800</v>
      </c>
      <c r="G12" s="214">
        <f>F12*$G$9</f>
        <v>760</v>
      </c>
      <c r="H12" s="129">
        <f t="shared" si="1"/>
        <v>3952</v>
      </c>
      <c r="I12" s="114" t="e">
        <f t="shared" ca="1" si="2"/>
        <v>#NAME?</v>
      </c>
      <c r="J12" s="114">
        <f t="shared" si="3"/>
        <v>4906.5</v>
      </c>
      <c r="K12" s="114" t="e">
        <f t="shared" ca="1" si="4"/>
        <v>#NAME?</v>
      </c>
      <c r="L12" s="134" t="e">
        <f t="shared" ca="1" si="5"/>
        <v>#NAME?</v>
      </c>
      <c r="M12" s="114" t="e" cm="1">
        <f t="array" aca="1" ref="M12" ca="1">_xlfn.IFS(L12&gt;=70%,"Alta",L12&gt;20%,"Média",L12&lt;=20%,"Baixa")</f>
        <v>#NAME?</v>
      </c>
      <c r="N12" s="114"/>
      <c r="O12" s="145">
        <f t="shared" si="6"/>
        <v>4906.5</v>
      </c>
      <c r="P12" s="145" t="e">
        <f ca="1">K12</f>
        <v>#NAME?</v>
      </c>
      <c r="Q12" s="118">
        <v>5813</v>
      </c>
      <c r="R12" s="118">
        <v>4000</v>
      </c>
      <c r="S12" s="118">
        <v>0</v>
      </c>
      <c r="T12" s="118">
        <v>0</v>
      </c>
    </row>
    <row r="13" spans="2:20" ht="14.25" hidden="1" customHeight="1" x14ac:dyDescent="0.25">
      <c r="B13" s="198" t="s">
        <v>142</v>
      </c>
      <c r="C13" s="199" t="str">
        <f t="shared" si="0"/>
        <v>Administrador/Consultor Salesforce - Pleno</v>
      </c>
      <c r="D13" s="192" t="s">
        <v>100</v>
      </c>
      <c r="E13" s="213">
        <f t="shared" si="7"/>
        <v>6320</v>
      </c>
      <c r="F13" s="213">
        <v>7900</v>
      </c>
      <c r="G13" s="214">
        <f>F13*$G$9</f>
        <v>1580</v>
      </c>
      <c r="H13" s="129">
        <f t="shared" si="1"/>
        <v>8216</v>
      </c>
      <c r="I13" s="114" t="e">
        <f t="shared" ca="1" si="2"/>
        <v>#NAME?</v>
      </c>
      <c r="J13" s="114">
        <f t="shared" si="3"/>
        <v>7278.45</v>
      </c>
      <c r="K13" s="114" t="e">
        <f t="shared" ca="1" si="4"/>
        <v>#NAME?</v>
      </c>
      <c r="L13" s="134" t="e">
        <f t="shared" ca="1" si="5"/>
        <v>#NAME?</v>
      </c>
      <c r="M13" s="114" t="e" cm="1">
        <f t="array" aca="1" ref="M13" ca="1">_xlfn.IFS(L13&gt;=70%,"Alta",L13&gt;20%,"Média",L13&lt;=20%,"Baixa")</f>
        <v>#NAME?</v>
      </c>
      <c r="N13" s="114"/>
      <c r="O13" s="145">
        <f t="shared" si="6"/>
        <v>7278.45</v>
      </c>
      <c r="P13" s="118">
        <v>0</v>
      </c>
      <c r="Q13" s="118">
        <v>7556.9</v>
      </c>
      <c r="R13" s="118">
        <v>7000</v>
      </c>
      <c r="S13" s="118">
        <v>0</v>
      </c>
      <c r="T13" s="118">
        <v>0</v>
      </c>
    </row>
    <row r="14" spans="2:20" ht="14.25" hidden="1" customHeight="1" x14ac:dyDescent="0.25">
      <c r="B14" s="198" t="s">
        <v>143</v>
      </c>
      <c r="C14" s="199" t="str">
        <f t="shared" si="0"/>
        <v>Administrador/Consultor Salesforce - Senior</v>
      </c>
      <c r="D14" s="192" t="s">
        <v>101</v>
      </c>
      <c r="E14" s="213">
        <f t="shared" si="7"/>
        <v>8400</v>
      </c>
      <c r="F14" s="213">
        <v>10500</v>
      </c>
      <c r="G14" s="214">
        <f>F14*$G$9</f>
        <v>2100</v>
      </c>
      <c r="H14" s="129">
        <f t="shared" si="1"/>
        <v>10920</v>
      </c>
      <c r="I14" s="114" t="e">
        <f t="shared" ca="1" si="2"/>
        <v>#NAME?</v>
      </c>
      <c r="J14" s="114">
        <f t="shared" si="3"/>
        <v>9723.0625</v>
      </c>
      <c r="K14" s="114" t="e">
        <f t="shared" ca="1" si="4"/>
        <v>#NAME?</v>
      </c>
      <c r="L14" s="134" t="e">
        <f t="shared" ca="1" si="5"/>
        <v>#NAME?</v>
      </c>
      <c r="M14" s="114" t="e" cm="1">
        <f t="array" aca="1" ref="M14" ca="1">_xlfn.IFS(L14&gt;=70%,"Alta",L14&gt;20%,"Média",L14&lt;=20%,"Baixa")</f>
        <v>#NAME?</v>
      </c>
      <c r="N14" s="114"/>
      <c r="O14" s="145">
        <f t="shared" si="6"/>
        <v>9723.0625</v>
      </c>
      <c r="P14" s="118">
        <v>0</v>
      </c>
      <c r="Q14" s="118">
        <v>9446.125</v>
      </c>
      <c r="R14" s="118">
        <v>10000</v>
      </c>
      <c r="S14" s="118">
        <v>0</v>
      </c>
      <c r="T14" s="118">
        <v>0</v>
      </c>
    </row>
    <row r="15" spans="2:20" ht="14.25" customHeight="1" x14ac:dyDescent="0.25">
      <c r="B15" s="200" t="s">
        <v>104</v>
      </c>
      <c r="C15" s="191" t="str">
        <f t="shared" ref="C15:C53" si="8">B15&amp; " " &amp;D15</f>
        <v>Agilista Especialista</v>
      </c>
      <c r="D15" s="192" t="s">
        <v>103</v>
      </c>
      <c r="E15" s="213">
        <f>F15-G15</f>
        <v>10800</v>
      </c>
      <c r="F15" s="248">
        <v>13500</v>
      </c>
      <c r="G15" s="214">
        <f t="shared" ref="G15:G82" si="9">F15*$G$9</f>
        <v>2700</v>
      </c>
      <c r="H15" s="129">
        <f>F15+(F15*IF(D15&lt;&gt;"",IF(D15&lt;&gt;"",VLOOKUP(D15,$D$3:$F$9,2,0)),""))</f>
        <v>17550</v>
      </c>
      <c r="I15" s="114" t="e">
        <f t="shared" ca="1" si="2"/>
        <v>#NAME?</v>
      </c>
      <c r="J15" s="114">
        <f t="shared" si="3"/>
        <v>10122.875</v>
      </c>
      <c r="K15" s="114" t="e">
        <f t="shared" ca="1" si="4"/>
        <v>#NAME?</v>
      </c>
      <c r="L15" s="134" t="e">
        <f t="shared" ca="1" si="5"/>
        <v>#NAME?</v>
      </c>
      <c r="M15" s="114" t="e" cm="1">
        <f t="array" aca="1" ref="M15" ca="1">_xlfn.IFS(L15&gt;=70%,"Alta",L15&gt;20%,"Média",L15&lt;=20%,"Baixa")</f>
        <v>#NAME?</v>
      </c>
      <c r="N15" s="212" t="s">
        <v>215</v>
      </c>
      <c r="O15" s="145">
        <f t="shared" si="6"/>
        <v>10122.875</v>
      </c>
      <c r="P15" s="118">
        <v>0</v>
      </c>
      <c r="Q15" s="118">
        <v>8745.75</v>
      </c>
      <c r="R15" s="118">
        <v>11500</v>
      </c>
      <c r="S15" s="118">
        <v>0</v>
      </c>
      <c r="T15" s="118">
        <v>0</v>
      </c>
    </row>
    <row r="16" spans="2:20" ht="14.25" customHeight="1" x14ac:dyDescent="0.25">
      <c r="B16" s="200" t="s">
        <v>152</v>
      </c>
      <c r="C16" s="191" t="str">
        <f t="shared" si="8"/>
        <v>Agilista - Junior Júnior</v>
      </c>
      <c r="D16" s="192" t="s">
        <v>99</v>
      </c>
      <c r="E16" s="213">
        <f t="shared" si="7"/>
        <v>3920</v>
      </c>
      <c r="F16" s="248">
        <v>4900</v>
      </c>
      <c r="G16" s="214">
        <f t="shared" si="9"/>
        <v>980</v>
      </c>
      <c r="H16" s="129">
        <f>F16+(F16*IF(D16&lt;&gt;"",IF(D16&lt;&gt;"",VLOOKUP(D16,$D$3:$F$9,2,0)),""))</f>
        <v>6370</v>
      </c>
      <c r="I16" s="114" t="e">
        <f t="shared" ca="1" si="2"/>
        <v>#NAME?</v>
      </c>
      <c r="J16" s="114">
        <f t="shared" si="3"/>
        <v>4300</v>
      </c>
      <c r="K16" s="114" t="e">
        <f t="shared" ca="1" si="4"/>
        <v>#NAME?</v>
      </c>
      <c r="L16" s="134" t="e">
        <f t="shared" ca="1" si="5"/>
        <v>#NAME?</v>
      </c>
      <c r="M16" s="114" t="e" cm="1">
        <f t="array" aca="1" ref="M16" ca="1">_xlfn.IFS(L16&gt;=70%,"Alta",L16&gt;20%,"Média",L16&lt;=20%,"Baixa")</f>
        <v>#NAME?</v>
      </c>
      <c r="N16" s="212" t="s">
        <v>215</v>
      </c>
      <c r="O16" s="145">
        <f t="shared" si="6"/>
        <v>4300</v>
      </c>
      <c r="P16" s="118">
        <v>0</v>
      </c>
      <c r="Q16" s="118">
        <v>4600</v>
      </c>
      <c r="R16" s="118">
        <v>4000</v>
      </c>
      <c r="S16" s="118">
        <v>0</v>
      </c>
      <c r="T16" s="118">
        <v>0</v>
      </c>
    </row>
    <row r="17" spans="2:20" ht="14.25" customHeight="1" x14ac:dyDescent="0.25">
      <c r="B17" s="200" t="s">
        <v>104</v>
      </c>
      <c r="C17" s="191" t="str">
        <f t="shared" si="8"/>
        <v>Agilista Pleno</v>
      </c>
      <c r="D17" s="192" t="s">
        <v>100</v>
      </c>
      <c r="E17" s="213">
        <f t="shared" si="7"/>
        <v>6320</v>
      </c>
      <c r="F17" s="248">
        <v>7900</v>
      </c>
      <c r="G17" s="214">
        <f t="shared" si="9"/>
        <v>1580</v>
      </c>
      <c r="H17" s="129">
        <f t="shared" ref="H17:H45" si="10">F17+(F17*IF(D17&lt;&gt;"",IF(D17&lt;&gt;"",VLOOKUP(D17,$D$3:$F$9,2,0)),""))</f>
        <v>10270</v>
      </c>
      <c r="I17" s="114" t="e">
        <f t="shared" ca="1" si="2"/>
        <v>#NAME?</v>
      </c>
      <c r="J17" s="114">
        <f t="shared" si="3"/>
        <v>6490</v>
      </c>
      <c r="K17" s="114" t="e">
        <f t="shared" ca="1" si="4"/>
        <v>#NAME?</v>
      </c>
      <c r="L17" s="134" t="e">
        <f t="shared" ca="1" si="5"/>
        <v>#NAME?</v>
      </c>
      <c r="M17" s="114" t="e" cm="1">
        <f t="array" aca="1" ref="M17" ca="1">_xlfn.IFS(L17&gt;=70%,"Alta",L17&gt;20%,"Média",L17&lt;=20%,"Baixa")</f>
        <v>#NAME?</v>
      </c>
      <c r="N17" s="212" t="s">
        <v>215</v>
      </c>
      <c r="O17" s="145">
        <f t="shared" si="6"/>
        <v>6490</v>
      </c>
      <c r="P17" s="118">
        <v>0</v>
      </c>
      <c r="Q17" s="118">
        <v>5980</v>
      </c>
      <c r="R17" s="118">
        <v>7000</v>
      </c>
      <c r="S17" s="118">
        <v>0</v>
      </c>
      <c r="T17" s="118">
        <v>0</v>
      </c>
    </row>
    <row r="18" spans="2:20" ht="14.25" customHeight="1" x14ac:dyDescent="0.25">
      <c r="B18" s="200" t="s">
        <v>104</v>
      </c>
      <c r="C18" s="191" t="str">
        <f t="shared" si="8"/>
        <v>Agilista Sênior</v>
      </c>
      <c r="D18" s="192" t="s">
        <v>101</v>
      </c>
      <c r="E18" s="213">
        <f t="shared" si="7"/>
        <v>9200</v>
      </c>
      <c r="F18" s="248">
        <v>11500</v>
      </c>
      <c r="G18" s="214">
        <f t="shared" si="9"/>
        <v>2300</v>
      </c>
      <c r="H18" s="129">
        <f t="shared" si="10"/>
        <v>14950</v>
      </c>
      <c r="I18" s="114" t="e">
        <f t="shared" ca="1" si="2"/>
        <v>#NAME?</v>
      </c>
      <c r="J18" s="114">
        <f t="shared" si="3"/>
        <v>8487.5</v>
      </c>
      <c r="K18" s="114" t="e">
        <f t="shared" ca="1" si="4"/>
        <v>#NAME?</v>
      </c>
      <c r="L18" s="134" t="e">
        <f t="shared" ca="1" si="5"/>
        <v>#NAME?</v>
      </c>
      <c r="M18" s="114" t="e" cm="1">
        <f t="array" aca="1" ref="M18" ca="1">_xlfn.IFS(L18&gt;=70%,"Alta",L18&gt;20%,"Média",L18&lt;=20%,"Baixa")</f>
        <v>#NAME?</v>
      </c>
      <c r="N18" s="212" t="s">
        <v>215</v>
      </c>
      <c r="O18" s="145">
        <f t="shared" si="6"/>
        <v>8487.5</v>
      </c>
      <c r="P18" s="118">
        <v>0</v>
      </c>
      <c r="Q18" s="118">
        <v>7475</v>
      </c>
      <c r="R18" s="118">
        <v>9500</v>
      </c>
      <c r="S18" s="118">
        <v>0</v>
      </c>
      <c r="T18" s="118">
        <v>0</v>
      </c>
    </row>
    <row r="19" spans="2:20" ht="14.25" customHeight="1" x14ac:dyDescent="0.25">
      <c r="B19" s="198" t="s">
        <v>240</v>
      </c>
      <c r="C19" s="191" t="str">
        <f t="shared" si="8"/>
        <v>Analista de Dados/ BI Especialista</v>
      </c>
      <c r="D19" s="192" t="s">
        <v>103</v>
      </c>
      <c r="E19" s="213">
        <f t="shared" si="7"/>
        <v>8800</v>
      </c>
      <c r="F19" s="248">
        <v>11000</v>
      </c>
      <c r="G19" s="214">
        <f t="shared" si="9"/>
        <v>2200</v>
      </c>
      <c r="H19" s="129">
        <f t="shared" si="10"/>
        <v>14300</v>
      </c>
      <c r="I19" s="114" t="e">
        <f t="shared" ca="1" si="2"/>
        <v>#NAME?</v>
      </c>
      <c r="J19" s="114">
        <f t="shared" si="3"/>
        <v>10200</v>
      </c>
      <c r="K19" s="114" t="e">
        <f t="shared" ca="1" si="4"/>
        <v>#NAME?</v>
      </c>
      <c r="L19" s="134" t="e">
        <f t="shared" ca="1" si="5"/>
        <v>#NAME?</v>
      </c>
      <c r="M19" s="114" t="e" cm="1">
        <f t="array" aca="1" ref="M19" ca="1">_xlfn.IFS(L19&gt;=70%,"Alta",L19&gt;20%,"Média",L19&lt;=20%,"Baixa")</f>
        <v>#NAME?</v>
      </c>
      <c r="N19" s="212" t="s">
        <v>215</v>
      </c>
      <c r="O19" s="145">
        <f t="shared" si="6"/>
        <v>10200</v>
      </c>
      <c r="P19" s="118">
        <v>0</v>
      </c>
      <c r="Q19" s="118">
        <v>9400</v>
      </c>
      <c r="R19" s="118">
        <v>11000</v>
      </c>
      <c r="S19" s="118">
        <v>0</v>
      </c>
      <c r="T19" s="118">
        <v>0</v>
      </c>
    </row>
    <row r="20" spans="2:20" ht="14.25" customHeight="1" x14ac:dyDescent="0.25">
      <c r="B20" s="198" t="s">
        <v>240</v>
      </c>
      <c r="C20" s="191" t="str">
        <f t="shared" si="8"/>
        <v>Analista de Dados/ BI Júnior</v>
      </c>
      <c r="D20" s="192" t="s">
        <v>99</v>
      </c>
      <c r="E20" s="213">
        <f t="shared" si="7"/>
        <v>3360</v>
      </c>
      <c r="F20" s="248">
        <v>4200</v>
      </c>
      <c r="G20" s="214">
        <f t="shared" si="9"/>
        <v>840</v>
      </c>
      <c r="H20" s="129">
        <f t="shared" si="10"/>
        <v>5460</v>
      </c>
      <c r="I20" s="114" t="e">
        <f t="shared" ca="1" si="2"/>
        <v>#NAME?</v>
      </c>
      <c r="J20" s="114">
        <f t="shared" si="3"/>
        <v>3519</v>
      </c>
      <c r="K20" s="114" t="e">
        <f t="shared" ca="1" si="4"/>
        <v>#NAME?</v>
      </c>
      <c r="L20" s="134" t="e">
        <f t="shared" ca="1" si="5"/>
        <v>#NAME?</v>
      </c>
      <c r="M20" s="114" t="e" cm="1">
        <f t="array" aca="1" ref="M20" ca="1">_xlfn.IFS(L20&gt;=70%,"Alta",L20&gt;20%,"Média",L20&lt;=20%,"Baixa")</f>
        <v>#NAME?</v>
      </c>
      <c r="N20" s="212" t="s">
        <v>215</v>
      </c>
      <c r="O20" s="145">
        <f t="shared" si="6"/>
        <v>3519</v>
      </c>
      <c r="P20" s="118">
        <v>0</v>
      </c>
      <c r="Q20" s="118">
        <v>4538</v>
      </c>
      <c r="R20" s="118">
        <v>2500</v>
      </c>
      <c r="S20" s="118">
        <v>0</v>
      </c>
      <c r="T20" s="118">
        <v>0</v>
      </c>
    </row>
    <row r="21" spans="2:20" ht="14.25" customHeight="1" x14ac:dyDescent="0.25">
      <c r="B21" s="198" t="s">
        <v>240</v>
      </c>
      <c r="C21" s="191" t="str">
        <f t="shared" si="8"/>
        <v>Analista de Dados/ BI Pleno</v>
      </c>
      <c r="D21" s="192" t="s">
        <v>100</v>
      </c>
      <c r="E21" s="213">
        <f t="shared" si="7"/>
        <v>6000</v>
      </c>
      <c r="F21" s="248">
        <v>7500</v>
      </c>
      <c r="G21" s="214">
        <f t="shared" si="9"/>
        <v>1500</v>
      </c>
      <c r="H21" s="129">
        <f t="shared" si="10"/>
        <v>9750</v>
      </c>
      <c r="I21" s="114" t="e">
        <f t="shared" ca="1" si="2"/>
        <v>#NAME?</v>
      </c>
      <c r="J21" s="114">
        <f t="shared" si="3"/>
        <v>6000</v>
      </c>
      <c r="K21" s="114" t="e">
        <f t="shared" ca="1" si="4"/>
        <v>#NAME?</v>
      </c>
      <c r="L21" s="134" t="e">
        <f t="shared" ca="1" si="5"/>
        <v>#NAME?</v>
      </c>
      <c r="M21" s="114" t="e" cm="1">
        <f t="array" aca="1" ref="M21" ca="1">_xlfn.IFS(L21&gt;=70%,"Alta",L21&gt;20%,"Média",L21&lt;=20%,"Baixa")</f>
        <v>#NAME?</v>
      </c>
      <c r="N21" s="212" t="s">
        <v>215</v>
      </c>
      <c r="O21" s="145">
        <f t="shared" si="6"/>
        <v>6000</v>
      </c>
      <c r="P21" s="118">
        <v>0</v>
      </c>
      <c r="Q21" s="118">
        <v>6500</v>
      </c>
      <c r="R21" s="118">
        <v>5500</v>
      </c>
      <c r="S21" s="118">
        <v>0</v>
      </c>
      <c r="T21" s="118">
        <v>0</v>
      </c>
    </row>
    <row r="22" spans="2:20" ht="14.25" customHeight="1" x14ac:dyDescent="0.25">
      <c r="B22" s="198" t="s">
        <v>240</v>
      </c>
      <c r="C22" s="191" t="str">
        <f t="shared" si="8"/>
        <v>Analista de Dados/ BI Sênior</v>
      </c>
      <c r="D22" s="192" t="s">
        <v>101</v>
      </c>
      <c r="E22" s="213">
        <f t="shared" si="7"/>
        <v>7600</v>
      </c>
      <c r="F22" s="248">
        <v>9500</v>
      </c>
      <c r="G22" s="214">
        <f t="shared" si="9"/>
        <v>1900</v>
      </c>
      <c r="H22" s="129">
        <f t="shared" si="10"/>
        <v>12350</v>
      </c>
      <c r="I22" s="114" t="e">
        <f t="shared" ca="1" si="2"/>
        <v>#NAME?</v>
      </c>
      <c r="J22" s="114">
        <f t="shared" si="3"/>
        <v>8125</v>
      </c>
      <c r="K22" s="114" t="e">
        <f t="shared" ca="1" si="4"/>
        <v>#NAME?</v>
      </c>
      <c r="L22" s="134" t="e">
        <f t="shared" ca="1" si="5"/>
        <v>#NAME?</v>
      </c>
      <c r="M22" s="114" t="e" cm="1">
        <f t="array" aca="1" ref="M22" ca="1">_xlfn.IFS(L22&gt;=70%,"Alta",L22&gt;20%,"Média",L22&lt;=20%,"Baixa")</f>
        <v>#NAME?</v>
      </c>
      <c r="N22" s="212" t="s">
        <v>215</v>
      </c>
      <c r="O22" s="145">
        <f t="shared" si="6"/>
        <v>8125</v>
      </c>
      <c r="P22" s="118">
        <v>0</v>
      </c>
      <c r="Q22" s="118">
        <v>8250</v>
      </c>
      <c r="R22" s="118">
        <v>8000</v>
      </c>
      <c r="S22" s="118">
        <v>0</v>
      </c>
      <c r="T22" s="118">
        <v>0</v>
      </c>
    </row>
    <row r="23" spans="2:20" ht="14.25" customHeight="1" x14ac:dyDescent="0.25">
      <c r="B23" s="198" t="s">
        <v>239</v>
      </c>
      <c r="C23" s="191" t="str">
        <f t="shared" si="8"/>
        <v>Analista de Inteligência Artificial Especialista</v>
      </c>
      <c r="D23" s="192" t="s">
        <v>103</v>
      </c>
      <c r="E23" s="213">
        <f t="shared" si="7"/>
        <v>10800</v>
      </c>
      <c r="F23" s="248">
        <v>13500</v>
      </c>
      <c r="G23" s="214">
        <f t="shared" si="9"/>
        <v>2700</v>
      </c>
      <c r="H23" s="129">
        <f t="shared" si="10"/>
        <v>17550</v>
      </c>
      <c r="I23" s="114" t="e">
        <f t="shared" ca="1" si="2"/>
        <v>#NAME?</v>
      </c>
      <c r="J23" s="114">
        <f t="shared" si="3"/>
        <v>10396.640625</v>
      </c>
      <c r="K23" s="114" t="e">
        <f t="shared" ca="1" si="4"/>
        <v>#NAME?</v>
      </c>
      <c r="L23" s="134" t="e">
        <f t="shared" ca="1" si="5"/>
        <v>#NAME?</v>
      </c>
      <c r="M23" s="114" t="e" cm="1">
        <f t="array" aca="1" ref="M23" ca="1">_xlfn.IFS(L23&gt;=70%,"Alta",L23&gt;20%,"Média",L23&lt;=20%,"Baixa")</f>
        <v>#NAME?</v>
      </c>
      <c r="N23" s="212" t="s">
        <v>215</v>
      </c>
      <c r="O23" s="145">
        <f t="shared" si="6"/>
        <v>10396.640625</v>
      </c>
      <c r="P23" s="118">
        <v>0</v>
      </c>
      <c r="Q23" s="118">
        <v>8793.28125</v>
      </c>
      <c r="R23" s="118">
        <v>12000</v>
      </c>
      <c r="S23" s="118">
        <v>0</v>
      </c>
      <c r="T23" s="118">
        <v>0</v>
      </c>
    </row>
    <row r="24" spans="2:20" ht="14.25" customHeight="1" x14ac:dyDescent="0.25">
      <c r="B24" s="198" t="s">
        <v>239</v>
      </c>
      <c r="C24" s="191" t="str">
        <f t="shared" si="8"/>
        <v>Analista de Inteligência Artificial Júnior</v>
      </c>
      <c r="D24" s="192" t="s">
        <v>99</v>
      </c>
      <c r="E24" s="213">
        <f t="shared" si="7"/>
        <v>3920</v>
      </c>
      <c r="F24" s="248">
        <v>4900</v>
      </c>
      <c r="G24" s="214">
        <f t="shared" si="9"/>
        <v>980</v>
      </c>
      <c r="H24" s="129">
        <f t="shared" si="10"/>
        <v>6370</v>
      </c>
      <c r="I24" s="114" t="e">
        <f t="shared" ca="1" si="2"/>
        <v>#NAME?</v>
      </c>
      <c r="J24" s="114">
        <f t="shared" si="3"/>
        <v>4400</v>
      </c>
      <c r="K24" s="114" t="e">
        <f t="shared" ca="1" si="4"/>
        <v>#NAME?</v>
      </c>
      <c r="L24" s="134" t="e">
        <f t="shared" ca="1" si="5"/>
        <v>#NAME?</v>
      </c>
      <c r="M24" s="114" t="e" cm="1">
        <f t="array" aca="1" ref="M24" ca="1">_xlfn.IFS(L24&gt;=70%,"Alta",L24&gt;20%,"Média",L24&lt;=20%,"Baixa")</f>
        <v>#NAME?</v>
      </c>
      <c r="N24" s="212" t="s">
        <v>215</v>
      </c>
      <c r="O24" s="145">
        <f t="shared" si="6"/>
        <v>4400</v>
      </c>
      <c r="P24" s="118">
        <v>0</v>
      </c>
      <c r="Q24" s="118">
        <v>5300</v>
      </c>
      <c r="R24" s="118">
        <v>3500</v>
      </c>
      <c r="S24" s="118">
        <v>0</v>
      </c>
      <c r="T24" s="118">
        <v>0</v>
      </c>
    </row>
    <row r="25" spans="2:20" ht="14.25" customHeight="1" x14ac:dyDescent="0.25">
      <c r="B25" s="198" t="s">
        <v>239</v>
      </c>
      <c r="C25" s="191" t="str">
        <f t="shared" si="8"/>
        <v>Analista de Inteligência Artificial Pleno</v>
      </c>
      <c r="D25" s="192" t="s">
        <v>100</v>
      </c>
      <c r="E25" s="213">
        <f t="shared" si="7"/>
        <v>6000</v>
      </c>
      <c r="F25" s="248">
        <v>7500</v>
      </c>
      <c r="G25" s="214">
        <f t="shared" si="9"/>
        <v>1500</v>
      </c>
      <c r="H25" s="129">
        <f t="shared" si="10"/>
        <v>9750</v>
      </c>
      <c r="I25" s="114" t="e">
        <f t="shared" ca="1" si="2"/>
        <v>#NAME?</v>
      </c>
      <c r="J25" s="114">
        <f t="shared" si="3"/>
        <v>6506.25</v>
      </c>
      <c r="K25" s="114" t="e">
        <f t="shared" ca="1" si="4"/>
        <v>#NAME?</v>
      </c>
      <c r="L25" s="134" t="e">
        <f t="shared" ca="1" si="5"/>
        <v>#NAME?</v>
      </c>
      <c r="M25" s="114" t="e" cm="1">
        <f t="array" aca="1" ref="M25" ca="1">_xlfn.IFS(L25&gt;=70%,"Alta",L25&gt;20%,"Média",L25&lt;=20%,"Baixa")</f>
        <v>#NAME?</v>
      </c>
      <c r="N25" s="212" t="s">
        <v>215</v>
      </c>
      <c r="O25" s="145">
        <f t="shared" si="6"/>
        <v>6506.25</v>
      </c>
      <c r="P25" s="118">
        <v>0</v>
      </c>
      <c r="Q25" s="118">
        <v>6012.5</v>
      </c>
      <c r="R25" s="118">
        <v>7000</v>
      </c>
      <c r="S25" s="118">
        <v>0</v>
      </c>
      <c r="T25" s="118">
        <v>0</v>
      </c>
    </row>
    <row r="26" spans="2:20" ht="15" customHeight="1" x14ac:dyDescent="0.25">
      <c r="B26" s="198" t="s">
        <v>239</v>
      </c>
      <c r="C26" s="191" t="str">
        <f t="shared" si="8"/>
        <v>Analista de Inteligência Artificial Sênior</v>
      </c>
      <c r="D26" s="192" t="s">
        <v>101</v>
      </c>
      <c r="E26" s="213">
        <f t="shared" si="7"/>
        <v>8800</v>
      </c>
      <c r="F26" s="248">
        <v>11000</v>
      </c>
      <c r="G26" s="214">
        <f t="shared" si="9"/>
        <v>2200</v>
      </c>
      <c r="H26" s="129">
        <f t="shared" si="10"/>
        <v>14300</v>
      </c>
      <c r="I26" s="114" t="e">
        <f t="shared" ca="1" si="2"/>
        <v>#NAME?</v>
      </c>
      <c r="J26" s="114">
        <f t="shared" si="3"/>
        <v>8757.8125</v>
      </c>
      <c r="K26" s="114" t="e">
        <f t="shared" ca="1" si="4"/>
        <v>#NAME?</v>
      </c>
      <c r="L26" s="134" t="e">
        <f t="shared" ca="1" si="5"/>
        <v>#NAME?</v>
      </c>
      <c r="M26" s="114" t="e" cm="1">
        <f t="array" aca="1" ref="M26" ca="1">_xlfn.IFS(L26&gt;=70%,"Alta",L26&gt;20%,"Média",L26&lt;=20%,"Baixa")</f>
        <v>#NAME?</v>
      </c>
      <c r="N26" s="212" t="s">
        <v>215</v>
      </c>
      <c r="O26" s="145">
        <f t="shared" si="6"/>
        <v>8757.8125</v>
      </c>
      <c r="P26" s="118">
        <v>0</v>
      </c>
      <c r="Q26" s="118">
        <v>7515.625</v>
      </c>
      <c r="R26" s="118">
        <v>10000</v>
      </c>
      <c r="S26" s="118">
        <v>0</v>
      </c>
      <c r="T26" s="118">
        <v>0</v>
      </c>
    </row>
    <row r="27" spans="2:20" ht="14.25" customHeight="1" x14ac:dyDescent="0.25">
      <c r="B27" s="198" t="s">
        <v>238</v>
      </c>
      <c r="C27" s="191" t="str">
        <f t="shared" si="8"/>
        <v>Analista de Processos Especialista</v>
      </c>
      <c r="D27" s="192" t="s">
        <v>103</v>
      </c>
      <c r="E27" s="213">
        <f t="shared" si="7"/>
        <v>8800</v>
      </c>
      <c r="F27" s="248">
        <v>11000</v>
      </c>
      <c r="G27" s="214">
        <f t="shared" si="9"/>
        <v>2200</v>
      </c>
      <c r="H27" s="129">
        <f t="shared" si="10"/>
        <v>14300</v>
      </c>
      <c r="I27" s="114" t="e">
        <f t="shared" ca="1" si="2"/>
        <v>#NAME?</v>
      </c>
      <c r="J27" s="114">
        <f t="shared" si="3"/>
        <v>8552.5</v>
      </c>
      <c r="K27" s="114" t="e">
        <f t="shared" ca="1" si="4"/>
        <v>#NAME?</v>
      </c>
      <c r="L27" s="134" t="e">
        <f t="shared" ca="1" si="5"/>
        <v>#NAME?</v>
      </c>
      <c r="M27" s="114" t="e" cm="1">
        <f t="array" aca="1" ref="M27" ca="1">_xlfn.IFS(L27&gt;=70%,"Alta",L27&gt;20%,"Média",L27&lt;=20%,"Baixa")</f>
        <v>#NAME?</v>
      </c>
      <c r="N27" s="212" t="s">
        <v>215</v>
      </c>
      <c r="O27" s="145">
        <f t="shared" si="6"/>
        <v>8552.5</v>
      </c>
      <c r="P27" s="118">
        <v>0</v>
      </c>
      <c r="Q27" s="118">
        <v>7605</v>
      </c>
      <c r="R27" s="118">
        <v>9500</v>
      </c>
      <c r="S27" s="118">
        <v>0</v>
      </c>
      <c r="T27" s="118">
        <v>0</v>
      </c>
    </row>
    <row r="28" spans="2:20" ht="14.25" customHeight="1" x14ac:dyDescent="0.25">
      <c r="B28" s="198" t="s">
        <v>238</v>
      </c>
      <c r="C28" s="191" t="str">
        <f t="shared" si="8"/>
        <v>Analista de Processos Júnior</v>
      </c>
      <c r="D28" s="192" t="s">
        <v>99</v>
      </c>
      <c r="E28" s="213">
        <f t="shared" si="7"/>
        <v>3360</v>
      </c>
      <c r="F28" s="248">
        <v>4200</v>
      </c>
      <c r="G28" s="214">
        <f t="shared" si="9"/>
        <v>840</v>
      </c>
      <c r="H28" s="129">
        <f t="shared" si="10"/>
        <v>5460</v>
      </c>
      <c r="I28" s="114" t="e">
        <f t="shared" ca="1" si="2"/>
        <v>#NAME?</v>
      </c>
      <c r="J28" s="114">
        <f t="shared" si="3"/>
        <v>3500</v>
      </c>
      <c r="K28" s="114" t="e">
        <f t="shared" ca="1" si="4"/>
        <v>#NAME?</v>
      </c>
      <c r="L28" s="134" t="e">
        <f t="shared" ca="1" si="5"/>
        <v>#NAME?</v>
      </c>
      <c r="M28" s="114" t="e" cm="1">
        <f t="array" aca="1" ref="M28" ca="1">_xlfn.IFS(L28&gt;=70%,"Alta",L28&gt;20%,"Média",L28&lt;=20%,"Baixa")</f>
        <v>#NAME?</v>
      </c>
      <c r="N28" s="212" t="s">
        <v>215</v>
      </c>
      <c r="O28" s="145">
        <f t="shared" si="6"/>
        <v>3500</v>
      </c>
      <c r="P28" s="118">
        <v>0</v>
      </c>
      <c r="Q28" s="118">
        <v>4000</v>
      </c>
      <c r="R28" s="118">
        <v>3000</v>
      </c>
      <c r="S28" s="118">
        <v>0</v>
      </c>
      <c r="T28" s="118">
        <v>0</v>
      </c>
    </row>
    <row r="29" spans="2:20" ht="14.25" customHeight="1" x14ac:dyDescent="0.25">
      <c r="B29" s="198" t="s">
        <v>238</v>
      </c>
      <c r="C29" s="191" t="str">
        <f t="shared" si="8"/>
        <v>Analista de Processos Pleno</v>
      </c>
      <c r="D29" s="192" t="s">
        <v>100</v>
      </c>
      <c r="E29" s="213">
        <f t="shared" si="7"/>
        <v>5600</v>
      </c>
      <c r="F29" s="248">
        <v>7000</v>
      </c>
      <c r="G29" s="214">
        <f t="shared" si="9"/>
        <v>1400</v>
      </c>
      <c r="H29" s="129">
        <f t="shared" si="10"/>
        <v>9100</v>
      </c>
      <c r="I29" s="114" t="e">
        <f t="shared" ca="1" si="2"/>
        <v>#NAME?</v>
      </c>
      <c r="J29" s="114">
        <f t="shared" si="3"/>
        <v>6000</v>
      </c>
      <c r="K29" s="114" t="e">
        <f t="shared" ca="1" si="4"/>
        <v>#NAME?</v>
      </c>
      <c r="L29" s="134" t="e">
        <f t="shared" ca="1" si="5"/>
        <v>#NAME?</v>
      </c>
      <c r="M29" s="114" t="e" cm="1">
        <f t="array" aca="1" ref="M29" ca="1">_xlfn.IFS(L29&gt;=70%,"Alta",L29&gt;20%,"Média",L29&lt;=20%,"Baixa")</f>
        <v>#NAME?</v>
      </c>
      <c r="N29" s="212" t="s">
        <v>215</v>
      </c>
      <c r="O29" s="145">
        <f t="shared" si="6"/>
        <v>6000</v>
      </c>
      <c r="P29" s="118">
        <v>0</v>
      </c>
      <c r="Q29" s="118">
        <v>5200</v>
      </c>
      <c r="R29" s="118">
        <v>6800</v>
      </c>
      <c r="S29" s="118">
        <v>0</v>
      </c>
      <c r="T29" s="118">
        <v>0</v>
      </c>
    </row>
    <row r="30" spans="2:20" ht="14.25" customHeight="1" x14ac:dyDescent="0.25">
      <c r="B30" s="198" t="s">
        <v>238</v>
      </c>
      <c r="C30" s="191" t="str">
        <f t="shared" si="8"/>
        <v>Analista de Processos Sênior</v>
      </c>
      <c r="D30" s="192" t="s">
        <v>101</v>
      </c>
      <c r="E30" s="213">
        <f t="shared" si="7"/>
        <v>8000</v>
      </c>
      <c r="F30" s="248">
        <v>10000</v>
      </c>
      <c r="G30" s="214">
        <f t="shared" si="9"/>
        <v>2000</v>
      </c>
      <c r="H30" s="129">
        <f t="shared" si="10"/>
        <v>13000</v>
      </c>
      <c r="I30" s="114" t="e">
        <f t="shared" ca="1" si="2"/>
        <v>#NAME?</v>
      </c>
      <c r="J30" s="114">
        <f t="shared" si="3"/>
        <v>7250</v>
      </c>
      <c r="K30" s="114" t="e">
        <f t="shared" ca="1" si="4"/>
        <v>#NAME?</v>
      </c>
      <c r="L30" s="134" t="e">
        <f t="shared" ca="1" si="5"/>
        <v>#NAME?</v>
      </c>
      <c r="M30" s="114" t="e" cm="1">
        <f t="array" aca="1" ref="M30" ca="1">_xlfn.IFS(L30&gt;=70%,"Alta",L30&gt;20%,"Média",L30&lt;=20%,"Baixa")</f>
        <v>#NAME?</v>
      </c>
      <c r="N30" s="212" t="s">
        <v>215</v>
      </c>
      <c r="O30" s="145">
        <f t="shared" si="6"/>
        <v>7250</v>
      </c>
      <c r="P30" s="118">
        <v>0</v>
      </c>
      <c r="Q30" s="118">
        <v>6500</v>
      </c>
      <c r="R30" s="118">
        <v>8000</v>
      </c>
      <c r="S30" s="118">
        <v>0</v>
      </c>
      <c r="T30" s="118">
        <v>0</v>
      </c>
    </row>
    <row r="31" spans="2:20" ht="14.25" customHeight="1" x14ac:dyDescent="0.25">
      <c r="B31" s="198" t="s">
        <v>222</v>
      </c>
      <c r="C31" s="191" t="str">
        <f t="shared" si="8"/>
        <v>Analista de Qualidade Especialista</v>
      </c>
      <c r="D31" s="192" t="s">
        <v>103</v>
      </c>
      <c r="E31" s="213">
        <f t="shared" si="7"/>
        <v>8000</v>
      </c>
      <c r="F31" s="248">
        <v>10000</v>
      </c>
      <c r="G31" s="214">
        <f t="shared" si="9"/>
        <v>2000</v>
      </c>
      <c r="H31" s="129">
        <f t="shared" si="10"/>
        <v>13000</v>
      </c>
      <c r="I31" s="114" t="e">
        <f t="shared" ca="1" si="2"/>
        <v>#NAME?</v>
      </c>
      <c r="J31" s="114">
        <f t="shared" si="3"/>
        <v>8552.5</v>
      </c>
      <c r="K31" s="114" t="e">
        <f t="shared" ca="1" si="4"/>
        <v>#NAME?</v>
      </c>
      <c r="L31" s="134" t="e">
        <f t="shared" ca="1" si="5"/>
        <v>#NAME?</v>
      </c>
      <c r="M31" s="114" t="e" cm="1">
        <f t="array" aca="1" ref="M31" ca="1">_xlfn.IFS(L31&gt;=70%,"Alta",L31&gt;20%,"Média",L31&lt;=20%,"Baixa")</f>
        <v>#NAME?</v>
      </c>
      <c r="N31" s="212" t="s">
        <v>215</v>
      </c>
      <c r="O31" s="145">
        <v>8300</v>
      </c>
      <c r="P31" s="118">
        <v>0</v>
      </c>
      <c r="Q31" s="118">
        <v>7605</v>
      </c>
      <c r="R31" s="118">
        <v>9500</v>
      </c>
      <c r="S31" s="118">
        <v>0</v>
      </c>
      <c r="T31" s="118">
        <v>0</v>
      </c>
    </row>
    <row r="32" spans="2:20" ht="14.25" customHeight="1" x14ac:dyDescent="0.25">
      <c r="B32" s="198" t="s">
        <v>222</v>
      </c>
      <c r="C32" s="191" t="str">
        <f t="shared" si="8"/>
        <v>Analista de Qualidade Júnior</v>
      </c>
      <c r="D32" s="192" t="s">
        <v>99</v>
      </c>
      <c r="E32" s="213">
        <f t="shared" si="7"/>
        <v>2800</v>
      </c>
      <c r="F32" s="248">
        <v>3500</v>
      </c>
      <c r="G32" s="214">
        <f t="shared" si="9"/>
        <v>700</v>
      </c>
      <c r="H32" s="129">
        <f t="shared" si="10"/>
        <v>4550</v>
      </c>
      <c r="I32" s="114" t="e">
        <f t="shared" ca="1" si="2"/>
        <v>#NAME?</v>
      </c>
      <c r="J32" s="114">
        <f t="shared" si="3"/>
        <v>3500</v>
      </c>
      <c r="K32" s="114" t="e">
        <f t="shared" ca="1" si="4"/>
        <v>#NAME?</v>
      </c>
      <c r="L32" s="134" t="e">
        <f t="shared" ca="1" si="5"/>
        <v>#NAME?</v>
      </c>
      <c r="M32" s="114" t="e" cm="1">
        <f t="array" aca="1" ref="M32" ca="1">_xlfn.IFS(L32&gt;=70%,"Alta",L32&gt;20%,"Média",L32&lt;=20%,"Baixa")</f>
        <v>#NAME?</v>
      </c>
      <c r="N32" s="212" t="s">
        <v>215</v>
      </c>
      <c r="O32" s="145">
        <f t="shared" ref="O32:O46" si="11">J32</f>
        <v>3500</v>
      </c>
      <c r="P32" s="118">
        <v>0</v>
      </c>
      <c r="Q32" s="118">
        <v>4000</v>
      </c>
      <c r="R32" s="118">
        <v>3000</v>
      </c>
      <c r="S32" s="118">
        <v>0</v>
      </c>
      <c r="T32" s="118">
        <v>0</v>
      </c>
    </row>
    <row r="33" spans="2:20" ht="14.25" customHeight="1" x14ac:dyDescent="0.25">
      <c r="B33" s="198" t="s">
        <v>222</v>
      </c>
      <c r="C33" s="191" t="str">
        <f t="shared" si="8"/>
        <v>Analista de Qualidade Pleno</v>
      </c>
      <c r="D33" s="192" t="s">
        <v>100</v>
      </c>
      <c r="E33" s="213">
        <f t="shared" si="7"/>
        <v>4400</v>
      </c>
      <c r="F33" s="248">
        <v>5500</v>
      </c>
      <c r="G33" s="214">
        <f t="shared" si="9"/>
        <v>1100</v>
      </c>
      <c r="H33" s="129">
        <f t="shared" si="10"/>
        <v>7150</v>
      </c>
      <c r="I33" s="114" t="e">
        <f t="shared" ca="1" si="2"/>
        <v>#NAME?</v>
      </c>
      <c r="J33" s="114">
        <f t="shared" si="3"/>
        <v>6100</v>
      </c>
      <c r="K33" s="114" t="e">
        <f t="shared" ca="1" si="4"/>
        <v>#NAME?</v>
      </c>
      <c r="L33" s="134" t="e">
        <f t="shared" ca="1" si="5"/>
        <v>#NAME?</v>
      </c>
      <c r="M33" s="114" t="e" cm="1">
        <f t="array" aca="1" ref="M33" ca="1">_xlfn.IFS(L33&gt;=70%,"Alta",L33&gt;20%,"Média",L33&lt;=20%,"Baixa")</f>
        <v>#NAME?</v>
      </c>
      <c r="N33" s="212" t="s">
        <v>215</v>
      </c>
      <c r="O33" s="145">
        <f t="shared" si="11"/>
        <v>6100</v>
      </c>
      <c r="P33" s="118">
        <v>0</v>
      </c>
      <c r="Q33" s="118">
        <v>5200</v>
      </c>
      <c r="R33" s="118">
        <v>7000</v>
      </c>
      <c r="S33" s="118">
        <v>0</v>
      </c>
      <c r="T33" s="118">
        <v>0</v>
      </c>
    </row>
    <row r="34" spans="2:20" ht="14.25" customHeight="1" x14ac:dyDescent="0.25">
      <c r="B34" s="198" t="s">
        <v>222</v>
      </c>
      <c r="C34" s="191" t="str">
        <f t="shared" si="8"/>
        <v>Analista de Qualidade Sênior</v>
      </c>
      <c r="D34" s="192" t="s">
        <v>101</v>
      </c>
      <c r="E34" s="213">
        <f t="shared" si="7"/>
        <v>5416</v>
      </c>
      <c r="F34" s="248">
        <v>6770</v>
      </c>
      <c r="G34" s="214">
        <f t="shared" si="9"/>
        <v>1354</v>
      </c>
      <c r="H34" s="129">
        <f t="shared" si="10"/>
        <v>8801</v>
      </c>
      <c r="I34" s="114" t="e">
        <f t="shared" ca="1" si="2"/>
        <v>#NAME?</v>
      </c>
      <c r="J34" s="114">
        <f t="shared" si="3"/>
        <v>7500</v>
      </c>
      <c r="K34" s="114" t="e">
        <f t="shared" ca="1" si="4"/>
        <v>#NAME?</v>
      </c>
      <c r="L34" s="134" t="e">
        <f t="shared" ca="1" si="5"/>
        <v>#NAME?</v>
      </c>
      <c r="M34" s="114" t="e" cm="1">
        <f t="array" aca="1" ref="M34" ca="1">_xlfn.IFS(L34&gt;=70%,"Alta",L34&gt;20%,"Média",L34&lt;=20%,"Baixa")</f>
        <v>#NAME?</v>
      </c>
      <c r="N34" s="212" t="s">
        <v>215</v>
      </c>
      <c r="O34" s="145">
        <f t="shared" si="11"/>
        <v>7500</v>
      </c>
      <c r="P34" s="118">
        <v>0</v>
      </c>
      <c r="Q34" s="118">
        <v>6500</v>
      </c>
      <c r="R34" s="118">
        <v>8500</v>
      </c>
      <c r="S34" s="118">
        <v>0</v>
      </c>
      <c r="T34" s="118">
        <v>0</v>
      </c>
    </row>
    <row r="35" spans="2:20" ht="14.25" customHeight="1" x14ac:dyDescent="0.25">
      <c r="B35" s="200" t="s">
        <v>221</v>
      </c>
      <c r="C35" s="191" t="str">
        <f t="shared" si="8"/>
        <v>Analista de Negócios Especialista</v>
      </c>
      <c r="D35" s="192" t="s">
        <v>103</v>
      </c>
      <c r="E35" s="213">
        <f t="shared" si="7"/>
        <v>8400</v>
      </c>
      <c r="F35" s="248">
        <v>10500</v>
      </c>
      <c r="G35" s="214">
        <f t="shared" si="9"/>
        <v>2100</v>
      </c>
      <c r="H35" s="129">
        <f t="shared" si="10"/>
        <v>13650</v>
      </c>
      <c r="I35" s="114" t="e">
        <f t="shared" ca="1" si="2"/>
        <v>#NAME?</v>
      </c>
      <c r="J35" s="114">
        <f t="shared" si="3"/>
        <v>9323.5</v>
      </c>
      <c r="K35" s="114" t="e">
        <f t="shared" ca="1" si="4"/>
        <v>#NAME?</v>
      </c>
      <c r="L35" s="134" t="e">
        <f t="shared" ca="1" si="5"/>
        <v>#NAME?</v>
      </c>
      <c r="M35" s="114" t="e" cm="1">
        <f t="array" aca="1" ref="M35" ca="1">_xlfn.IFS(L35&gt;=70%,"Alta",L35&gt;20%,"Média",L35&lt;=20%,"Baixa")</f>
        <v>#NAME?</v>
      </c>
      <c r="N35" s="212" t="s">
        <v>215</v>
      </c>
      <c r="O35" s="145">
        <f t="shared" si="11"/>
        <v>9323.5</v>
      </c>
      <c r="P35" s="118">
        <v>0</v>
      </c>
      <c r="Q35" s="118">
        <v>10647</v>
      </c>
      <c r="R35" s="118">
        <v>8000</v>
      </c>
      <c r="S35" s="118">
        <v>0</v>
      </c>
      <c r="T35" s="118">
        <v>0</v>
      </c>
    </row>
    <row r="36" spans="2:20" ht="14.25" customHeight="1" x14ac:dyDescent="0.25">
      <c r="B36" s="200" t="s">
        <v>221</v>
      </c>
      <c r="C36" s="191" t="str">
        <f t="shared" si="8"/>
        <v>Analista de Negócios Júnior</v>
      </c>
      <c r="D36" s="201" t="s">
        <v>99</v>
      </c>
      <c r="E36" s="213">
        <f t="shared" si="7"/>
        <v>3840</v>
      </c>
      <c r="F36" s="248">
        <v>4800</v>
      </c>
      <c r="G36" s="214">
        <f t="shared" si="9"/>
        <v>960</v>
      </c>
      <c r="H36" s="129">
        <f t="shared" si="10"/>
        <v>6240</v>
      </c>
      <c r="I36" s="114" t="e">
        <f t="shared" ca="1" si="2"/>
        <v>#NAME?</v>
      </c>
      <c r="J36" s="114">
        <f t="shared" si="3"/>
        <v>4550</v>
      </c>
      <c r="K36" s="114" t="e">
        <f t="shared" ca="1" si="4"/>
        <v>#NAME?</v>
      </c>
      <c r="L36" s="134" t="e">
        <f t="shared" ca="1" si="5"/>
        <v>#NAME?</v>
      </c>
      <c r="M36" s="114" t="e" cm="1">
        <f t="array" aca="1" ref="M36" ca="1">_xlfn.IFS(L36&gt;=70%,"Alta",L36&gt;20%,"Média",L36&lt;=20%,"Baixa")</f>
        <v>#NAME?</v>
      </c>
      <c r="N36" s="212" t="s">
        <v>215</v>
      </c>
      <c r="O36" s="145">
        <f t="shared" si="11"/>
        <v>4550</v>
      </c>
      <c r="P36" s="118">
        <v>0</v>
      </c>
      <c r="Q36" s="118">
        <v>5600</v>
      </c>
      <c r="R36" s="118">
        <v>3500</v>
      </c>
      <c r="S36" s="118">
        <v>0</v>
      </c>
      <c r="T36" s="118">
        <v>0</v>
      </c>
    </row>
    <row r="37" spans="2:20" ht="14.25" customHeight="1" x14ac:dyDescent="0.25">
      <c r="B37" s="200" t="s">
        <v>221</v>
      </c>
      <c r="C37" s="191" t="str">
        <f t="shared" si="8"/>
        <v>Analista de Negócios Pleno</v>
      </c>
      <c r="D37" s="192" t="s">
        <v>100</v>
      </c>
      <c r="E37" s="213">
        <f t="shared" si="7"/>
        <v>6000</v>
      </c>
      <c r="F37" s="248">
        <v>7500</v>
      </c>
      <c r="G37" s="214">
        <f t="shared" si="9"/>
        <v>1500</v>
      </c>
      <c r="H37" s="129">
        <f t="shared" si="10"/>
        <v>9750</v>
      </c>
      <c r="I37" s="114" t="e">
        <f t="shared" ca="1" si="2"/>
        <v>#NAME?</v>
      </c>
      <c r="J37" s="114">
        <f t="shared" si="3"/>
        <v>6540</v>
      </c>
      <c r="K37" s="114" t="e">
        <f t="shared" ca="1" si="4"/>
        <v>#NAME?</v>
      </c>
      <c r="L37" s="134" t="e">
        <f t="shared" ca="1" si="5"/>
        <v>#NAME?</v>
      </c>
      <c r="M37" s="114" t="e" cm="1">
        <f t="array" aca="1" ref="M37" ca="1">_xlfn.IFS(L37&gt;=70%,"Alta",L37&gt;20%,"Média",L37&lt;=20%,"Baixa")</f>
        <v>#NAME?</v>
      </c>
      <c r="N37" s="212" t="s">
        <v>215</v>
      </c>
      <c r="O37" s="145">
        <f t="shared" si="11"/>
        <v>6540</v>
      </c>
      <c r="P37" s="118">
        <v>0</v>
      </c>
      <c r="Q37" s="118">
        <v>7280</v>
      </c>
      <c r="R37" s="118">
        <v>5800</v>
      </c>
      <c r="S37" s="118">
        <v>0</v>
      </c>
      <c r="T37" s="118">
        <v>0</v>
      </c>
    </row>
    <row r="38" spans="2:20" ht="14.25" customHeight="1" x14ac:dyDescent="0.25">
      <c r="B38" s="200" t="s">
        <v>221</v>
      </c>
      <c r="C38" s="191" t="str">
        <f t="shared" si="8"/>
        <v>Analista de Negócios Sênior</v>
      </c>
      <c r="D38" s="203" t="s">
        <v>101</v>
      </c>
      <c r="E38" s="213">
        <f t="shared" si="7"/>
        <v>8400</v>
      </c>
      <c r="F38" s="248">
        <v>10500</v>
      </c>
      <c r="G38" s="214">
        <f t="shared" si="9"/>
        <v>2100</v>
      </c>
      <c r="H38" s="129">
        <f t="shared" si="10"/>
        <v>13650</v>
      </c>
      <c r="I38" s="114" t="e">
        <f t="shared" ca="1" si="2"/>
        <v>#NAME?</v>
      </c>
      <c r="J38" s="114">
        <f t="shared" si="3"/>
        <v>8050</v>
      </c>
      <c r="K38" s="114" t="e">
        <f t="shared" ca="1" si="4"/>
        <v>#NAME?</v>
      </c>
      <c r="L38" s="134" t="e">
        <f t="shared" ca="1" si="5"/>
        <v>#NAME?</v>
      </c>
      <c r="M38" s="114" t="e" cm="1">
        <f t="array" aca="1" ref="M38" ca="1">_xlfn.IFS(L38&gt;=70%,"Alta",L38&gt;20%,"Média",L38&lt;=20%,"Baixa")</f>
        <v>#NAME?</v>
      </c>
      <c r="N38" s="212" t="s">
        <v>215</v>
      </c>
      <c r="O38" s="145">
        <f t="shared" si="11"/>
        <v>8050</v>
      </c>
      <c r="P38" s="118">
        <v>0</v>
      </c>
      <c r="Q38" s="118">
        <v>9100</v>
      </c>
      <c r="R38" s="118">
        <v>7000</v>
      </c>
      <c r="S38" s="118">
        <v>0</v>
      </c>
      <c r="T38" s="118">
        <v>0</v>
      </c>
    </row>
    <row r="39" spans="2:20" ht="14.25" customHeight="1" x14ac:dyDescent="0.25">
      <c r="B39" s="200" t="s">
        <v>356</v>
      </c>
      <c r="C39" s="191" t="str">
        <f t="shared" si="8"/>
        <v>Analista de redes/infraestrutura Especialista</v>
      </c>
      <c r="D39" s="192" t="s">
        <v>103</v>
      </c>
      <c r="E39" s="213">
        <f t="shared" si="7"/>
        <v>8800</v>
      </c>
      <c r="F39" s="248">
        <v>11000</v>
      </c>
      <c r="G39" s="214">
        <f t="shared" si="9"/>
        <v>2200</v>
      </c>
      <c r="H39" s="129">
        <f t="shared" si="10"/>
        <v>14300</v>
      </c>
      <c r="I39" s="114"/>
      <c r="J39" s="114"/>
      <c r="K39" s="114"/>
      <c r="L39" s="134"/>
      <c r="M39" s="114"/>
      <c r="N39" s="212" t="s">
        <v>215</v>
      </c>
      <c r="O39" s="145">
        <f t="shared" si="11"/>
        <v>0</v>
      </c>
      <c r="P39" s="118"/>
      <c r="Q39" s="118">
        <v>0</v>
      </c>
      <c r="R39" s="118">
        <v>0</v>
      </c>
      <c r="S39" s="118"/>
      <c r="T39" s="118"/>
    </row>
    <row r="40" spans="2:20" ht="14.25" customHeight="1" x14ac:dyDescent="0.25">
      <c r="B40" s="200" t="s">
        <v>356</v>
      </c>
      <c r="C40" s="191" t="str">
        <f t="shared" si="8"/>
        <v>Analista de redes/infraestrutura Júnior</v>
      </c>
      <c r="D40" s="201" t="s">
        <v>99</v>
      </c>
      <c r="E40" s="213">
        <f t="shared" si="7"/>
        <v>3200</v>
      </c>
      <c r="F40" s="248">
        <v>4000</v>
      </c>
      <c r="G40" s="214">
        <f t="shared" si="9"/>
        <v>800</v>
      </c>
      <c r="H40" s="129">
        <f t="shared" si="10"/>
        <v>5200</v>
      </c>
      <c r="I40" s="114"/>
      <c r="J40" s="114"/>
      <c r="K40" s="114"/>
      <c r="L40" s="134"/>
      <c r="M40" s="114"/>
      <c r="N40" s="212" t="s">
        <v>215</v>
      </c>
      <c r="O40" s="145">
        <f t="shared" si="11"/>
        <v>0</v>
      </c>
      <c r="P40" s="118"/>
      <c r="Q40" s="118">
        <v>0</v>
      </c>
      <c r="R40" s="118">
        <v>0</v>
      </c>
      <c r="S40" s="118"/>
      <c r="T40" s="118"/>
    </row>
    <row r="41" spans="2:20" ht="14.25" customHeight="1" x14ac:dyDescent="0.25">
      <c r="B41" s="200" t="s">
        <v>356</v>
      </c>
      <c r="C41" s="191" t="str">
        <f t="shared" si="8"/>
        <v>Analista de redes/infraestrutura Pleno</v>
      </c>
      <c r="D41" s="192" t="s">
        <v>100</v>
      </c>
      <c r="E41" s="213">
        <f t="shared" si="7"/>
        <v>4800</v>
      </c>
      <c r="F41" s="248">
        <v>6000</v>
      </c>
      <c r="G41" s="214">
        <f t="shared" si="9"/>
        <v>1200</v>
      </c>
      <c r="H41" s="129">
        <f t="shared" si="10"/>
        <v>7800</v>
      </c>
      <c r="I41" s="114"/>
      <c r="J41" s="114"/>
      <c r="K41" s="114"/>
      <c r="L41" s="134"/>
      <c r="M41" s="114"/>
      <c r="N41" s="212" t="s">
        <v>215</v>
      </c>
      <c r="O41" s="145">
        <f t="shared" si="11"/>
        <v>0</v>
      </c>
      <c r="P41" s="118"/>
      <c r="Q41" s="118">
        <v>0</v>
      </c>
      <c r="R41" s="118">
        <v>0</v>
      </c>
      <c r="S41" s="118"/>
      <c r="T41" s="118"/>
    </row>
    <row r="42" spans="2:20" ht="14.25" customHeight="1" x14ac:dyDescent="0.25">
      <c r="B42" s="200" t="s">
        <v>356</v>
      </c>
      <c r="C42" s="191" t="str">
        <f t="shared" si="8"/>
        <v>Analista de redes/infraestrutura Sênior</v>
      </c>
      <c r="D42" s="203" t="s">
        <v>101</v>
      </c>
      <c r="E42" s="213">
        <f t="shared" si="7"/>
        <v>6400</v>
      </c>
      <c r="F42" s="248">
        <v>8000</v>
      </c>
      <c r="G42" s="214">
        <f t="shared" si="9"/>
        <v>1600</v>
      </c>
      <c r="H42" s="129">
        <f t="shared" si="10"/>
        <v>10400</v>
      </c>
      <c r="I42" s="114"/>
      <c r="J42" s="114"/>
      <c r="K42" s="114"/>
      <c r="L42" s="134"/>
      <c r="M42" s="114"/>
      <c r="N42" s="212" t="s">
        <v>215</v>
      </c>
      <c r="O42" s="145">
        <f t="shared" si="11"/>
        <v>0</v>
      </c>
      <c r="P42" s="118"/>
      <c r="Q42" s="118">
        <v>0</v>
      </c>
      <c r="R42" s="118">
        <v>0</v>
      </c>
      <c r="S42" s="118"/>
      <c r="T42" s="118"/>
    </row>
    <row r="43" spans="2:20" ht="15" customHeight="1" x14ac:dyDescent="0.25">
      <c r="B43" s="198" t="s">
        <v>219</v>
      </c>
      <c r="C43" s="191" t="str">
        <f t="shared" si="8"/>
        <v>Analista de Suporte (N1) Júnior</v>
      </c>
      <c r="D43" s="192" t="s">
        <v>99</v>
      </c>
      <c r="E43" s="213">
        <f t="shared" si="7"/>
        <v>1840</v>
      </c>
      <c r="F43" s="248">
        <v>2300</v>
      </c>
      <c r="G43" s="214">
        <f t="shared" si="9"/>
        <v>460</v>
      </c>
      <c r="H43" s="129">
        <f t="shared" si="10"/>
        <v>2990</v>
      </c>
      <c r="I43" s="114"/>
      <c r="J43" s="114"/>
      <c r="K43" s="114"/>
      <c r="L43" s="134"/>
      <c r="M43" s="114"/>
      <c r="N43" s="212" t="s">
        <v>215</v>
      </c>
      <c r="O43" s="145">
        <f t="shared" si="11"/>
        <v>0</v>
      </c>
      <c r="P43" s="118"/>
      <c r="Q43" s="118">
        <v>0</v>
      </c>
      <c r="R43" s="118">
        <v>0</v>
      </c>
      <c r="S43" s="118"/>
      <c r="T43" s="118"/>
    </row>
    <row r="44" spans="2:20" ht="14.25" customHeight="1" x14ac:dyDescent="0.25">
      <c r="B44" s="198" t="s">
        <v>219</v>
      </c>
      <c r="C44" s="191" t="str">
        <f t="shared" si="8"/>
        <v>Analista de Suporte (N1) Pleno</v>
      </c>
      <c r="D44" s="192" t="s">
        <v>100</v>
      </c>
      <c r="E44" s="213">
        <f t="shared" si="7"/>
        <v>2720</v>
      </c>
      <c r="F44" s="248">
        <v>3400</v>
      </c>
      <c r="G44" s="214">
        <f t="shared" si="9"/>
        <v>680</v>
      </c>
      <c r="H44" s="129">
        <f t="shared" si="10"/>
        <v>4420</v>
      </c>
      <c r="I44" s="114"/>
      <c r="J44" s="114"/>
      <c r="K44" s="114"/>
      <c r="L44" s="134"/>
      <c r="M44" s="114"/>
      <c r="N44" s="212" t="s">
        <v>215</v>
      </c>
      <c r="O44" s="145">
        <f t="shared" si="11"/>
        <v>0</v>
      </c>
      <c r="P44" s="118"/>
      <c r="Q44" s="118">
        <v>0</v>
      </c>
      <c r="R44" s="118">
        <v>0</v>
      </c>
      <c r="S44" s="118"/>
      <c r="T44" s="118"/>
    </row>
    <row r="45" spans="2:20" ht="14.25" customHeight="1" x14ac:dyDescent="0.25">
      <c r="B45" s="198" t="s">
        <v>219</v>
      </c>
      <c r="C45" s="191" t="str">
        <f t="shared" si="8"/>
        <v>Analista de Suporte (N1) Sênior</v>
      </c>
      <c r="D45" s="192" t="s">
        <v>101</v>
      </c>
      <c r="E45" s="213">
        <f t="shared" si="7"/>
        <v>4200</v>
      </c>
      <c r="F45" s="248">
        <v>5250</v>
      </c>
      <c r="G45" s="214">
        <f t="shared" si="9"/>
        <v>1050</v>
      </c>
      <c r="H45" s="129">
        <f t="shared" si="10"/>
        <v>6825</v>
      </c>
      <c r="I45" s="114"/>
      <c r="J45" s="114"/>
      <c r="K45" s="114"/>
      <c r="L45" s="134"/>
      <c r="M45" s="114"/>
      <c r="N45" s="212" t="s">
        <v>215</v>
      </c>
      <c r="O45" s="145">
        <f t="shared" si="11"/>
        <v>0</v>
      </c>
      <c r="P45" s="118"/>
      <c r="Q45" s="118">
        <v>0</v>
      </c>
      <c r="R45" s="118">
        <v>0</v>
      </c>
      <c r="S45" s="118"/>
      <c r="T45" s="118"/>
    </row>
    <row r="46" spans="2:20" ht="14.25" hidden="1" customHeight="1" x14ac:dyDescent="0.25">
      <c r="B46" s="198" t="s">
        <v>220</v>
      </c>
      <c r="C46" s="191" t="str">
        <f t="shared" si="8"/>
        <v>Analista de Suporte (N2) Especialista</v>
      </c>
      <c r="D46" s="204" t="s">
        <v>103</v>
      </c>
      <c r="E46" s="213">
        <f t="shared" si="7"/>
        <v>5600</v>
      </c>
      <c r="F46" s="213">
        <v>7000</v>
      </c>
      <c r="G46" s="214">
        <f t="shared" si="9"/>
        <v>1400</v>
      </c>
      <c r="H46" s="129">
        <f t="shared" si="1"/>
        <v>7280</v>
      </c>
      <c r="I46" s="114" t="e">
        <f t="shared" ca="1" si="2"/>
        <v>#NAME?</v>
      </c>
      <c r="J46" s="114">
        <f t="shared" si="3"/>
        <v>6232.125</v>
      </c>
      <c r="K46" s="114" t="e">
        <f t="shared" ca="1" si="4"/>
        <v>#NAME?</v>
      </c>
      <c r="L46" s="134" t="e">
        <f t="shared" ca="1" si="5"/>
        <v>#NAME?</v>
      </c>
      <c r="M46" s="114" t="e" cm="1">
        <f t="array" aca="1" ref="M46" ca="1">_xlfn.IFS(L46&gt;=70%,"Alta",L46&gt;20%,"Média",L46&lt;=20%,"Baixa")</f>
        <v>#NAME?</v>
      </c>
      <c r="N46" s="215"/>
      <c r="O46" s="145">
        <f t="shared" si="11"/>
        <v>6232.125</v>
      </c>
      <c r="P46" s="118">
        <v>0</v>
      </c>
      <c r="Q46" s="118">
        <v>6464.25</v>
      </c>
      <c r="R46" s="118">
        <v>6000</v>
      </c>
      <c r="S46" s="118">
        <v>0</v>
      </c>
      <c r="T46" s="118">
        <v>0</v>
      </c>
    </row>
    <row r="47" spans="2:20" ht="14.25" customHeight="1" x14ac:dyDescent="0.25">
      <c r="B47" s="198" t="s">
        <v>220</v>
      </c>
      <c r="C47" s="191" t="str">
        <f t="shared" si="8"/>
        <v>Analista de Suporte (N2) Júnior</v>
      </c>
      <c r="D47" s="192" t="s">
        <v>99</v>
      </c>
      <c r="E47" s="213">
        <f t="shared" si="7"/>
        <v>2400</v>
      </c>
      <c r="F47" s="248">
        <v>3000</v>
      </c>
      <c r="G47" s="214">
        <f t="shared" si="9"/>
        <v>600</v>
      </c>
      <c r="H47" s="129">
        <f t="shared" ref="H47:H49" si="12">F47+(F47*IF(D47&lt;&gt;"",IF(D47&lt;&gt;"",VLOOKUP(D47,$D$3:$F$9,2,0)),""))</f>
        <v>3900</v>
      </c>
      <c r="I47" s="114" t="e">
        <f t="shared" ca="1" si="2"/>
        <v>#NAME?</v>
      </c>
      <c r="J47" s="114">
        <f t="shared" si="3"/>
        <v>2700</v>
      </c>
      <c r="K47" s="114" t="e">
        <f t="shared" ca="1" si="4"/>
        <v>#NAME?</v>
      </c>
      <c r="L47" s="134" t="e">
        <f t="shared" ca="1" si="5"/>
        <v>#NAME?</v>
      </c>
      <c r="M47" s="114" t="e" cm="1">
        <f t="array" aca="1" ref="M47" ca="1">_xlfn.IFS(L47&gt;=70%,"Alta",L47&gt;20%,"Média",L47&lt;=20%,"Baixa")</f>
        <v>#NAME?</v>
      </c>
      <c r="N47" s="212" t="s">
        <v>215</v>
      </c>
      <c r="O47" s="145">
        <v>1970</v>
      </c>
      <c r="P47" s="118">
        <v>0</v>
      </c>
      <c r="Q47" s="118">
        <v>3400</v>
      </c>
      <c r="R47" s="118">
        <v>2000</v>
      </c>
      <c r="S47" s="118">
        <v>0</v>
      </c>
      <c r="T47" s="118">
        <v>0</v>
      </c>
    </row>
    <row r="48" spans="2:20" ht="14.25" customHeight="1" x14ac:dyDescent="0.25">
      <c r="B48" s="198" t="s">
        <v>220</v>
      </c>
      <c r="C48" s="191" t="str">
        <f t="shared" si="8"/>
        <v>Analista de Suporte (N2) Pleno</v>
      </c>
      <c r="D48" s="192" t="s">
        <v>100</v>
      </c>
      <c r="E48" s="213">
        <f t="shared" si="7"/>
        <v>3200</v>
      </c>
      <c r="F48" s="248">
        <v>4000</v>
      </c>
      <c r="G48" s="214">
        <f t="shared" si="9"/>
        <v>800</v>
      </c>
      <c r="H48" s="129">
        <f t="shared" si="12"/>
        <v>5200</v>
      </c>
      <c r="I48" s="114" t="e">
        <f t="shared" ca="1" si="2"/>
        <v>#NAME?</v>
      </c>
      <c r="J48" s="114">
        <f t="shared" si="3"/>
        <v>3710</v>
      </c>
      <c r="K48" s="114" t="e">
        <f t="shared" ca="1" si="4"/>
        <v>#NAME?</v>
      </c>
      <c r="L48" s="134" t="e">
        <f t="shared" ca="1" si="5"/>
        <v>#NAME?</v>
      </c>
      <c r="M48" s="114" t="e" cm="1">
        <f t="array" aca="1" ref="M48" ca="1">_xlfn.IFS(L48&gt;=70%,"Alta",L48&gt;20%,"Média",L48&lt;=20%,"Baixa")</f>
        <v>#NAME?</v>
      </c>
      <c r="N48" s="212" t="s">
        <v>215</v>
      </c>
      <c r="O48" s="145">
        <f>J48</f>
        <v>3710</v>
      </c>
      <c r="P48" s="118">
        <v>0</v>
      </c>
      <c r="Q48" s="118">
        <v>4420</v>
      </c>
      <c r="R48" s="118">
        <v>3000</v>
      </c>
      <c r="S48" s="118">
        <v>0</v>
      </c>
      <c r="T48" s="118">
        <v>0</v>
      </c>
    </row>
    <row r="49" spans="2:20" ht="14.25" customHeight="1" x14ac:dyDescent="0.25">
      <c r="B49" s="198" t="s">
        <v>220</v>
      </c>
      <c r="C49" s="191" t="str">
        <f t="shared" si="8"/>
        <v>Analista de Suporte (N2) Sênior</v>
      </c>
      <c r="D49" s="192" t="s">
        <v>101</v>
      </c>
      <c r="E49" s="213">
        <f t="shared" si="7"/>
        <v>4400</v>
      </c>
      <c r="F49" s="248">
        <v>5500</v>
      </c>
      <c r="G49" s="214">
        <f t="shared" si="9"/>
        <v>1100</v>
      </c>
      <c r="H49" s="129">
        <f t="shared" si="12"/>
        <v>7150</v>
      </c>
      <c r="I49" s="114" t="e">
        <f t="shared" ca="1" si="2"/>
        <v>#NAME?</v>
      </c>
      <c r="J49" s="114">
        <f t="shared" si="3"/>
        <v>4762.5</v>
      </c>
      <c r="K49" s="114" t="e">
        <f t="shared" ca="1" si="4"/>
        <v>#NAME?</v>
      </c>
      <c r="L49" s="134" t="e">
        <f t="shared" ca="1" si="5"/>
        <v>#NAME?</v>
      </c>
      <c r="M49" s="114" t="e" cm="1">
        <f t="array" aca="1" ref="M49" ca="1">_xlfn.IFS(L49&gt;=70%,"Alta",L49&gt;20%,"Média",L49&lt;=20%,"Baixa")</f>
        <v>#NAME?</v>
      </c>
      <c r="N49" s="212" t="s">
        <v>215</v>
      </c>
      <c r="O49" s="145">
        <f>J49</f>
        <v>4762.5</v>
      </c>
      <c r="P49" s="118">
        <v>0</v>
      </c>
      <c r="Q49" s="118">
        <v>5525</v>
      </c>
      <c r="R49" s="118">
        <v>4000</v>
      </c>
      <c r="S49" s="118">
        <v>0</v>
      </c>
      <c r="T49" s="118">
        <v>0</v>
      </c>
    </row>
    <row r="50" spans="2:20" ht="14.25" hidden="1" customHeight="1" x14ac:dyDescent="0.25">
      <c r="B50" s="198" t="s">
        <v>149</v>
      </c>
      <c r="C50" s="191" t="str">
        <f t="shared" si="8"/>
        <v>Analista de Testes de Performance - Especialista Especialista</v>
      </c>
      <c r="D50" s="205" t="s">
        <v>103</v>
      </c>
      <c r="E50" s="213">
        <f t="shared" si="7"/>
        <v>6800</v>
      </c>
      <c r="F50" s="213">
        <v>8500</v>
      </c>
      <c r="G50" s="214">
        <f t="shared" si="9"/>
        <v>1700</v>
      </c>
      <c r="H50" s="129">
        <f t="shared" ref="H50:H77" si="13">E50+(E50*IF(D50&lt;&gt;"",IF(D50&lt;&gt;"",VLOOKUP(D50,$D$3:$E$9,2,0)),""))</f>
        <v>8840</v>
      </c>
      <c r="I50" s="114" t="e">
        <f t="shared" ref="I50:I81" ca="1" si="14">_xlfn.MINIFS(Q50:T50,Q50:T50,"&gt;0",Q50:T50,"&lt;&gt;"&amp;"")</f>
        <v>#NAME?</v>
      </c>
      <c r="J50" s="114">
        <f t="shared" ref="J50:J81" si="15">IF(SUM(Q50:T50)&gt;0,
AVERAGEIFS(Q50:T50, Q50:T50,"&gt;0",Q50:T50,"&lt;&gt;"&amp;""),
0)</f>
        <v>9313</v>
      </c>
      <c r="K50" s="114" t="e">
        <f t="shared" ref="K50:K81" ca="1" si="16">_xlfn.MAXIFS(Q50:T50,Q50:T50,"&gt;0",Q50:T50,"&lt;&gt;"&amp;"")</f>
        <v>#NAME?</v>
      </c>
      <c r="L50" s="134" t="e">
        <f t="shared" ref="L50:L81" ca="1" si="17">(K50-I50)/I50</f>
        <v>#NAME?</v>
      </c>
      <c r="M50" s="114" t="e" cm="1">
        <f t="array" aca="1" ref="M50" ca="1">_xlfn.IFS(L50&gt;=70%,"Alta",L50&gt;20%,"Média",L50&lt;=20%,"Baixa")</f>
        <v>#NAME?</v>
      </c>
      <c r="N50" s="215"/>
      <c r="O50" s="145">
        <v>5280</v>
      </c>
      <c r="P50" s="118">
        <v>0</v>
      </c>
      <c r="Q50" s="118">
        <v>9126</v>
      </c>
      <c r="R50" s="118">
        <v>9500</v>
      </c>
      <c r="S50" s="118">
        <v>0</v>
      </c>
      <c r="T50" s="118">
        <v>0</v>
      </c>
    </row>
    <row r="51" spans="2:20" ht="14.25" hidden="1" customHeight="1" x14ac:dyDescent="0.25">
      <c r="B51" s="198" t="s">
        <v>197</v>
      </c>
      <c r="C51" s="191" t="str">
        <f t="shared" si="8"/>
        <v>Analista de Testes de Performance - Junior Júnior</v>
      </c>
      <c r="D51" s="197" t="s">
        <v>99</v>
      </c>
      <c r="E51" s="213">
        <f t="shared" si="7"/>
        <v>3040</v>
      </c>
      <c r="F51" s="213">
        <v>3800</v>
      </c>
      <c r="G51" s="214">
        <f t="shared" si="9"/>
        <v>760</v>
      </c>
      <c r="H51" s="129">
        <f t="shared" si="13"/>
        <v>3952</v>
      </c>
      <c r="I51" s="114" t="e">
        <f t="shared" ca="1" si="14"/>
        <v>#NAME?</v>
      </c>
      <c r="J51" s="114">
        <f t="shared" si="15"/>
        <v>3900</v>
      </c>
      <c r="K51" s="114" t="e">
        <f t="shared" ca="1" si="16"/>
        <v>#NAME?</v>
      </c>
      <c r="L51" s="134" t="e">
        <f t="shared" ca="1" si="17"/>
        <v>#NAME?</v>
      </c>
      <c r="M51" s="114" t="e" cm="1">
        <f t="array" aca="1" ref="M51" ca="1">_xlfn.IFS(L51&gt;=70%,"Alta",L51&gt;20%,"Média",L51&lt;=20%,"Baixa")</f>
        <v>#NAME?</v>
      </c>
      <c r="N51" s="215"/>
      <c r="O51" s="146">
        <v>3000</v>
      </c>
      <c r="P51" s="118">
        <v>0</v>
      </c>
      <c r="Q51" s="118">
        <v>4800</v>
      </c>
      <c r="R51" s="118">
        <v>3000</v>
      </c>
      <c r="S51" s="118">
        <v>0</v>
      </c>
      <c r="T51" s="118">
        <v>0</v>
      </c>
    </row>
    <row r="52" spans="2:20" ht="14.25" hidden="1" customHeight="1" x14ac:dyDescent="0.25">
      <c r="B52" s="198" t="s">
        <v>147</v>
      </c>
      <c r="C52" s="191" t="str">
        <f t="shared" si="8"/>
        <v>Analista de Testes de Performance - Pleno Pleno</v>
      </c>
      <c r="D52" s="192" t="s">
        <v>100</v>
      </c>
      <c r="E52" s="213">
        <f t="shared" si="7"/>
        <v>4720</v>
      </c>
      <c r="F52" s="213">
        <v>5900</v>
      </c>
      <c r="G52" s="214">
        <f t="shared" si="9"/>
        <v>1180</v>
      </c>
      <c r="H52" s="129">
        <f t="shared" si="13"/>
        <v>6136</v>
      </c>
      <c r="I52" s="114" t="e">
        <f t="shared" ca="1" si="14"/>
        <v>#NAME?</v>
      </c>
      <c r="J52" s="114">
        <f t="shared" si="15"/>
        <v>5620</v>
      </c>
      <c r="K52" s="114" t="e">
        <f t="shared" ca="1" si="16"/>
        <v>#NAME?</v>
      </c>
      <c r="L52" s="134" t="e">
        <f t="shared" ca="1" si="17"/>
        <v>#NAME?</v>
      </c>
      <c r="M52" s="114" t="e" cm="1">
        <f t="array" aca="1" ref="M52" ca="1">_xlfn.IFS(L52&gt;=70%,"Alta",L52&gt;20%,"Média",L52&lt;=20%,"Baixa")</f>
        <v>#NAME?</v>
      </c>
      <c r="N52" s="215"/>
      <c r="O52" s="145">
        <v>3750</v>
      </c>
      <c r="P52" s="118">
        <v>0</v>
      </c>
      <c r="Q52" s="118">
        <v>6240</v>
      </c>
      <c r="R52" s="118">
        <v>5000</v>
      </c>
      <c r="S52" s="118">
        <v>0</v>
      </c>
      <c r="T52" s="118">
        <v>0</v>
      </c>
    </row>
    <row r="53" spans="2:20" ht="14.25" hidden="1" customHeight="1" x14ac:dyDescent="0.25">
      <c r="B53" s="198" t="s">
        <v>148</v>
      </c>
      <c r="C53" s="191" t="str">
        <f t="shared" si="8"/>
        <v>Analista de Testes de Performance - Senior Sênior</v>
      </c>
      <c r="D53" s="192" t="s">
        <v>101</v>
      </c>
      <c r="E53" s="213">
        <f t="shared" si="7"/>
        <v>5920</v>
      </c>
      <c r="F53" s="213">
        <v>7400</v>
      </c>
      <c r="G53" s="214">
        <f t="shared" si="9"/>
        <v>1480</v>
      </c>
      <c r="H53" s="129">
        <f t="shared" si="13"/>
        <v>7696</v>
      </c>
      <c r="I53" s="114" t="e">
        <f t="shared" ca="1" si="14"/>
        <v>#NAME?</v>
      </c>
      <c r="J53" s="114">
        <f t="shared" si="15"/>
        <v>7400</v>
      </c>
      <c r="K53" s="114" t="e">
        <f t="shared" ca="1" si="16"/>
        <v>#NAME?</v>
      </c>
      <c r="L53" s="134" t="e">
        <f t="shared" ca="1" si="17"/>
        <v>#NAME?</v>
      </c>
      <c r="M53" s="114" t="e" cm="1">
        <f t="array" aca="1" ref="M53" ca="1">_xlfn.IFS(L53&gt;=70%,"Alta",L53&gt;20%,"Média",L53&lt;=20%,"Baixa")</f>
        <v>#NAME?</v>
      </c>
      <c r="N53" s="215"/>
      <c r="O53" s="145">
        <v>4520</v>
      </c>
      <c r="P53" s="118">
        <v>0</v>
      </c>
      <c r="Q53" s="118">
        <v>7800</v>
      </c>
      <c r="R53" s="118">
        <v>7000</v>
      </c>
      <c r="S53" s="118">
        <v>0</v>
      </c>
      <c r="T53" s="118">
        <v>0</v>
      </c>
    </row>
    <row r="54" spans="2:20" ht="14.25" hidden="1" customHeight="1" x14ac:dyDescent="0.25">
      <c r="B54" s="200" t="s">
        <v>160</v>
      </c>
      <c r="C54" s="202" t="str">
        <f t="shared" ref="C54:C73" si="18">B54</f>
        <v>Analista de Web Analytics - Especialista</v>
      </c>
      <c r="D54" s="206" t="s">
        <v>100</v>
      </c>
      <c r="E54" s="213">
        <f t="shared" si="7"/>
        <v>9200</v>
      </c>
      <c r="F54" s="213">
        <v>11500</v>
      </c>
      <c r="G54" s="214">
        <f t="shared" si="9"/>
        <v>2300</v>
      </c>
      <c r="H54" s="129">
        <f t="shared" si="13"/>
        <v>11960</v>
      </c>
      <c r="I54" s="114" t="e">
        <f t="shared" ca="1" si="14"/>
        <v>#NAME?</v>
      </c>
      <c r="J54" s="114">
        <f t="shared" si="15"/>
        <v>7577.1875</v>
      </c>
      <c r="K54" s="114" t="e">
        <f t="shared" ca="1" si="16"/>
        <v>#NAME?</v>
      </c>
      <c r="L54" s="134" t="e">
        <f t="shared" ca="1" si="17"/>
        <v>#NAME?</v>
      </c>
      <c r="M54" s="114" t="e" cm="1">
        <f t="array" aca="1" ref="M54" ca="1">_xlfn.IFS(L54&gt;=70%,"Alta",L54&gt;20%,"Média",L54&lt;=20%,"Baixa")</f>
        <v>#NAME?</v>
      </c>
      <c r="N54" s="114"/>
      <c r="O54" s="145">
        <f t="shared" ref="O54:O66" si="19">J54</f>
        <v>7577.1875</v>
      </c>
      <c r="P54" s="118">
        <v>0</v>
      </c>
      <c r="Q54" s="118">
        <v>6654.375</v>
      </c>
      <c r="R54" s="118">
        <v>8500</v>
      </c>
      <c r="S54" s="118">
        <v>0</v>
      </c>
      <c r="T54" s="118">
        <v>0</v>
      </c>
    </row>
    <row r="55" spans="2:20" ht="14.25" hidden="1" customHeight="1" x14ac:dyDescent="0.25">
      <c r="B55" s="200" t="s">
        <v>157</v>
      </c>
      <c r="C55" s="202" t="str">
        <f t="shared" si="18"/>
        <v>Analista de Web Analytics - Junior</v>
      </c>
      <c r="D55" s="192" t="s">
        <v>100</v>
      </c>
      <c r="E55" s="213">
        <f t="shared" si="7"/>
        <v>2800</v>
      </c>
      <c r="F55" s="213">
        <v>3500</v>
      </c>
      <c r="G55" s="214">
        <f t="shared" si="9"/>
        <v>700</v>
      </c>
      <c r="H55" s="129">
        <f t="shared" si="13"/>
        <v>3640</v>
      </c>
      <c r="I55" s="114" t="e">
        <f t="shared" ca="1" si="14"/>
        <v>#NAME?</v>
      </c>
      <c r="J55" s="114">
        <f t="shared" si="15"/>
        <v>3250</v>
      </c>
      <c r="K55" s="114" t="e">
        <f t="shared" ca="1" si="16"/>
        <v>#NAME?</v>
      </c>
      <c r="L55" s="134" t="e">
        <f t="shared" ca="1" si="17"/>
        <v>#NAME?</v>
      </c>
      <c r="M55" s="114" t="e" cm="1">
        <f t="array" aca="1" ref="M55" ca="1">_xlfn.IFS(L55&gt;=70%,"Alta",L55&gt;20%,"Média",L55&lt;=20%,"Baixa")</f>
        <v>#NAME?</v>
      </c>
      <c r="N55" s="114"/>
      <c r="O55" s="145">
        <f t="shared" si="19"/>
        <v>3250</v>
      </c>
      <c r="P55" s="118">
        <v>0</v>
      </c>
      <c r="Q55" s="118">
        <v>3500</v>
      </c>
      <c r="R55" s="118">
        <v>3000</v>
      </c>
      <c r="S55" s="118">
        <v>0</v>
      </c>
      <c r="T55" s="118">
        <v>0</v>
      </c>
    </row>
    <row r="56" spans="2:20" ht="14.25" hidden="1" customHeight="1" x14ac:dyDescent="0.25">
      <c r="B56" s="200" t="s">
        <v>158</v>
      </c>
      <c r="C56" s="202" t="str">
        <f t="shared" si="18"/>
        <v>Analista de Web Analytics - Pleno</v>
      </c>
      <c r="D56" s="192" t="s">
        <v>100</v>
      </c>
      <c r="E56" s="213">
        <f t="shared" si="7"/>
        <v>5600</v>
      </c>
      <c r="F56" s="213">
        <v>7000</v>
      </c>
      <c r="G56" s="214">
        <f t="shared" si="9"/>
        <v>1400</v>
      </c>
      <c r="H56" s="129">
        <f t="shared" si="13"/>
        <v>7280</v>
      </c>
      <c r="I56" s="114" t="e">
        <f t="shared" ca="1" si="14"/>
        <v>#NAME?</v>
      </c>
      <c r="J56" s="114">
        <f t="shared" si="15"/>
        <v>4525</v>
      </c>
      <c r="K56" s="114" t="e">
        <f t="shared" ca="1" si="16"/>
        <v>#NAME?</v>
      </c>
      <c r="L56" s="134" t="e">
        <f t="shared" ca="1" si="17"/>
        <v>#NAME?</v>
      </c>
      <c r="M56" s="114" t="e" cm="1">
        <f t="array" aca="1" ref="M56" ca="1">_xlfn.IFS(L56&gt;=70%,"Alta",L56&gt;20%,"Média",L56&lt;=20%,"Baixa")</f>
        <v>#NAME?</v>
      </c>
      <c r="N56" s="114"/>
      <c r="O56" s="145">
        <f t="shared" si="19"/>
        <v>4525</v>
      </c>
      <c r="P56" s="118">
        <v>0</v>
      </c>
      <c r="Q56" s="118">
        <v>4550</v>
      </c>
      <c r="R56" s="118">
        <v>4500</v>
      </c>
      <c r="S56" s="118">
        <v>0</v>
      </c>
      <c r="T56" s="118">
        <v>0</v>
      </c>
    </row>
    <row r="57" spans="2:20" ht="14.25" hidden="1" customHeight="1" x14ac:dyDescent="0.25">
      <c r="B57" s="200" t="s">
        <v>159</v>
      </c>
      <c r="C57" s="202" t="str">
        <f t="shared" si="18"/>
        <v>Analista de Web Analytics - Senior</v>
      </c>
      <c r="D57" s="203" t="s">
        <v>100</v>
      </c>
      <c r="E57" s="213">
        <f t="shared" si="7"/>
        <v>7600</v>
      </c>
      <c r="F57" s="213">
        <v>9500</v>
      </c>
      <c r="G57" s="214">
        <f t="shared" si="9"/>
        <v>1900</v>
      </c>
      <c r="H57" s="129">
        <f t="shared" si="13"/>
        <v>9880</v>
      </c>
      <c r="I57" s="114" t="e">
        <f t="shared" ca="1" si="14"/>
        <v>#NAME?</v>
      </c>
      <c r="J57" s="114">
        <f t="shared" si="15"/>
        <v>6093.75</v>
      </c>
      <c r="K57" s="114" t="e">
        <f t="shared" ca="1" si="16"/>
        <v>#NAME?</v>
      </c>
      <c r="L57" s="134" t="e">
        <f t="shared" ca="1" si="17"/>
        <v>#NAME?</v>
      </c>
      <c r="M57" s="114" t="e" cm="1">
        <f t="array" aca="1" ref="M57" ca="1">_xlfn.IFS(L57&gt;=70%,"Alta",L57&gt;20%,"Média",L57&lt;=20%,"Baixa")</f>
        <v>#NAME?</v>
      </c>
      <c r="N57" s="114"/>
      <c r="O57" s="145">
        <f t="shared" si="19"/>
        <v>6093.75</v>
      </c>
      <c r="P57" s="118">
        <v>0</v>
      </c>
      <c r="Q57" s="118">
        <v>5687.5</v>
      </c>
      <c r="R57" s="118">
        <v>6500</v>
      </c>
      <c r="S57" s="118">
        <v>0</v>
      </c>
      <c r="T57" s="118">
        <v>0</v>
      </c>
    </row>
    <row r="58" spans="2:20" ht="14.25" hidden="1" customHeight="1" x14ac:dyDescent="0.25">
      <c r="B58" s="200" t="s">
        <v>156</v>
      </c>
      <c r="C58" s="202" t="str">
        <f t="shared" si="18"/>
        <v>Analista Funcional de Suporte (N2) - Especialista</v>
      </c>
      <c r="D58" s="207" t="s">
        <v>100</v>
      </c>
      <c r="E58" s="213">
        <f t="shared" si="7"/>
        <v>9200</v>
      </c>
      <c r="F58" s="213">
        <v>11500</v>
      </c>
      <c r="G58" s="214">
        <f t="shared" si="9"/>
        <v>2300</v>
      </c>
      <c r="H58" s="129">
        <f t="shared" si="13"/>
        <v>11960</v>
      </c>
      <c r="I58" s="114" t="e">
        <f t="shared" ca="1" si="14"/>
        <v>#NAME?</v>
      </c>
      <c r="J58" s="114">
        <f t="shared" si="15"/>
        <v>7337.6875</v>
      </c>
      <c r="K58" s="114" t="e">
        <f t="shared" ca="1" si="16"/>
        <v>#NAME?</v>
      </c>
      <c r="L58" s="134" t="e">
        <f t="shared" ca="1" si="17"/>
        <v>#NAME?</v>
      </c>
      <c r="M58" s="114" t="e" cm="1">
        <f t="array" aca="1" ref="M58" ca="1">_xlfn.IFS(L58&gt;=70%,"Alta",L58&gt;20%,"Média",L58&lt;=20%,"Baixa")</f>
        <v>#NAME?</v>
      </c>
      <c r="N58" s="114"/>
      <c r="O58" s="145">
        <f t="shared" si="19"/>
        <v>7337.6875</v>
      </c>
      <c r="P58" s="118">
        <v>0</v>
      </c>
      <c r="Q58" s="118">
        <v>8175.375</v>
      </c>
      <c r="R58" s="118">
        <v>6500</v>
      </c>
      <c r="S58" s="118">
        <v>0</v>
      </c>
      <c r="T58" s="118">
        <v>0</v>
      </c>
    </row>
    <row r="59" spans="2:20" ht="15" hidden="1" customHeight="1" x14ac:dyDescent="0.25">
      <c r="B59" s="200" t="s">
        <v>153</v>
      </c>
      <c r="C59" s="202" t="str">
        <f t="shared" si="18"/>
        <v>Analista Funcional de Suporte (N2) - Junior</v>
      </c>
      <c r="D59" s="207" t="s">
        <v>100</v>
      </c>
      <c r="E59" s="213">
        <f t="shared" si="7"/>
        <v>3200</v>
      </c>
      <c r="F59" s="213">
        <v>4000</v>
      </c>
      <c r="G59" s="214">
        <f t="shared" si="9"/>
        <v>800</v>
      </c>
      <c r="H59" s="129">
        <f t="shared" si="13"/>
        <v>4160</v>
      </c>
      <c r="I59" s="114" t="e">
        <f t="shared" ca="1" si="14"/>
        <v>#NAME?</v>
      </c>
      <c r="J59" s="114">
        <f t="shared" si="15"/>
        <v>3150</v>
      </c>
      <c r="K59" s="114" t="e">
        <f t="shared" ca="1" si="16"/>
        <v>#NAME?</v>
      </c>
      <c r="L59" s="134" t="e">
        <f t="shared" ca="1" si="17"/>
        <v>#NAME?</v>
      </c>
      <c r="M59" s="114" t="e" cm="1">
        <f t="array" aca="1" ref="M59" ca="1">_xlfn.IFS(L59&gt;=70%,"Alta",L59&gt;20%,"Média",L59&lt;=20%,"Baixa")</f>
        <v>#NAME?</v>
      </c>
      <c r="N59" s="114"/>
      <c r="O59" s="145">
        <f t="shared" si="19"/>
        <v>3150</v>
      </c>
      <c r="P59" s="118">
        <v>0</v>
      </c>
      <c r="Q59" s="118">
        <v>4300</v>
      </c>
      <c r="R59" s="118">
        <v>2000</v>
      </c>
      <c r="S59" s="118">
        <v>0</v>
      </c>
      <c r="T59" s="118">
        <v>0</v>
      </c>
    </row>
    <row r="60" spans="2:20" ht="14.25" hidden="1" customHeight="1" x14ac:dyDescent="0.25">
      <c r="B60" s="200" t="s">
        <v>154</v>
      </c>
      <c r="C60" s="202" t="str">
        <f t="shared" si="18"/>
        <v>Analista Funcional de Suporte (N2) - Pleno</v>
      </c>
      <c r="D60" s="204" t="s">
        <v>100</v>
      </c>
      <c r="E60" s="213">
        <f t="shared" si="7"/>
        <v>5600</v>
      </c>
      <c r="F60" s="213">
        <v>7000</v>
      </c>
      <c r="G60" s="214">
        <f t="shared" si="9"/>
        <v>1400</v>
      </c>
      <c r="H60" s="129">
        <f t="shared" si="13"/>
        <v>7280</v>
      </c>
      <c r="I60" s="114" t="e">
        <f t="shared" ca="1" si="14"/>
        <v>#NAME?</v>
      </c>
      <c r="J60" s="114">
        <f t="shared" si="15"/>
        <v>4295</v>
      </c>
      <c r="K60" s="114" t="e">
        <f t="shared" ca="1" si="16"/>
        <v>#NAME?</v>
      </c>
      <c r="L60" s="134" t="e">
        <f t="shared" ca="1" si="17"/>
        <v>#NAME?</v>
      </c>
      <c r="M60" s="114" t="e" cm="1">
        <f t="array" aca="1" ref="M60" ca="1">_xlfn.IFS(L60&gt;=70%,"Alta",L60&gt;20%,"Média",L60&lt;=20%,"Baixa")</f>
        <v>#NAME?</v>
      </c>
      <c r="N60" s="114"/>
      <c r="O60" s="145">
        <f t="shared" si="19"/>
        <v>4295</v>
      </c>
      <c r="P60" s="118">
        <v>0</v>
      </c>
      <c r="Q60" s="118">
        <v>5590</v>
      </c>
      <c r="R60" s="118">
        <v>3000</v>
      </c>
      <c r="S60" s="118">
        <v>0</v>
      </c>
      <c r="T60" s="118">
        <v>0</v>
      </c>
    </row>
    <row r="61" spans="2:20" ht="14.25" hidden="1" customHeight="1" x14ac:dyDescent="0.25">
      <c r="B61" s="200" t="s">
        <v>155</v>
      </c>
      <c r="C61" s="202" t="str">
        <f t="shared" si="18"/>
        <v>Analista Funcional de Suporte (N2) - Senior</v>
      </c>
      <c r="D61" s="192" t="s">
        <v>100</v>
      </c>
      <c r="E61" s="213">
        <f t="shared" si="7"/>
        <v>7600</v>
      </c>
      <c r="F61" s="213">
        <v>9500</v>
      </c>
      <c r="G61" s="214">
        <f t="shared" si="9"/>
        <v>1900</v>
      </c>
      <c r="H61" s="129">
        <f t="shared" si="13"/>
        <v>9880</v>
      </c>
      <c r="I61" s="114" t="e">
        <f t="shared" ca="1" si="14"/>
        <v>#NAME?</v>
      </c>
      <c r="J61" s="114">
        <f t="shared" si="15"/>
        <v>5743.75</v>
      </c>
      <c r="K61" s="114" t="e">
        <f t="shared" ca="1" si="16"/>
        <v>#NAME?</v>
      </c>
      <c r="L61" s="134" t="e">
        <f t="shared" ca="1" si="17"/>
        <v>#NAME?</v>
      </c>
      <c r="M61" s="114" t="e" cm="1">
        <f t="array" aca="1" ref="M61" ca="1">_xlfn.IFS(L61&gt;=70%,"Alta",L61&gt;20%,"Média",L61&lt;=20%,"Baixa")</f>
        <v>#NAME?</v>
      </c>
      <c r="N61" s="114"/>
      <c r="O61" s="145">
        <f t="shared" si="19"/>
        <v>5743.75</v>
      </c>
      <c r="P61" s="118">
        <v>0</v>
      </c>
      <c r="Q61" s="118">
        <v>6987.5</v>
      </c>
      <c r="R61" s="118">
        <v>4500</v>
      </c>
      <c r="S61" s="118">
        <v>0</v>
      </c>
      <c r="T61" s="118">
        <v>0</v>
      </c>
    </row>
    <row r="62" spans="2:20" ht="14.25" customHeight="1" x14ac:dyDescent="0.25">
      <c r="B62" s="198" t="s">
        <v>223</v>
      </c>
      <c r="C62" s="191" t="str">
        <f t="shared" ref="C62:C69" si="20">B62&amp; " " &amp;D62</f>
        <v>Analista UX Especialista</v>
      </c>
      <c r="D62" s="192" t="s">
        <v>103</v>
      </c>
      <c r="E62" s="213">
        <f t="shared" si="7"/>
        <v>7600</v>
      </c>
      <c r="F62" s="248">
        <v>9500</v>
      </c>
      <c r="G62" s="214">
        <f t="shared" si="9"/>
        <v>1900</v>
      </c>
      <c r="H62" s="129">
        <f t="shared" ref="H62:H66" si="21">F62+(F62*IF(D62&lt;&gt;"",IF(D62&lt;&gt;"",VLOOKUP(D62,$D$3:$F$9,2,0)),""))</f>
        <v>12350</v>
      </c>
      <c r="I62" s="114" t="e">
        <f t="shared" ca="1" si="14"/>
        <v>#NAME?</v>
      </c>
      <c r="J62" s="114">
        <f t="shared" si="15"/>
        <v>9943.25</v>
      </c>
      <c r="K62" s="114" t="e">
        <f t="shared" ca="1" si="16"/>
        <v>#NAME?</v>
      </c>
      <c r="L62" s="134" t="e">
        <f t="shared" ca="1" si="17"/>
        <v>#NAME?</v>
      </c>
      <c r="M62" s="114" t="e" cm="1">
        <f t="array" aca="1" ref="M62" ca="1">_xlfn.IFS(L62&gt;=70%,"Alta",L62&gt;20%,"Média",L62&lt;=20%,"Baixa")</f>
        <v>#NAME?</v>
      </c>
      <c r="N62" s="212" t="s">
        <v>215</v>
      </c>
      <c r="O62" s="145">
        <f t="shared" si="19"/>
        <v>9943.25</v>
      </c>
      <c r="P62" s="118">
        <v>0</v>
      </c>
      <c r="Q62" s="118">
        <v>9886.5</v>
      </c>
      <c r="R62" s="118">
        <v>10000</v>
      </c>
      <c r="S62" s="118">
        <v>0</v>
      </c>
      <c r="T62" s="118">
        <v>0</v>
      </c>
    </row>
    <row r="63" spans="2:20" ht="14.25" customHeight="1" x14ac:dyDescent="0.25">
      <c r="B63" s="198" t="s">
        <v>223</v>
      </c>
      <c r="C63" s="191" t="str">
        <f t="shared" si="20"/>
        <v>Analista UX Júnior</v>
      </c>
      <c r="D63" s="192" t="s">
        <v>99</v>
      </c>
      <c r="E63" s="213">
        <f t="shared" si="7"/>
        <v>3200</v>
      </c>
      <c r="F63" s="248">
        <v>4000</v>
      </c>
      <c r="G63" s="214">
        <f t="shared" si="9"/>
        <v>800</v>
      </c>
      <c r="H63" s="129">
        <f t="shared" si="21"/>
        <v>5200</v>
      </c>
      <c r="I63" s="114" t="e">
        <f t="shared" ca="1" si="14"/>
        <v>#NAME?</v>
      </c>
      <c r="J63" s="114">
        <f t="shared" si="15"/>
        <v>4100</v>
      </c>
      <c r="K63" s="114" t="e">
        <f t="shared" ca="1" si="16"/>
        <v>#NAME?</v>
      </c>
      <c r="L63" s="134" t="e">
        <f t="shared" ca="1" si="17"/>
        <v>#NAME?</v>
      </c>
      <c r="M63" s="114" t="e" cm="1">
        <f t="array" aca="1" ref="M63" ca="1">_xlfn.IFS(L63&gt;=70%,"Alta",L63&gt;20%,"Média",L63&lt;=20%,"Baixa")</f>
        <v>#NAME?</v>
      </c>
      <c r="N63" s="212" t="s">
        <v>215</v>
      </c>
      <c r="O63" s="145">
        <f t="shared" si="19"/>
        <v>4100</v>
      </c>
      <c r="P63" s="118">
        <v>0</v>
      </c>
      <c r="Q63" s="118">
        <v>5200</v>
      </c>
      <c r="R63" s="118">
        <v>3000</v>
      </c>
      <c r="S63" s="118">
        <v>0</v>
      </c>
      <c r="T63" s="118">
        <v>0</v>
      </c>
    </row>
    <row r="64" spans="2:20" ht="14.25" customHeight="1" x14ac:dyDescent="0.25">
      <c r="B64" s="198" t="s">
        <v>223</v>
      </c>
      <c r="C64" s="191" t="str">
        <f t="shared" si="20"/>
        <v>Analista UX Pleno</v>
      </c>
      <c r="D64" s="192" t="s">
        <v>100</v>
      </c>
      <c r="E64" s="213">
        <f t="shared" si="7"/>
        <v>4400</v>
      </c>
      <c r="F64" s="248">
        <v>5500</v>
      </c>
      <c r="G64" s="214">
        <f t="shared" si="9"/>
        <v>1100</v>
      </c>
      <c r="H64" s="129">
        <f t="shared" si="21"/>
        <v>7150</v>
      </c>
      <c r="I64" s="114" t="e">
        <f t="shared" ca="1" si="14"/>
        <v>#NAME?</v>
      </c>
      <c r="J64" s="114">
        <f t="shared" si="15"/>
        <v>6130</v>
      </c>
      <c r="K64" s="114" t="e">
        <f t="shared" ca="1" si="16"/>
        <v>#NAME?</v>
      </c>
      <c r="L64" s="134" t="e">
        <f t="shared" ca="1" si="17"/>
        <v>#NAME?</v>
      </c>
      <c r="M64" s="114" t="e" cm="1">
        <f t="array" aca="1" ref="M64" ca="1">_xlfn.IFS(L64&gt;=70%,"Alta",L64&gt;20%,"Média",L64&lt;=20%,"Baixa")</f>
        <v>#NAME?</v>
      </c>
      <c r="N64" s="212" t="s">
        <v>215</v>
      </c>
      <c r="O64" s="145">
        <f t="shared" si="19"/>
        <v>6130</v>
      </c>
      <c r="P64" s="118">
        <v>0</v>
      </c>
      <c r="Q64" s="118">
        <v>6760</v>
      </c>
      <c r="R64" s="118">
        <v>5500</v>
      </c>
      <c r="S64" s="118">
        <v>0</v>
      </c>
      <c r="T64" s="118">
        <v>0</v>
      </c>
    </row>
    <row r="65" spans="2:20" ht="14.25" customHeight="1" x14ac:dyDescent="0.25">
      <c r="B65" s="198" t="s">
        <v>223</v>
      </c>
      <c r="C65" s="191" t="str">
        <f t="shared" si="20"/>
        <v>Analista UX Sênior</v>
      </c>
      <c r="D65" s="192" t="s">
        <v>101</v>
      </c>
      <c r="E65" s="213">
        <f t="shared" si="7"/>
        <v>5760</v>
      </c>
      <c r="F65" s="248">
        <v>7200</v>
      </c>
      <c r="G65" s="214">
        <f t="shared" si="9"/>
        <v>1440</v>
      </c>
      <c r="H65" s="129">
        <f t="shared" si="21"/>
        <v>9360</v>
      </c>
      <c r="I65" s="114" t="e">
        <f t="shared" ca="1" si="14"/>
        <v>#NAME?</v>
      </c>
      <c r="J65" s="114">
        <f t="shared" si="15"/>
        <v>7725</v>
      </c>
      <c r="K65" s="114" t="e">
        <f t="shared" ca="1" si="16"/>
        <v>#NAME?</v>
      </c>
      <c r="L65" s="134" t="e">
        <f t="shared" ca="1" si="17"/>
        <v>#NAME?</v>
      </c>
      <c r="M65" s="114" t="e" cm="1">
        <f t="array" aca="1" ref="M65" ca="1">_xlfn.IFS(L65&gt;=70%,"Alta",L65&gt;20%,"Média",L65&lt;=20%,"Baixa")</f>
        <v>#NAME?</v>
      </c>
      <c r="N65" s="212" t="s">
        <v>215</v>
      </c>
      <c r="O65" s="145">
        <f t="shared" si="19"/>
        <v>7725</v>
      </c>
      <c r="P65" s="118">
        <v>0</v>
      </c>
      <c r="Q65" s="118">
        <v>8450</v>
      </c>
      <c r="R65" s="118">
        <v>7000</v>
      </c>
      <c r="S65" s="118">
        <v>0</v>
      </c>
      <c r="T65" s="118">
        <v>0</v>
      </c>
    </row>
    <row r="66" spans="2:20" ht="14.25" customHeight="1" x14ac:dyDescent="0.25">
      <c r="B66" s="200" t="s">
        <v>224</v>
      </c>
      <c r="C66" s="191" t="str">
        <f t="shared" si="20"/>
        <v>Arquiteto de infraestrutura Especialista</v>
      </c>
      <c r="D66" s="192" t="s">
        <v>103</v>
      </c>
      <c r="E66" s="213">
        <f t="shared" si="7"/>
        <v>11600</v>
      </c>
      <c r="F66" s="248">
        <v>14500</v>
      </c>
      <c r="G66" s="214">
        <f t="shared" si="9"/>
        <v>2900</v>
      </c>
      <c r="H66" s="129">
        <f t="shared" si="21"/>
        <v>18850</v>
      </c>
      <c r="I66" s="114" t="e">
        <f t="shared" ca="1" si="14"/>
        <v>#NAME?</v>
      </c>
      <c r="J66" s="114">
        <f t="shared" si="15"/>
        <v>13464.25</v>
      </c>
      <c r="K66" s="114" t="e">
        <f t="shared" ca="1" si="16"/>
        <v>#NAME?</v>
      </c>
      <c r="L66" s="134" t="e">
        <f t="shared" ca="1" si="17"/>
        <v>#NAME?</v>
      </c>
      <c r="M66" s="114" t="e" cm="1">
        <f t="array" aca="1" ref="M66" ca="1">_xlfn.IFS(L66&gt;=70%,"Alta",L66&gt;20%,"Média",L66&lt;=20%,"Baixa")</f>
        <v>#NAME?</v>
      </c>
      <c r="N66" s="212" t="s">
        <v>215</v>
      </c>
      <c r="O66" s="145">
        <f t="shared" si="19"/>
        <v>13464.25</v>
      </c>
      <c r="P66" s="118">
        <v>0</v>
      </c>
      <c r="Q66" s="118">
        <v>12928.5</v>
      </c>
      <c r="R66" s="118">
        <v>14000</v>
      </c>
      <c r="S66" s="118">
        <v>0</v>
      </c>
      <c r="T66" s="118">
        <v>0</v>
      </c>
    </row>
    <row r="67" spans="2:20" ht="14.25" hidden="1" customHeight="1" x14ac:dyDescent="0.25">
      <c r="B67" s="200" t="s">
        <v>224</v>
      </c>
      <c r="C67" s="191" t="str">
        <f t="shared" si="20"/>
        <v>Arquiteto de infraestrutura Júnior</v>
      </c>
      <c r="D67" s="192" t="s">
        <v>99</v>
      </c>
      <c r="E67" s="213">
        <f t="shared" si="7"/>
        <v>3200</v>
      </c>
      <c r="F67" s="213">
        <v>4000</v>
      </c>
      <c r="G67" s="214">
        <f t="shared" si="9"/>
        <v>800</v>
      </c>
      <c r="H67" s="129">
        <f t="shared" si="13"/>
        <v>4160</v>
      </c>
      <c r="I67" s="114" t="e">
        <f t="shared" ca="1" si="14"/>
        <v>#NAME?</v>
      </c>
      <c r="J67" s="114">
        <f t="shared" si="15"/>
        <v>6150</v>
      </c>
      <c r="K67" s="114" t="e">
        <f t="shared" ca="1" si="16"/>
        <v>#NAME?</v>
      </c>
      <c r="L67" s="134" t="e">
        <f t="shared" ca="1" si="17"/>
        <v>#NAME?</v>
      </c>
      <c r="M67" s="114" t="e" cm="1">
        <f t="array" aca="1" ref="M67" ca="1">_xlfn.IFS(L67&gt;=70%,"Alta",L67&gt;20%,"Média",L67&lt;=20%,"Baixa")</f>
        <v>#NAME?</v>
      </c>
      <c r="N67" s="215"/>
      <c r="O67" s="145">
        <v>5250</v>
      </c>
      <c r="P67" s="118">
        <v>0</v>
      </c>
      <c r="Q67" s="118">
        <v>6800</v>
      </c>
      <c r="R67" s="118">
        <v>5500</v>
      </c>
      <c r="S67" s="118">
        <v>0</v>
      </c>
      <c r="T67" s="118">
        <v>0</v>
      </c>
    </row>
    <row r="68" spans="2:20" ht="14.25" customHeight="1" x14ac:dyDescent="0.25">
      <c r="B68" s="200" t="s">
        <v>224</v>
      </c>
      <c r="C68" s="191" t="str">
        <f t="shared" si="20"/>
        <v>Arquiteto de infraestrutura Pleno</v>
      </c>
      <c r="D68" s="192" t="s">
        <v>100</v>
      </c>
      <c r="E68" s="213">
        <f t="shared" si="7"/>
        <v>7200</v>
      </c>
      <c r="F68" s="248">
        <v>9000</v>
      </c>
      <c r="G68" s="214">
        <f t="shared" si="9"/>
        <v>1800</v>
      </c>
      <c r="H68" s="129">
        <f t="shared" ref="H68:H69" si="22">F68+(F68*IF(D68&lt;&gt;"",IF(D68&lt;&gt;"",VLOOKUP(D68,$D$3:$F$9,2,0)),""))</f>
        <v>11700</v>
      </c>
      <c r="I68" s="114" t="e">
        <f t="shared" ca="1" si="14"/>
        <v>#NAME?</v>
      </c>
      <c r="J68" s="114">
        <f t="shared" si="15"/>
        <v>8020</v>
      </c>
      <c r="K68" s="114" t="e">
        <f t="shared" ca="1" si="16"/>
        <v>#NAME?</v>
      </c>
      <c r="L68" s="134" t="e">
        <f t="shared" ca="1" si="17"/>
        <v>#NAME?</v>
      </c>
      <c r="M68" s="114" t="e" cm="1">
        <f t="array" aca="1" ref="M68" ca="1">_xlfn.IFS(L68&gt;=70%,"Alta",L68&gt;20%,"Média",L68&lt;=20%,"Baixa")</f>
        <v>#NAME?</v>
      </c>
      <c r="N68" s="212" t="s">
        <v>215</v>
      </c>
      <c r="O68" s="145">
        <f t="shared" ref="O68:O103" si="23">J68</f>
        <v>8020</v>
      </c>
      <c r="P68" s="118">
        <v>0</v>
      </c>
      <c r="Q68" s="118">
        <v>8840</v>
      </c>
      <c r="R68" s="118">
        <v>7200</v>
      </c>
      <c r="S68" s="118">
        <v>0</v>
      </c>
      <c r="T68" s="118">
        <v>0</v>
      </c>
    </row>
    <row r="69" spans="2:20" ht="14.25" customHeight="1" x14ac:dyDescent="0.25">
      <c r="B69" s="200" t="s">
        <v>224</v>
      </c>
      <c r="C69" s="191" t="str">
        <f t="shared" si="20"/>
        <v>Arquiteto de infraestrutura Sênior</v>
      </c>
      <c r="D69" s="192" t="s">
        <v>101</v>
      </c>
      <c r="E69" s="213">
        <f t="shared" si="7"/>
        <v>10080</v>
      </c>
      <c r="F69" s="248">
        <v>12600</v>
      </c>
      <c r="G69" s="214">
        <f t="shared" si="9"/>
        <v>2520</v>
      </c>
      <c r="H69" s="129">
        <f t="shared" si="22"/>
        <v>16380</v>
      </c>
      <c r="I69" s="114" t="e">
        <f t="shared" ca="1" si="14"/>
        <v>#NAME?</v>
      </c>
      <c r="J69" s="114">
        <f t="shared" si="15"/>
        <v>11525</v>
      </c>
      <c r="K69" s="114" t="e">
        <f t="shared" ca="1" si="16"/>
        <v>#NAME?</v>
      </c>
      <c r="L69" s="134" t="e">
        <f t="shared" ca="1" si="17"/>
        <v>#NAME?</v>
      </c>
      <c r="M69" s="114" t="e" cm="1">
        <f t="array" aca="1" ref="M69" ca="1">_xlfn.IFS(L69&gt;=70%,"Alta",L69&gt;20%,"Média",L69&lt;=20%,"Baixa")</f>
        <v>#NAME?</v>
      </c>
      <c r="N69" s="212" t="s">
        <v>215</v>
      </c>
      <c r="O69" s="145">
        <f t="shared" si="23"/>
        <v>11525</v>
      </c>
      <c r="P69" s="118">
        <v>0</v>
      </c>
      <c r="Q69" s="118">
        <v>11050</v>
      </c>
      <c r="R69" s="118">
        <v>12000</v>
      </c>
      <c r="S69" s="118">
        <v>0</v>
      </c>
      <c r="T69" s="118">
        <v>0</v>
      </c>
    </row>
    <row r="70" spans="2:20" ht="14.25" hidden="1" customHeight="1" x14ac:dyDescent="0.25">
      <c r="B70" s="200" t="s">
        <v>187</v>
      </c>
      <c r="C70" s="202" t="str">
        <f t="shared" si="18"/>
        <v>Arquiteto de Soluções BI Especialista/Líder</v>
      </c>
      <c r="D70" s="192" t="s">
        <v>100</v>
      </c>
      <c r="E70" s="213">
        <f t="shared" si="7"/>
        <v>9600</v>
      </c>
      <c r="F70" s="213">
        <v>12000</v>
      </c>
      <c r="G70" s="214">
        <f t="shared" si="9"/>
        <v>2400</v>
      </c>
      <c r="H70" s="129">
        <f t="shared" si="13"/>
        <v>12480</v>
      </c>
      <c r="I70" s="114" t="e">
        <f t="shared" ca="1" si="14"/>
        <v>#NAME?</v>
      </c>
      <c r="J70" s="114">
        <f t="shared" si="15"/>
        <v>8900</v>
      </c>
      <c r="K70" s="114" t="e">
        <f t="shared" ca="1" si="16"/>
        <v>#NAME?</v>
      </c>
      <c r="L70" s="134" t="e">
        <f t="shared" ca="1" si="17"/>
        <v>#NAME?</v>
      </c>
      <c r="M70" s="114" t="e" cm="1">
        <f t="array" aca="1" ref="M70" ca="1">_xlfn.IFS(L70&gt;=70%,"Alta",L70&gt;20%,"Média",L70&lt;=20%,"Baixa")</f>
        <v>#NAME?</v>
      </c>
      <c r="N70" s="114"/>
      <c r="O70" s="145">
        <f t="shared" si="23"/>
        <v>8900</v>
      </c>
      <c r="P70" s="118">
        <v>0</v>
      </c>
      <c r="Q70" s="118">
        <v>5500</v>
      </c>
      <c r="R70" s="118">
        <v>12300</v>
      </c>
      <c r="S70" s="118">
        <v>0</v>
      </c>
      <c r="T70" s="118">
        <v>0</v>
      </c>
    </row>
    <row r="71" spans="2:20" ht="14.25" hidden="1" customHeight="1" x14ac:dyDescent="0.25">
      <c r="B71" s="200" t="s">
        <v>188</v>
      </c>
      <c r="C71" s="202" t="str">
        <f t="shared" si="18"/>
        <v>Arquiteto de Soluções BI Junior</v>
      </c>
      <c r="D71" s="192" t="s">
        <v>100</v>
      </c>
      <c r="E71" s="213">
        <f t="shared" si="7"/>
        <v>3920</v>
      </c>
      <c r="F71" s="213">
        <v>4900</v>
      </c>
      <c r="G71" s="214">
        <f t="shared" si="9"/>
        <v>980</v>
      </c>
      <c r="H71" s="129">
        <f t="shared" si="13"/>
        <v>5096</v>
      </c>
      <c r="I71" s="114" t="e">
        <f t="shared" ca="1" si="14"/>
        <v>#NAME?</v>
      </c>
      <c r="J71" s="114">
        <f t="shared" si="15"/>
        <v>5825</v>
      </c>
      <c r="K71" s="114" t="e">
        <f t="shared" ca="1" si="16"/>
        <v>#NAME?</v>
      </c>
      <c r="L71" s="134" t="e">
        <f t="shared" ca="1" si="17"/>
        <v>#NAME?</v>
      </c>
      <c r="M71" s="114" t="e" cm="1">
        <f t="array" aca="1" ref="M71" ca="1">_xlfn.IFS(L71&gt;=70%,"Alta",L71&gt;20%,"Média",L71&lt;=20%,"Baixa")</f>
        <v>#NAME?</v>
      </c>
      <c r="N71" s="114"/>
      <c r="O71" s="145">
        <f t="shared" si="23"/>
        <v>5825</v>
      </c>
      <c r="P71" s="118">
        <v>0</v>
      </c>
      <c r="Q71" s="118">
        <v>7150</v>
      </c>
      <c r="R71" s="118">
        <v>4500</v>
      </c>
      <c r="S71" s="118">
        <v>0</v>
      </c>
      <c r="T71" s="118">
        <v>0</v>
      </c>
    </row>
    <row r="72" spans="2:20" ht="14.25" hidden="1" customHeight="1" x14ac:dyDescent="0.25">
      <c r="B72" s="200" t="s">
        <v>189</v>
      </c>
      <c r="C72" s="202" t="str">
        <f t="shared" si="18"/>
        <v>Arquiteto de Soluções BI Pleno</v>
      </c>
      <c r="D72" s="192" t="s">
        <v>100</v>
      </c>
      <c r="E72" s="213">
        <f t="shared" si="7"/>
        <v>6800</v>
      </c>
      <c r="F72" s="213">
        <v>8500</v>
      </c>
      <c r="G72" s="214">
        <f t="shared" si="9"/>
        <v>1700</v>
      </c>
      <c r="H72" s="129">
        <f t="shared" si="13"/>
        <v>8840</v>
      </c>
      <c r="I72" s="114" t="e">
        <f t="shared" ca="1" si="14"/>
        <v>#NAME?</v>
      </c>
      <c r="J72" s="114">
        <f t="shared" si="15"/>
        <v>7868.75</v>
      </c>
      <c r="K72" s="114" t="e">
        <f t="shared" ca="1" si="16"/>
        <v>#NAME?</v>
      </c>
      <c r="L72" s="134" t="e">
        <f t="shared" ca="1" si="17"/>
        <v>#NAME?</v>
      </c>
      <c r="M72" s="114" t="e" cm="1">
        <f t="array" aca="1" ref="M72" ca="1">_xlfn.IFS(L72&gt;=70%,"Alta",L72&gt;20%,"Média",L72&lt;=20%,"Baixa")</f>
        <v>#NAME?</v>
      </c>
      <c r="N72" s="114"/>
      <c r="O72" s="145">
        <f t="shared" si="23"/>
        <v>7868.75</v>
      </c>
      <c r="P72" s="118">
        <v>0</v>
      </c>
      <c r="Q72" s="118">
        <v>8937.5</v>
      </c>
      <c r="R72" s="118">
        <v>6800</v>
      </c>
      <c r="S72" s="118">
        <v>0</v>
      </c>
      <c r="T72" s="118">
        <v>0</v>
      </c>
    </row>
    <row r="73" spans="2:20" ht="14.25" hidden="1" customHeight="1" x14ac:dyDescent="0.25">
      <c r="B73" s="200" t="s">
        <v>190</v>
      </c>
      <c r="C73" s="202" t="str">
        <f t="shared" si="18"/>
        <v>Arquiteto de Soluções BI Senior</v>
      </c>
      <c r="D73" s="192" t="s">
        <v>100</v>
      </c>
      <c r="E73" s="213">
        <f t="shared" si="7"/>
        <v>9200</v>
      </c>
      <c r="F73" s="213">
        <v>11500</v>
      </c>
      <c r="G73" s="214">
        <f t="shared" si="9"/>
        <v>2300</v>
      </c>
      <c r="H73" s="129">
        <f t="shared" si="13"/>
        <v>11960</v>
      </c>
      <c r="I73" s="114" t="e">
        <f t="shared" ca="1" si="14"/>
        <v>#NAME?</v>
      </c>
      <c r="J73" s="114">
        <f t="shared" si="15"/>
        <v>9728.4375</v>
      </c>
      <c r="K73" s="114" t="e">
        <f t="shared" ca="1" si="16"/>
        <v>#NAME?</v>
      </c>
      <c r="L73" s="134" t="e">
        <f t="shared" ca="1" si="17"/>
        <v>#NAME?</v>
      </c>
      <c r="M73" s="114" t="e" cm="1">
        <f t="array" aca="1" ref="M73" ca="1">_xlfn.IFS(L73&gt;=70%,"Alta",L73&gt;20%,"Média",L73&lt;=20%,"Baixa")</f>
        <v>#NAME?</v>
      </c>
      <c r="N73" s="114"/>
      <c r="O73" s="145">
        <f t="shared" si="23"/>
        <v>9728.4375</v>
      </c>
      <c r="P73" s="118">
        <v>0</v>
      </c>
      <c r="Q73" s="118">
        <v>10456.875</v>
      </c>
      <c r="R73" s="118">
        <v>9000</v>
      </c>
      <c r="S73" s="118">
        <v>0</v>
      </c>
      <c r="T73" s="118">
        <v>0</v>
      </c>
    </row>
    <row r="74" spans="2:20" ht="14.25" hidden="1" customHeight="1" x14ac:dyDescent="0.25">
      <c r="B74" s="200" t="s">
        <v>216</v>
      </c>
      <c r="C74" s="191" t="str">
        <f t="shared" ref="C74:C83" si="24">B74&amp; " " &amp;D74</f>
        <v>Arquiteto OutSystems Senior Pleno</v>
      </c>
      <c r="D74" s="192" t="s">
        <v>100</v>
      </c>
      <c r="E74" s="213">
        <f t="shared" si="7"/>
        <v>14800</v>
      </c>
      <c r="F74" s="213">
        <v>18500</v>
      </c>
      <c r="G74" s="214">
        <f t="shared" si="9"/>
        <v>3700</v>
      </c>
      <c r="H74" s="129">
        <f t="shared" si="13"/>
        <v>19240</v>
      </c>
      <c r="I74" s="114" t="e">
        <f t="shared" ca="1" si="14"/>
        <v>#NAME?</v>
      </c>
      <c r="J74" s="114">
        <f t="shared" si="15"/>
        <v>13000</v>
      </c>
      <c r="K74" s="114" t="e">
        <f t="shared" ca="1" si="16"/>
        <v>#NAME?</v>
      </c>
      <c r="L74" s="134" t="e">
        <f t="shared" ca="1" si="17"/>
        <v>#NAME?</v>
      </c>
      <c r="M74" s="114" t="e" cm="1">
        <f t="array" aca="1" ref="M74" ca="1">_xlfn.IFS(L74&gt;=70%,"Alta",L74&gt;20%,"Média",L74&lt;=20%,"Baixa")</f>
        <v>#NAME?</v>
      </c>
      <c r="N74" s="215"/>
      <c r="O74" s="145">
        <f t="shared" si="23"/>
        <v>13000</v>
      </c>
      <c r="P74" s="118">
        <v>0</v>
      </c>
      <c r="Q74" s="118">
        <v>17000</v>
      </c>
      <c r="R74" s="118">
        <v>9000</v>
      </c>
      <c r="S74" s="118">
        <v>0</v>
      </c>
      <c r="T74" s="118">
        <v>0</v>
      </c>
    </row>
    <row r="75" spans="2:20" ht="14.25" hidden="1" customHeight="1" x14ac:dyDescent="0.25">
      <c r="B75" s="200" t="s">
        <v>191</v>
      </c>
      <c r="C75" s="191" t="str">
        <f t="shared" si="24"/>
        <v>Arquiteto SalesForce Senior Pleno</v>
      </c>
      <c r="D75" s="192" t="s">
        <v>100</v>
      </c>
      <c r="E75" s="213">
        <f t="shared" si="7"/>
        <v>10080</v>
      </c>
      <c r="F75" s="213">
        <v>12600</v>
      </c>
      <c r="G75" s="214">
        <f t="shared" si="9"/>
        <v>2520</v>
      </c>
      <c r="H75" s="129">
        <f t="shared" si="13"/>
        <v>13104</v>
      </c>
      <c r="I75" s="114" t="e">
        <f t="shared" ca="1" si="14"/>
        <v>#NAME?</v>
      </c>
      <c r="J75" s="114">
        <f t="shared" si="15"/>
        <v>11025.985000000001</v>
      </c>
      <c r="K75" s="114" t="e">
        <f t="shared" ca="1" si="16"/>
        <v>#NAME?</v>
      </c>
      <c r="L75" s="134" t="e">
        <f t="shared" ca="1" si="17"/>
        <v>#NAME?</v>
      </c>
      <c r="M75" s="114" t="e" cm="1">
        <f t="array" aca="1" ref="M75" ca="1">_xlfn.IFS(L75&gt;=70%,"Alta",L75&gt;20%,"Média",L75&lt;=20%,"Baixa")</f>
        <v>#NAME?</v>
      </c>
      <c r="N75" s="215"/>
      <c r="O75" s="145">
        <f t="shared" si="23"/>
        <v>11025.985000000001</v>
      </c>
      <c r="P75" s="118">
        <v>0</v>
      </c>
      <c r="Q75" s="118">
        <v>11051.97</v>
      </c>
      <c r="R75" s="118">
        <v>11000</v>
      </c>
      <c r="S75" s="118">
        <v>0</v>
      </c>
      <c r="T75" s="118">
        <v>0</v>
      </c>
    </row>
    <row r="76" spans="2:20" ht="14.25" customHeight="1" x14ac:dyDescent="0.25">
      <c r="B76" s="200" t="s">
        <v>225</v>
      </c>
      <c r="C76" s="191" t="str">
        <f t="shared" si="24"/>
        <v>Arquiteto de Soluções Especialista</v>
      </c>
      <c r="D76" s="192" t="s">
        <v>103</v>
      </c>
      <c r="E76" s="213">
        <f t="shared" si="7"/>
        <v>11600</v>
      </c>
      <c r="F76" s="248">
        <v>14500</v>
      </c>
      <c r="G76" s="214">
        <f t="shared" si="9"/>
        <v>2900</v>
      </c>
      <c r="H76" s="129">
        <f>F76+(F76*IF(D76&lt;&gt;"",IF(D76&lt;&gt;"",VLOOKUP(D76,$D$3:$F$9,2,0)),""))</f>
        <v>18850</v>
      </c>
      <c r="I76" s="114" t="e">
        <f t="shared" ca="1" si="14"/>
        <v>#NAME?</v>
      </c>
      <c r="J76" s="114">
        <f t="shared" si="15"/>
        <v>6150</v>
      </c>
      <c r="K76" s="114" t="e">
        <f t="shared" ca="1" si="16"/>
        <v>#NAME?</v>
      </c>
      <c r="L76" s="134" t="e">
        <f t="shared" ca="1" si="17"/>
        <v>#NAME?</v>
      </c>
      <c r="M76" s="114" t="e" cm="1">
        <f t="array" aca="1" ref="M76" ca="1">_xlfn.IFS(L76&gt;=70%,"Alta",L76&gt;20%,"Média",L76&lt;=20%,"Baixa")</f>
        <v>#NAME?</v>
      </c>
      <c r="N76" s="212" t="s">
        <v>215</v>
      </c>
      <c r="O76" s="145">
        <f t="shared" si="23"/>
        <v>6150</v>
      </c>
      <c r="P76" s="118">
        <v>0</v>
      </c>
      <c r="Q76" s="118">
        <v>6800</v>
      </c>
      <c r="R76" s="118">
        <v>5500</v>
      </c>
      <c r="S76" s="118">
        <v>0</v>
      </c>
      <c r="T76" s="118">
        <v>0</v>
      </c>
    </row>
    <row r="77" spans="2:20" ht="14.25" hidden="1" customHeight="1" x14ac:dyDescent="0.25">
      <c r="B77" s="200" t="s">
        <v>225</v>
      </c>
      <c r="C77" s="191" t="str">
        <f t="shared" si="24"/>
        <v>Arquiteto de Soluções Júnior</v>
      </c>
      <c r="D77" s="192" t="s">
        <v>99</v>
      </c>
      <c r="E77" s="213">
        <f t="shared" si="7"/>
        <v>3920</v>
      </c>
      <c r="F77" s="213">
        <v>4900</v>
      </c>
      <c r="G77" s="214">
        <f t="shared" si="9"/>
        <v>980</v>
      </c>
      <c r="H77" s="129">
        <f t="shared" si="13"/>
        <v>5096</v>
      </c>
      <c r="I77" s="114" t="e">
        <f t="shared" ca="1" si="14"/>
        <v>#NAME?</v>
      </c>
      <c r="J77" s="114">
        <f t="shared" si="15"/>
        <v>13964.25</v>
      </c>
      <c r="K77" s="114" t="e">
        <f t="shared" ca="1" si="16"/>
        <v>#NAME?</v>
      </c>
      <c r="L77" s="134" t="e">
        <f t="shared" ca="1" si="17"/>
        <v>#NAME?</v>
      </c>
      <c r="M77" s="114" t="e" cm="1">
        <f t="array" aca="1" ref="M77" ca="1">_xlfn.IFS(L77&gt;=70%,"Alta",L77&gt;20%,"Média",L77&lt;=20%,"Baixa")</f>
        <v>#NAME?</v>
      </c>
      <c r="N77" s="215"/>
      <c r="O77" s="145">
        <f t="shared" si="23"/>
        <v>13964.25</v>
      </c>
      <c r="P77" s="118">
        <v>0</v>
      </c>
      <c r="Q77" s="118">
        <v>12928.5</v>
      </c>
      <c r="R77" s="118">
        <v>15000</v>
      </c>
      <c r="S77" s="118">
        <v>0</v>
      </c>
      <c r="T77" s="118">
        <v>0</v>
      </c>
    </row>
    <row r="78" spans="2:20" ht="14.25" customHeight="1" x14ac:dyDescent="0.25">
      <c r="B78" s="200" t="s">
        <v>225</v>
      </c>
      <c r="C78" s="191" t="str">
        <f t="shared" si="24"/>
        <v>Arquiteto de Soluções Pleno</v>
      </c>
      <c r="D78" s="192" t="s">
        <v>100</v>
      </c>
      <c r="E78" s="213">
        <f t="shared" si="7"/>
        <v>7200</v>
      </c>
      <c r="F78" s="248">
        <v>9000</v>
      </c>
      <c r="G78" s="214">
        <f t="shared" si="9"/>
        <v>1800</v>
      </c>
      <c r="H78" s="129">
        <f t="shared" ref="H78:H83" si="25">F78+(F78*IF(D78&lt;&gt;"",IF(D78&lt;&gt;"",VLOOKUP(D78,$D$3:$F$9,2,0)),""))</f>
        <v>11700</v>
      </c>
      <c r="I78" s="114" t="e">
        <f t="shared" ca="1" si="14"/>
        <v>#NAME?</v>
      </c>
      <c r="J78" s="114">
        <f t="shared" si="15"/>
        <v>7920</v>
      </c>
      <c r="K78" s="114" t="e">
        <f t="shared" ca="1" si="16"/>
        <v>#NAME?</v>
      </c>
      <c r="L78" s="134" t="e">
        <f t="shared" ca="1" si="17"/>
        <v>#NAME?</v>
      </c>
      <c r="M78" s="114" t="e" cm="1">
        <f t="array" aca="1" ref="M78" ca="1">_xlfn.IFS(L78&gt;=70%,"Alta",L78&gt;20%,"Média",L78&lt;=20%,"Baixa")</f>
        <v>#NAME?</v>
      </c>
      <c r="N78" s="212" t="s">
        <v>215</v>
      </c>
      <c r="O78" s="145">
        <f t="shared" si="23"/>
        <v>7920</v>
      </c>
      <c r="P78" s="118">
        <v>0</v>
      </c>
      <c r="Q78" s="118">
        <v>8840</v>
      </c>
      <c r="R78" s="118">
        <v>7000</v>
      </c>
      <c r="S78" s="118">
        <v>0</v>
      </c>
      <c r="T78" s="118">
        <v>0</v>
      </c>
    </row>
    <row r="79" spans="2:20" ht="14.25" customHeight="1" x14ac:dyDescent="0.25">
      <c r="B79" s="200" t="s">
        <v>225</v>
      </c>
      <c r="C79" s="191" t="str">
        <f t="shared" si="24"/>
        <v>Arquiteto de Soluções Sênior</v>
      </c>
      <c r="D79" s="192" t="s">
        <v>101</v>
      </c>
      <c r="E79" s="213">
        <f t="shared" si="7"/>
        <v>10080</v>
      </c>
      <c r="F79" s="248">
        <v>12600</v>
      </c>
      <c r="G79" s="214">
        <f t="shared" si="9"/>
        <v>2520</v>
      </c>
      <c r="H79" s="129">
        <f t="shared" si="25"/>
        <v>16380</v>
      </c>
      <c r="I79" s="114" t="e">
        <f t="shared" ca="1" si="14"/>
        <v>#NAME?</v>
      </c>
      <c r="J79" s="114">
        <f t="shared" si="15"/>
        <v>11775</v>
      </c>
      <c r="K79" s="114" t="e">
        <f t="shared" ca="1" si="16"/>
        <v>#NAME?</v>
      </c>
      <c r="L79" s="134" t="e">
        <f t="shared" ca="1" si="17"/>
        <v>#NAME?</v>
      </c>
      <c r="M79" s="114" t="e" cm="1">
        <f t="array" aca="1" ref="M79" ca="1">_xlfn.IFS(L79&gt;=70%,"Alta",L79&gt;20%,"Média",L79&lt;=20%,"Baixa")</f>
        <v>#NAME?</v>
      </c>
      <c r="N79" s="212" t="s">
        <v>215</v>
      </c>
      <c r="O79" s="145">
        <f t="shared" si="23"/>
        <v>11775</v>
      </c>
      <c r="P79" s="118">
        <v>0</v>
      </c>
      <c r="Q79" s="118">
        <v>11050</v>
      </c>
      <c r="R79" s="118">
        <v>12500</v>
      </c>
      <c r="S79" s="118">
        <v>0</v>
      </c>
      <c r="T79" s="118">
        <v>0</v>
      </c>
    </row>
    <row r="80" spans="2:20" ht="14.25" customHeight="1" x14ac:dyDescent="0.25">
      <c r="B80" s="198" t="s">
        <v>241</v>
      </c>
      <c r="C80" s="191" t="str">
        <f t="shared" si="24"/>
        <v>Cientista de Dados Especialista</v>
      </c>
      <c r="D80" s="192" t="s">
        <v>103</v>
      </c>
      <c r="E80" s="213">
        <f t="shared" ref="E80:E149" si="26">F80-G80</f>
        <v>11360</v>
      </c>
      <c r="F80" s="248">
        <v>14200</v>
      </c>
      <c r="G80" s="214">
        <f t="shared" si="9"/>
        <v>2840</v>
      </c>
      <c r="H80" s="129">
        <f t="shared" si="25"/>
        <v>18460</v>
      </c>
      <c r="I80" s="114" t="e">
        <f t="shared" ca="1" si="14"/>
        <v>#NAME?</v>
      </c>
      <c r="J80" s="114">
        <f t="shared" si="15"/>
        <v>11348.1875</v>
      </c>
      <c r="K80" s="114" t="e">
        <f t="shared" ca="1" si="16"/>
        <v>#NAME?</v>
      </c>
      <c r="L80" s="134" t="e">
        <f t="shared" ca="1" si="17"/>
        <v>#NAME?</v>
      </c>
      <c r="M80" s="114" t="e" cm="1">
        <f t="array" aca="1" ref="M80" ca="1">_xlfn.IFS(L80&gt;=70%,"Alta",L80&gt;20%,"Média",L80&lt;=20%,"Baixa")</f>
        <v>#NAME?</v>
      </c>
      <c r="N80" s="212" t="s">
        <v>215</v>
      </c>
      <c r="O80" s="145">
        <f t="shared" si="23"/>
        <v>11348.1875</v>
      </c>
      <c r="P80" s="118">
        <v>0</v>
      </c>
      <c r="Q80" s="118">
        <v>9696.375</v>
      </c>
      <c r="R80" s="118">
        <v>13000</v>
      </c>
      <c r="S80" s="118">
        <v>0</v>
      </c>
      <c r="T80" s="118">
        <v>0</v>
      </c>
    </row>
    <row r="81" spans="2:20" ht="14.25" customHeight="1" x14ac:dyDescent="0.25">
      <c r="B81" s="198" t="s">
        <v>241</v>
      </c>
      <c r="C81" s="191" t="str">
        <f t="shared" si="24"/>
        <v>Cientista de Dados Júnior</v>
      </c>
      <c r="D81" s="192" t="s">
        <v>99</v>
      </c>
      <c r="E81" s="213">
        <f t="shared" si="26"/>
        <v>4160</v>
      </c>
      <c r="F81" s="248">
        <v>5200</v>
      </c>
      <c r="G81" s="214">
        <f t="shared" si="9"/>
        <v>1040</v>
      </c>
      <c r="H81" s="129">
        <f t="shared" si="25"/>
        <v>6760</v>
      </c>
      <c r="I81" s="114" t="e">
        <f t="shared" ca="1" si="14"/>
        <v>#NAME?</v>
      </c>
      <c r="J81" s="114">
        <f t="shared" si="15"/>
        <v>4700</v>
      </c>
      <c r="K81" s="114" t="e">
        <f t="shared" ca="1" si="16"/>
        <v>#NAME?</v>
      </c>
      <c r="L81" s="134" t="e">
        <f t="shared" ca="1" si="17"/>
        <v>#NAME?</v>
      </c>
      <c r="M81" s="114" t="e" cm="1">
        <f t="array" aca="1" ref="M81" ca="1">_xlfn.IFS(L81&gt;=70%,"Alta",L81&gt;20%,"Média",L81&lt;=20%,"Baixa")</f>
        <v>#NAME?</v>
      </c>
      <c r="N81" s="212" t="s">
        <v>215</v>
      </c>
      <c r="O81" s="145">
        <f t="shared" si="23"/>
        <v>4700</v>
      </c>
      <c r="P81" s="118">
        <v>0</v>
      </c>
      <c r="Q81" s="118">
        <v>5100</v>
      </c>
      <c r="R81" s="118">
        <v>4300</v>
      </c>
      <c r="S81" s="118">
        <v>0</v>
      </c>
      <c r="T81" s="118">
        <v>0</v>
      </c>
    </row>
    <row r="82" spans="2:20" ht="14.25" customHeight="1" x14ac:dyDescent="0.25">
      <c r="B82" s="198" t="s">
        <v>241</v>
      </c>
      <c r="C82" s="191" t="str">
        <f t="shared" si="24"/>
        <v>Cientista de Dados Pleno</v>
      </c>
      <c r="D82" s="192" t="s">
        <v>100</v>
      </c>
      <c r="E82" s="213">
        <f t="shared" si="26"/>
        <v>6560</v>
      </c>
      <c r="F82" s="248">
        <v>8200</v>
      </c>
      <c r="G82" s="214">
        <f t="shared" si="9"/>
        <v>1640</v>
      </c>
      <c r="H82" s="129">
        <f t="shared" si="25"/>
        <v>10660</v>
      </c>
      <c r="I82" s="114" t="e">
        <f t="shared" ref="I82:I117" ca="1" si="27">_xlfn.MINIFS(Q82:T82,Q82:T82,"&gt;0",Q82:T82,"&lt;&gt;"&amp;"")</f>
        <v>#NAME?</v>
      </c>
      <c r="J82" s="114">
        <f t="shared" ref="J82:J117" si="28">IF(SUM(Q82:T82)&gt;0,
AVERAGEIFS(Q82:T82, Q82:T82,"&gt;0",Q82:T82,"&lt;&gt;"&amp;""),
0)</f>
        <v>7315</v>
      </c>
      <c r="K82" s="114" t="e">
        <f t="shared" ref="K82:K117" ca="1" si="29">_xlfn.MAXIFS(Q82:T82,Q82:T82,"&gt;0",Q82:T82,"&lt;&gt;"&amp;"")</f>
        <v>#NAME?</v>
      </c>
      <c r="L82" s="134" t="e">
        <f t="shared" ref="L82:L117" ca="1" si="30">(K82-I82)/I82</f>
        <v>#NAME?</v>
      </c>
      <c r="M82" s="114" t="e" cm="1">
        <f t="array" aca="1" ref="M82" ca="1">_xlfn.IFS(L82&gt;=70%,"Alta",L82&gt;20%,"Média",L82&lt;=20%,"Baixa")</f>
        <v>#NAME?</v>
      </c>
      <c r="N82" s="212" t="s">
        <v>215</v>
      </c>
      <c r="O82" s="145">
        <f t="shared" si="23"/>
        <v>7315</v>
      </c>
      <c r="P82" s="118">
        <v>0</v>
      </c>
      <c r="Q82" s="118">
        <v>6630</v>
      </c>
      <c r="R82" s="118">
        <v>8000</v>
      </c>
      <c r="S82" s="118">
        <v>0</v>
      </c>
      <c r="T82" s="118">
        <v>0</v>
      </c>
    </row>
    <row r="83" spans="2:20" ht="14.25" customHeight="1" x14ac:dyDescent="0.25">
      <c r="B83" s="198" t="s">
        <v>241</v>
      </c>
      <c r="C83" s="191" t="str">
        <f t="shared" si="24"/>
        <v>Cientista de Dados Sênior</v>
      </c>
      <c r="D83" s="192" t="s">
        <v>101</v>
      </c>
      <c r="E83" s="213">
        <f t="shared" si="26"/>
        <v>10000</v>
      </c>
      <c r="F83" s="248">
        <v>12500</v>
      </c>
      <c r="G83" s="214">
        <f t="shared" ref="G83:G152" si="31">F83*$G$9</f>
        <v>2500</v>
      </c>
      <c r="H83" s="129">
        <f t="shared" si="25"/>
        <v>16250</v>
      </c>
      <c r="I83" s="114" t="e">
        <f t="shared" ca="1" si="27"/>
        <v>#NAME?</v>
      </c>
      <c r="J83" s="114">
        <f t="shared" si="28"/>
        <v>9143.75</v>
      </c>
      <c r="K83" s="114" t="e">
        <f t="shared" ca="1" si="29"/>
        <v>#NAME?</v>
      </c>
      <c r="L83" s="134" t="e">
        <f t="shared" ca="1" si="30"/>
        <v>#NAME?</v>
      </c>
      <c r="M83" s="114" t="e" cm="1">
        <f t="array" aca="1" ref="M83" ca="1">_xlfn.IFS(L83&gt;=70%,"Alta",L83&gt;20%,"Média",L83&lt;=20%,"Baixa")</f>
        <v>#NAME?</v>
      </c>
      <c r="N83" s="212" t="s">
        <v>215</v>
      </c>
      <c r="O83" s="145">
        <f t="shared" si="23"/>
        <v>9143.75</v>
      </c>
      <c r="P83" s="118">
        <v>0</v>
      </c>
      <c r="Q83" s="118">
        <v>8287.5</v>
      </c>
      <c r="R83" s="118">
        <v>10000</v>
      </c>
      <c r="S83" s="118">
        <v>0</v>
      </c>
      <c r="T83" s="118">
        <v>0</v>
      </c>
    </row>
    <row r="84" spans="2:20" ht="14.25" hidden="1" customHeight="1" x14ac:dyDescent="0.25">
      <c r="B84" s="200" t="s">
        <v>164</v>
      </c>
      <c r="C84" s="199" t="str">
        <f t="shared" ref="C84:C111" si="32">B84</f>
        <v>Desenvolvedor - PL-SQL/C#/Delphi - Especialista</v>
      </c>
      <c r="D84" s="192" t="s">
        <v>100</v>
      </c>
      <c r="E84" s="213">
        <f t="shared" si="26"/>
        <v>9200</v>
      </c>
      <c r="F84" s="213">
        <v>11500</v>
      </c>
      <c r="G84" s="214">
        <f t="shared" si="31"/>
        <v>2300</v>
      </c>
      <c r="H84" s="129">
        <f t="shared" ref="H84:H111" si="33">E84+(E84*IF(D84&lt;&gt;"",IF(D84&lt;&gt;"",VLOOKUP(D84,$D$3:$E$9,2,0)),""))</f>
        <v>11960</v>
      </c>
      <c r="I84" s="114" t="e">
        <f t="shared" ca="1" si="27"/>
        <v>#NAME?</v>
      </c>
      <c r="J84" s="114">
        <f t="shared" si="28"/>
        <v>10823.5</v>
      </c>
      <c r="K84" s="114" t="e">
        <f t="shared" ca="1" si="29"/>
        <v>#NAME?</v>
      </c>
      <c r="L84" s="134" t="e">
        <f t="shared" ca="1" si="30"/>
        <v>#NAME?</v>
      </c>
      <c r="M84" s="114" t="e" cm="1">
        <f t="array" aca="1" ref="M84" ca="1">_xlfn.IFS(L84&gt;=70%,"Alta",L84&gt;20%,"Média",L84&lt;=20%,"Baixa")</f>
        <v>#NAME?</v>
      </c>
      <c r="N84" s="114"/>
      <c r="O84" s="145">
        <f t="shared" si="23"/>
        <v>10823.5</v>
      </c>
      <c r="P84" s="118">
        <v>0</v>
      </c>
      <c r="Q84" s="118">
        <v>10647</v>
      </c>
      <c r="R84" s="118">
        <v>11000</v>
      </c>
      <c r="S84" s="118">
        <v>0</v>
      </c>
      <c r="T84" s="118">
        <v>0</v>
      </c>
    </row>
    <row r="85" spans="2:20" ht="14.25" hidden="1" customHeight="1" x14ac:dyDescent="0.25">
      <c r="B85" s="200" t="s">
        <v>161</v>
      </c>
      <c r="C85" s="209" t="str">
        <f>B85</f>
        <v>Desenvolvedor - PL-SQL/C#/Delphi - Junior</v>
      </c>
      <c r="D85" s="192" t="s">
        <v>100</v>
      </c>
      <c r="E85" s="213">
        <f t="shared" si="26"/>
        <v>3920</v>
      </c>
      <c r="F85" s="213">
        <v>4900</v>
      </c>
      <c r="G85" s="214">
        <f t="shared" si="31"/>
        <v>980</v>
      </c>
      <c r="H85" s="129">
        <f t="shared" si="33"/>
        <v>5096</v>
      </c>
      <c r="I85" s="114" t="e">
        <f t="shared" ca="1" si="27"/>
        <v>#NAME?</v>
      </c>
      <c r="J85" s="114">
        <f t="shared" si="28"/>
        <v>4550</v>
      </c>
      <c r="K85" s="114" t="e">
        <f t="shared" ca="1" si="29"/>
        <v>#NAME?</v>
      </c>
      <c r="L85" s="134" t="e">
        <f t="shared" ca="1" si="30"/>
        <v>#NAME?</v>
      </c>
      <c r="M85" s="114" t="e" cm="1">
        <f t="array" aca="1" ref="M85" ca="1">_xlfn.IFS(L85&gt;=70%,"Alta",L85&gt;20%,"Média",L85&lt;=20%,"Baixa")</f>
        <v>#NAME?</v>
      </c>
      <c r="N85" s="114"/>
      <c r="O85" s="145">
        <f t="shared" si="23"/>
        <v>4550</v>
      </c>
      <c r="P85" s="118">
        <v>0</v>
      </c>
      <c r="Q85" s="118">
        <v>5600</v>
      </c>
      <c r="R85" s="118">
        <v>3500</v>
      </c>
      <c r="S85" s="118">
        <v>0</v>
      </c>
      <c r="T85" s="118">
        <v>0</v>
      </c>
    </row>
    <row r="86" spans="2:20" ht="14.25" hidden="1" customHeight="1" x14ac:dyDescent="0.25">
      <c r="B86" s="200" t="s">
        <v>162</v>
      </c>
      <c r="C86" s="199" t="str">
        <f t="shared" si="32"/>
        <v>Desenvolvedor - PL-SQL/C#/Delphi - Pleno</v>
      </c>
      <c r="D86" s="192" t="s">
        <v>100</v>
      </c>
      <c r="E86" s="213">
        <f t="shared" si="26"/>
        <v>6400</v>
      </c>
      <c r="F86" s="213">
        <v>8000</v>
      </c>
      <c r="G86" s="214">
        <f t="shared" si="31"/>
        <v>1600</v>
      </c>
      <c r="H86" s="129">
        <f t="shared" si="33"/>
        <v>8320</v>
      </c>
      <c r="I86" s="114" t="e">
        <f t="shared" ca="1" si="27"/>
        <v>#NAME?</v>
      </c>
      <c r="J86" s="114">
        <f t="shared" si="28"/>
        <v>6240</v>
      </c>
      <c r="K86" s="114" t="e">
        <f t="shared" ca="1" si="29"/>
        <v>#NAME?</v>
      </c>
      <c r="L86" s="134" t="e">
        <f t="shared" ca="1" si="30"/>
        <v>#NAME?</v>
      </c>
      <c r="M86" s="114" t="e" cm="1">
        <f t="array" aca="1" ref="M86" ca="1">_xlfn.IFS(L86&gt;=70%,"Alta",L86&gt;20%,"Média",L86&lt;=20%,"Baixa")</f>
        <v>#NAME?</v>
      </c>
      <c r="N86" s="114"/>
      <c r="O86" s="145">
        <f t="shared" si="23"/>
        <v>6240</v>
      </c>
      <c r="P86" s="118">
        <v>0</v>
      </c>
      <c r="Q86" s="118">
        <v>7280</v>
      </c>
      <c r="R86" s="118">
        <v>5200</v>
      </c>
      <c r="S86" s="118">
        <v>0</v>
      </c>
      <c r="T86" s="118">
        <v>0</v>
      </c>
    </row>
    <row r="87" spans="2:20" ht="14.25" hidden="1" customHeight="1" x14ac:dyDescent="0.25">
      <c r="B87" s="200" t="s">
        <v>163</v>
      </c>
      <c r="C87" s="199" t="str">
        <f t="shared" si="32"/>
        <v>Desenvolvedor - PL-SQL/C#/Delphi - Senior</v>
      </c>
      <c r="D87" s="192" t="s">
        <v>100</v>
      </c>
      <c r="E87" s="213">
        <f t="shared" si="26"/>
        <v>8000</v>
      </c>
      <c r="F87" s="213">
        <v>10000</v>
      </c>
      <c r="G87" s="214">
        <f t="shared" si="31"/>
        <v>2000</v>
      </c>
      <c r="H87" s="129">
        <f t="shared" si="33"/>
        <v>10400</v>
      </c>
      <c r="I87" s="114" t="e">
        <f t="shared" ca="1" si="27"/>
        <v>#NAME?</v>
      </c>
      <c r="J87" s="114">
        <f t="shared" si="28"/>
        <v>9000</v>
      </c>
      <c r="K87" s="114" t="e">
        <f t="shared" ca="1" si="29"/>
        <v>#NAME?</v>
      </c>
      <c r="L87" s="134" t="e">
        <f t="shared" ca="1" si="30"/>
        <v>#NAME?</v>
      </c>
      <c r="M87" s="114" t="e" cm="1">
        <f t="array" aca="1" ref="M87" ca="1">_xlfn.IFS(L87&gt;=70%,"Alta",L87&gt;20%,"Média",L87&lt;=20%,"Baixa")</f>
        <v>#NAME?</v>
      </c>
      <c r="N87" s="114"/>
      <c r="O87" s="145">
        <f t="shared" si="23"/>
        <v>9000</v>
      </c>
      <c r="P87" s="118">
        <v>0</v>
      </c>
      <c r="Q87" s="118">
        <v>9100</v>
      </c>
      <c r="R87" s="118">
        <v>8900</v>
      </c>
      <c r="S87" s="118">
        <v>0</v>
      </c>
      <c r="T87" s="118">
        <v>0</v>
      </c>
    </row>
    <row r="88" spans="2:20" ht="14.25" hidden="1" customHeight="1" x14ac:dyDescent="0.25">
      <c r="B88" s="200" t="s">
        <v>168</v>
      </c>
      <c r="C88" s="199" t="str">
        <f t="shared" si="32"/>
        <v>Desenvolvedor ANDROID - Especialista</v>
      </c>
      <c r="D88" s="192" t="s">
        <v>100</v>
      </c>
      <c r="E88" s="213">
        <f t="shared" si="26"/>
        <v>10400</v>
      </c>
      <c r="F88" s="213">
        <v>13000</v>
      </c>
      <c r="G88" s="214">
        <f t="shared" si="31"/>
        <v>2600</v>
      </c>
      <c r="H88" s="129">
        <f t="shared" si="33"/>
        <v>13520</v>
      </c>
      <c r="I88" s="114" t="e">
        <f t="shared" ca="1" si="27"/>
        <v>#NAME?</v>
      </c>
      <c r="J88" s="114">
        <f t="shared" si="28"/>
        <v>10788.3125</v>
      </c>
      <c r="K88" s="114" t="e">
        <f t="shared" ca="1" si="29"/>
        <v>#NAME?</v>
      </c>
      <c r="L88" s="134" t="e">
        <f t="shared" ca="1" si="30"/>
        <v>#NAME?</v>
      </c>
      <c r="M88" s="114" t="e" cm="1">
        <f t="array" aca="1" ref="M88" ca="1">_xlfn.IFS(L88&gt;=70%,"Alta",L88&gt;20%,"Média",L88&lt;=20%,"Baixa")</f>
        <v>#NAME?</v>
      </c>
      <c r="N88" s="114"/>
      <c r="O88" s="145">
        <f t="shared" si="23"/>
        <v>10788.3125</v>
      </c>
      <c r="P88" s="118">
        <v>0</v>
      </c>
      <c r="Q88" s="118">
        <v>10076.625</v>
      </c>
      <c r="R88" s="118">
        <v>11500</v>
      </c>
      <c r="S88" s="118">
        <v>0</v>
      </c>
      <c r="T88" s="118">
        <v>0</v>
      </c>
    </row>
    <row r="89" spans="2:20" ht="14.25" hidden="1" customHeight="1" x14ac:dyDescent="0.25">
      <c r="B89" s="200" t="s">
        <v>165</v>
      </c>
      <c r="C89" s="199" t="str">
        <f t="shared" si="32"/>
        <v>Desenvolvedor ANDROID - Junior</v>
      </c>
      <c r="D89" s="192" t="s">
        <v>100</v>
      </c>
      <c r="E89" s="213">
        <f t="shared" si="26"/>
        <v>3920</v>
      </c>
      <c r="F89" s="213">
        <v>4900</v>
      </c>
      <c r="G89" s="214">
        <f t="shared" si="31"/>
        <v>980</v>
      </c>
      <c r="H89" s="129">
        <f t="shared" si="33"/>
        <v>5096</v>
      </c>
      <c r="I89" s="114" t="e">
        <f t="shared" ca="1" si="27"/>
        <v>#NAME?</v>
      </c>
      <c r="J89" s="114">
        <f t="shared" si="28"/>
        <v>4400</v>
      </c>
      <c r="K89" s="114" t="e">
        <f t="shared" ca="1" si="29"/>
        <v>#NAME?</v>
      </c>
      <c r="L89" s="134" t="e">
        <f t="shared" ca="1" si="30"/>
        <v>#NAME?</v>
      </c>
      <c r="M89" s="114" t="e" cm="1">
        <f t="array" aca="1" ref="M89" ca="1">_xlfn.IFS(L89&gt;=70%,"Alta",L89&gt;20%,"Média",L89&lt;=20%,"Baixa")</f>
        <v>#NAME?</v>
      </c>
      <c r="N89" s="114"/>
      <c r="O89" s="145">
        <f t="shared" si="23"/>
        <v>4400</v>
      </c>
      <c r="P89" s="118">
        <v>0</v>
      </c>
      <c r="Q89" s="118">
        <v>5300</v>
      </c>
      <c r="R89" s="118">
        <v>3500</v>
      </c>
      <c r="S89" s="118">
        <v>0</v>
      </c>
      <c r="T89" s="118">
        <v>0</v>
      </c>
    </row>
    <row r="90" spans="2:20" ht="14.25" hidden="1" customHeight="1" x14ac:dyDescent="0.25">
      <c r="B90" s="200" t="s">
        <v>166</v>
      </c>
      <c r="C90" s="199" t="str">
        <f t="shared" si="32"/>
        <v>Desenvolvedor ANDROID - Pleno</v>
      </c>
      <c r="D90" s="192" t="s">
        <v>100</v>
      </c>
      <c r="E90" s="213">
        <f t="shared" si="26"/>
        <v>7200</v>
      </c>
      <c r="F90" s="213">
        <v>9000</v>
      </c>
      <c r="G90" s="214">
        <f t="shared" si="31"/>
        <v>1800</v>
      </c>
      <c r="H90" s="129">
        <f t="shared" si="33"/>
        <v>9360</v>
      </c>
      <c r="I90" s="114" t="e">
        <f t="shared" ca="1" si="27"/>
        <v>#NAME?</v>
      </c>
      <c r="J90" s="114">
        <f t="shared" si="28"/>
        <v>6545</v>
      </c>
      <c r="K90" s="114" t="e">
        <f t="shared" ca="1" si="29"/>
        <v>#NAME?</v>
      </c>
      <c r="L90" s="134" t="e">
        <f t="shared" ca="1" si="30"/>
        <v>#NAME?</v>
      </c>
      <c r="M90" s="114" t="e" cm="1">
        <f t="array" aca="1" ref="M90" ca="1">_xlfn.IFS(L90&gt;=70%,"Alta",L90&gt;20%,"Média",L90&lt;=20%,"Baixa")</f>
        <v>#NAME?</v>
      </c>
      <c r="N90" s="114"/>
      <c r="O90" s="145">
        <f t="shared" si="23"/>
        <v>6545</v>
      </c>
      <c r="P90" s="118">
        <v>0</v>
      </c>
      <c r="Q90" s="118">
        <v>6890</v>
      </c>
      <c r="R90" s="118">
        <v>6200</v>
      </c>
      <c r="S90" s="118">
        <v>0</v>
      </c>
      <c r="T90" s="118">
        <v>0</v>
      </c>
    </row>
    <row r="91" spans="2:20" ht="14.25" hidden="1" customHeight="1" x14ac:dyDescent="0.25">
      <c r="B91" s="200" t="s">
        <v>167</v>
      </c>
      <c r="C91" s="199" t="str">
        <f t="shared" si="32"/>
        <v>Desenvolvedor ANDROID - Senior</v>
      </c>
      <c r="D91" s="192" t="s">
        <v>100</v>
      </c>
      <c r="E91" s="213">
        <f t="shared" si="26"/>
        <v>9200</v>
      </c>
      <c r="F91" s="213">
        <v>11500</v>
      </c>
      <c r="G91" s="214">
        <f t="shared" si="31"/>
        <v>2300</v>
      </c>
      <c r="H91" s="129">
        <f t="shared" si="33"/>
        <v>11960</v>
      </c>
      <c r="I91" s="114" t="e">
        <f t="shared" ca="1" si="27"/>
        <v>#NAME?</v>
      </c>
      <c r="J91" s="114">
        <f t="shared" si="28"/>
        <v>8906.25</v>
      </c>
      <c r="K91" s="114" t="e">
        <f t="shared" ca="1" si="29"/>
        <v>#NAME?</v>
      </c>
      <c r="L91" s="134" t="e">
        <f t="shared" ca="1" si="30"/>
        <v>#NAME?</v>
      </c>
      <c r="M91" s="114" t="e" cm="1">
        <f t="array" aca="1" ref="M91" ca="1">_xlfn.IFS(L91&gt;=70%,"Alta",L91&gt;20%,"Média",L91&lt;=20%,"Baixa")</f>
        <v>#NAME?</v>
      </c>
      <c r="N91" s="114"/>
      <c r="O91" s="145">
        <f t="shared" si="23"/>
        <v>8906.25</v>
      </c>
      <c r="P91" s="118">
        <v>0</v>
      </c>
      <c r="Q91" s="118">
        <v>8612.5</v>
      </c>
      <c r="R91" s="118">
        <v>9200</v>
      </c>
      <c r="S91" s="118">
        <v>0</v>
      </c>
      <c r="T91" s="118">
        <v>0</v>
      </c>
    </row>
    <row r="92" spans="2:20" ht="14.25" customHeight="1" x14ac:dyDescent="0.25">
      <c r="B92" s="200" t="s">
        <v>349</v>
      </c>
      <c r="C92" s="191" t="str">
        <f t="shared" ref="C92:C95" si="34">B92&amp; " " &amp;D92</f>
        <v>DBA - Administrador de Banco de Dados Especialista</v>
      </c>
      <c r="D92" s="192" t="s">
        <v>103</v>
      </c>
      <c r="E92" s="213">
        <f t="shared" si="26"/>
        <v>11200</v>
      </c>
      <c r="F92" s="248">
        <v>14000</v>
      </c>
      <c r="G92" s="214">
        <f t="shared" si="31"/>
        <v>2800</v>
      </c>
      <c r="H92" s="129">
        <f t="shared" ref="H92:H95" si="35">F92+(F92*IF(D92&lt;&gt;"",IF(D92&lt;&gt;"",VLOOKUP(D92,$D$3:$F$9,2,0)),""))</f>
        <v>18200</v>
      </c>
      <c r="I92" s="114"/>
      <c r="J92" s="114"/>
      <c r="K92" s="114"/>
      <c r="L92" s="134"/>
      <c r="M92" s="114"/>
      <c r="N92" s="212" t="s">
        <v>215</v>
      </c>
      <c r="O92" s="145">
        <f t="shared" si="23"/>
        <v>0</v>
      </c>
      <c r="P92" s="118"/>
      <c r="Q92" s="118">
        <v>0</v>
      </c>
      <c r="R92" s="118">
        <v>0</v>
      </c>
      <c r="S92" s="118"/>
      <c r="T92" s="118"/>
    </row>
    <row r="93" spans="2:20" ht="14.25" customHeight="1" x14ac:dyDescent="0.25">
      <c r="B93" s="200" t="s">
        <v>349</v>
      </c>
      <c r="C93" s="191" t="str">
        <f t="shared" si="34"/>
        <v>DBA - Administrador de Banco de Dados Júnior</v>
      </c>
      <c r="D93" s="192" t="s">
        <v>99</v>
      </c>
      <c r="E93" s="213">
        <f t="shared" si="26"/>
        <v>3200</v>
      </c>
      <c r="F93" s="248">
        <v>4000</v>
      </c>
      <c r="G93" s="214">
        <f t="shared" si="31"/>
        <v>800</v>
      </c>
      <c r="H93" s="129">
        <f t="shared" si="35"/>
        <v>5200</v>
      </c>
      <c r="I93" s="114"/>
      <c r="J93" s="114"/>
      <c r="K93" s="114"/>
      <c r="L93" s="134"/>
      <c r="M93" s="114"/>
      <c r="N93" s="212" t="s">
        <v>215</v>
      </c>
      <c r="O93" s="145">
        <f t="shared" si="23"/>
        <v>0</v>
      </c>
      <c r="P93" s="118"/>
      <c r="Q93" s="118">
        <v>0</v>
      </c>
      <c r="R93" s="118">
        <v>0</v>
      </c>
      <c r="S93" s="118"/>
      <c r="T93" s="118"/>
    </row>
    <row r="94" spans="2:20" ht="14.25" customHeight="1" x14ac:dyDescent="0.25">
      <c r="B94" s="200" t="s">
        <v>349</v>
      </c>
      <c r="C94" s="191" t="str">
        <f t="shared" si="34"/>
        <v>DBA - Administrador de Banco de Dados Pleno</v>
      </c>
      <c r="D94" s="192" t="s">
        <v>100</v>
      </c>
      <c r="E94" s="213">
        <f t="shared" si="26"/>
        <v>5200</v>
      </c>
      <c r="F94" s="248">
        <v>6500</v>
      </c>
      <c r="G94" s="214">
        <f t="shared" si="31"/>
        <v>1300</v>
      </c>
      <c r="H94" s="129">
        <f t="shared" si="35"/>
        <v>8450</v>
      </c>
      <c r="I94" s="114"/>
      <c r="J94" s="114"/>
      <c r="K94" s="114"/>
      <c r="L94" s="134"/>
      <c r="M94" s="114"/>
      <c r="N94" s="212" t="s">
        <v>215</v>
      </c>
      <c r="O94" s="145">
        <f t="shared" si="23"/>
        <v>0</v>
      </c>
      <c r="P94" s="118"/>
      <c r="Q94" s="118">
        <v>0</v>
      </c>
      <c r="R94" s="118">
        <v>0</v>
      </c>
      <c r="S94" s="118"/>
      <c r="T94" s="118"/>
    </row>
    <row r="95" spans="2:20" ht="14.25" customHeight="1" x14ac:dyDescent="0.25">
      <c r="B95" s="200" t="s">
        <v>349</v>
      </c>
      <c r="C95" s="191" t="str">
        <f t="shared" si="34"/>
        <v>DBA - Administrador de Banco de Dados Sênior</v>
      </c>
      <c r="D95" s="192" t="s">
        <v>101</v>
      </c>
      <c r="E95" s="213">
        <f t="shared" si="26"/>
        <v>7200</v>
      </c>
      <c r="F95" s="248">
        <v>9000</v>
      </c>
      <c r="G95" s="214">
        <f t="shared" si="31"/>
        <v>1800</v>
      </c>
      <c r="H95" s="129">
        <f t="shared" si="35"/>
        <v>11700</v>
      </c>
      <c r="I95" s="114"/>
      <c r="J95" s="114"/>
      <c r="K95" s="114"/>
      <c r="L95" s="134"/>
      <c r="M95" s="114"/>
      <c r="N95" s="212" t="s">
        <v>215</v>
      </c>
      <c r="O95" s="145">
        <f t="shared" si="23"/>
        <v>0</v>
      </c>
      <c r="P95" s="118"/>
      <c r="Q95" s="118">
        <v>0</v>
      </c>
      <c r="R95" s="118">
        <v>0</v>
      </c>
      <c r="S95" s="118"/>
      <c r="T95" s="118"/>
    </row>
    <row r="96" spans="2:20" ht="14.25" customHeight="1" x14ac:dyDescent="0.25">
      <c r="B96" s="198" t="s">
        <v>226</v>
      </c>
      <c r="C96" s="191" t="str">
        <f t="shared" ref="C96:C107" si="36">B96&amp; " " &amp;D96</f>
        <v>Desenvolvedor BackEnd Especialista</v>
      </c>
      <c r="D96" s="192" t="s">
        <v>103</v>
      </c>
      <c r="E96" s="213">
        <f t="shared" si="26"/>
        <v>10400</v>
      </c>
      <c r="F96" s="248">
        <v>13000</v>
      </c>
      <c r="G96" s="214">
        <f t="shared" si="31"/>
        <v>2600</v>
      </c>
      <c r="H96" s="129">
        <f t="shared" ref="H96:H107" si="37">F96+(F96*IF(D96&lt;&gt;"",IF(D96&lt;&gt;"",VLOOKUP(D96,$D$3:$F$9,2,0)),""))</f>
        <v>16900</v>
      </c>
      <c r="I96" s="114" t="e">
        <f t="shared" ca="1" si="27"/>
        <v>#NAME?</v>
      </c>
      <c r="J96" s="114">
        <f t="shared" si="28"/>
        <v>11703.75</v>
      </c>
      <c r="K96" s="114" t="e">
        <f t="shared" ca="1" si="29"/>
        <v>#NAME?</v>
      </c>
      <c r="L96" s="134" t="e">
        <f t="shared" ca="1" si="30"/>
        <v>#NAME?</v>
      </c>
      <c r="M96" s="114" t="e" cm="1">
        <f t="array" aca="1" ref="M96" ca="1">_xlfn.IFS(L96&gt;=70%,"Alta",L96&gt;20%,"Média",L96&lt;=20%,"Baixa")</f>
        <v>#NAME?</v>
      </c>
      <c r="N96" s="212" t="s">
        <v>215</v>
      </c>
      <c r="O96" s="145">
        <f t="shared" si="23"/>
        <v>11703.75</v>
      </c>
      <c r="P96" s="118">
        <v>0</v>
      </c>
      <c r="Q96" s="118">
        <v>11407.5</v>
      </c>
      <c r="R96" s="118">
        <v>12000</v>
      </c>
      <c r="S96" s="118">
        <v>0</v>
      </c>
      <c r="T96" s="118">
        <v>0</v>
      </c>
    </row>
    <row r="97" spans="2:20" ht="14.25" customHeight="1" x14ac:dyDescent="0.25">
      <c r="B97" s="198" t="s">
        <v>226</v>
      </c>
      <c r="C97" s="191" t="str">
        <f t="shared" si="36"/>
        <v>Desenvolvedor BackEnd Júnior</v>
      </c>
      <c r="D97" s="192" t="s">
        <v>99</v>
      </c>
      <c r="E97" s="213">
        <f t="shared" si="26"/>
        <v>3920</v>
      </c>
      <c r="F97" s="248">
        <v>4900</v>
      </c>
      <c r="G97" s="214">
        <f t="shared" si="31"/>
        <v>980</v>
      </c>
      <c r="H97" s="129">
        <f t="shared" si="37"/>
        <v>6370</v>
      </c>
      <c r="I97" s="114" t="e">
        <f t="shared" ca="1" si="27"/>
        <v>#NAME?</v>
      </c>
      <c r="J97" s="114">
        <f t="shared" si="28"/>
        <v>4750</v>
      </c>
      <c r="K97" s="114" t="e">
        <f t="shared" ca="1" si="29"/>
        <v>#NAME?</v>
      </c>
      <c r="L97" s="134" t="e">
        <f t="shared" ca="1" si="30"/>
        <v>#NAME?</v>
      </c>
      <c r="M97" s="114" t="e" cm="1">
        <f t="array" aca="1" ref="M97" ca="1">_xlfn.IFS(L97&gt;=70%,"Alta",L97&gt;20%,"Média",L97&lt;=20%,"Baixa")</f>
        <v>#NAME?</v>
      </c>
      <c r="N97" s="212" t="s">
        <v>215</v>
      </c>
      <c r="O97" s="145">
        <f t="shared" si="23"/>
        <v>4750</v>
      </c>
      <c r="P97" s="118">
        <v>0</v>
      </c>
      <c r="Q97" s="118">
        <v>6000</v>
      </c>
      <c r="R97" s="118">
        <v>3500</v>
      </c>
      <c r="S97" s="118">
        <v>0</v>
      </c>
      <c r="T97" s="118">
        <v>0</v>
      </c>
    </row>
    <row r="98" spans="2:20" ht="14.25" customHeight="1" x14ac:dyDescent="0.25">
      <c r="B98" s="198" t="s">
        <v>226</v>
      </c>
      <c r="C98" s="191" t="str">
        <f t="shared" si="36"/>
        <v>Desenvolvedor BackEnd Pleno</v>
      </c>
      <c r="D98" s="192" t="s">
        <v>100</v>
      </c>
      <c r="E98" s="213">
        <f t="shared" si="26"/>
        <v>7200</v>
      </c>
      <c r="F98" s="248">
        <v>9000</v>
      </c>
      <c r="G98" s="214">
        <f t="shared" si="31"/>
        <v>1800</v>
      </c>
      <c r="H98" s="129">
        <f t="shared" si="37"/>
        <v>11700</v>
      </c>
      <c r="I98" s="114" t="e">
        <f t="shared" ca="1" si="27"/>
        <v>#NAME?</v>
      </c>
      <c r="J98" s="114">
        <f t="shared" si="28"/>
        <v>7000</v>
      </c>
      <c r="K98" s="114" t="e">
        <f t="shared" ca="1" si="29"/>
        <v>#NAME?</v>
      </c>
      <c r="L98" s="134" t="e">
        <f t="shared" ca="1" si="30"/>
        <v>#NAME?</v>
      </c>
      <c r="M98" s="114" t="e" cm="1">
        <f t="array" aca="1" ref="M98" ca="1">_xlfn.IFS(L98&gt;=70%,"Alta",L98&gt;20%,"Média",L98&lt;=20%,"Baixa")</f>
        <v>#NAME?</v>
      </c>
      <c r="N98" s="212" t="s">
        <v>215</v>
      </c>
      <c r="O98" s="145">
        <f t="shared" si="23"/>
        <v>7000</v>
      </c>
      <c r="P98" s="118">
        <v>0</v>
      </c>
      <c r="Q98" s="118">
        <v>7800</v>
      </c>
      <c r="R98" s="118">
        <v>6200</v>
      </c>
      <c r="S98" s="118">
        <v>0</v>
      </c>
      <c r="T98" s="118">
        <v>0</v>
      </c>
    </row>
    <row r="99" spans="2:20" ht="14.25" customHeight="1" x14ac:dyDescent="0.25">
      <c r="B99" s="198" t="s">
        <v>226</v>
      </c>
      <c r="C99" s="191" t="str">
        <f t="shared" si="36"/>
        <v>Desenvolvedor BackEnd Sênior</v>
      </c>
      <c r="D99" s="192" t="s">
        <v>101</v>
      </c>
      <c r="E99" s="213">
        <f t="shared" si="26"/>
        <v>8800</v>
      </c>
      <c r="F99" s="248">
        <v>11000</v>
      </c>
      <c r="G99" s="214">
        <f t="shared" si="31"/>
        <v>2200</v>
      </c>
      <c r="H99" s="129">
        <f>F99+(F99*IF(D99&lt;&gt;"",IF(D99&lt;&gt;"",VLOOKUP(D99,$D$3:$F$9,2,0)),""))</f>
        <v>14300</v>
      </c>
      <c r="I99" s="114" t="e">
        <f t="shared" ca="1" si="27"/>
        <v>#NAME?</v>
      </c>
      <c r="J99" s="114">
        <f t="shared" si="28"/>
        <v>9625</v>
      </c>
      <c r="K99" s="114" t="e">
        <f t="shared" ca="1" si="29"/>
        <v>#NAME?</v>
      </c>
      <c r="L99" s="134" t="e">
        <f t="shared" ca="1" si="30"/>
        <v>#NAME?</v>
      </c>
      <c r="M99" s="114" t="e" cm="1">
        <f t="array" aca="1" ref="M99" ca="1">_xlfn.IFS(L99&gt;=70%,"Alta",L99&gt;20%,"Média",L99&lt;=20%,"Baixa")</f>
        <v>#NAME?</v>
      </c>
      <c r="N99" s="212" t="s">
        <v>215</v>
      </c>
      <c r="O99" s="145">
        <f t="shared" si="23"/>
        <v>9625</v>
      </c>
      <c r="P99" s="118">
        <v>0</v>
      </c>
      <c r="Q99" s="118">
        <v>9750</v>
      </c>
      <c r="R99" s="118">
        <v>9500</v>
      </c>
      <c r="S99" s="118">
        <v>0</v>
      </c>
      <c r="T99" s="118">
        <v>0</v>
      </c>
    </row>
    <row r="100" spans="2:20" ht="14.25" customHeight="1" x14ac:dyDescent="0.25">
      <c r="B100" s="198" t="s">
        <v>227</v>
      </c>
      <c r="C100" s="191" t="str">
        <f t="shared" si="36"/>
        <v>Desenvolvedor FrontEnd Especialista</v>
      </c>
      <c r="D100" s="192" t="s">
        <v>103</v>
      </c>
      <c r="E100" s="213">
        <f t="shared" si="26"/>
        <v>10400</v>
      </c>
      <c r="F100" s="248">
        <v>13000</v>
      </c>
      <c r="G100" s="214">
        <f t="shared" si="31"/>
        <v>2600</v>
      </c>
      <c r="H100" s="129">
        <f t="shared" si="37"/>
        <v>16900</v>
      </c>
      <c r="I100" s="114" t="e">
        <f t="shared" ca="1" si="27"/>
        <v>#NAME?</v>
      </c>
      <c r="J100" s="114">
        <f t="shared" si="28"/>
        <v>11038.3125</v>
      </c>
      <c r="K100" s="114" t="e">
        <f t="shared" ca="1" si="29"/>
        <v>#NAME?</v>
      </c>
      <c r="L100" s="134" t="e">
        <f t="shared" ca="1" si="30"/>
        <v>#NAME?</v>
      </c>
      <c r="M100" s="114" t="e" cm="1">
        <f t="array" aca="1" ref="M100" ca="1">_xlfn.IFS(L100&gt;=70%,"Alta",L100&gt;20%,"Média",L100&lt;=20%,"Baixa")</f>
        <v>#NAME?</v>
      </c>
      <c r="N100" s="212" t="s">
        <v>215</v>
      </c>
      <c r="O100" s="145">
        <f t="shared" si="23"/>
        <v>11038.3125</v>
      </c>
      <c r="P100" s="118">
        <v>0</v>
      </c>
      <c r="Q100" s="118">
        <v>10076.625</v>
      </c>
      <c r="R100" s="118">
        <v>12000</v>
      </c>
      <c r="S100" s="118">
        <v>0</v>
      </c>
      <c r="T100" s="118">
        <v>0</v>
      </c>
    </row>
    <row r="101" spans="2:20" ht="14.25" customHeight="1" x14ac:dyDescent="0.25">
      <c r="B101" s="198" t="s">
        <v>227</v>
      </c>
      <c r="C101" s="191" t="str">
        <f t="shared" si="36"/>
        <v>Desenvolvedor FrontEnd Júnior</v>
      </c>
      <c r="D101" s="192" t="s">
        <v>99</v>
      </c>
      <c r="E101" s="213">
        <f t="shared" si="26"/>
        <v>3920</v>
      </c>
      <c r="F101" s="248">
        <v>4900</v>
      </c>
      <c r="G101" s="214">
        <f t="shared" si="31"/>
        <v>980</v>
      </c>
      <c r="H101" s="129">
        <f t="shared" si="37"/>
        <v>6370</v>
      </c>
      <c r="I101" s="114" t="e">
        <f t="shared" ca="1" si="27"/>
        <v>#NAME?</v>
      </c>
      <c r="J101" s="114">
        <f t="shared" si="28"/>
        <v>4400</v>
      </c>
      <c r="K101" s="114" t="e">
        <f t="shared" ca="1" si="29"/>
        <v>#NAME?</v>
      </c>
      <c r="L101" s="134" t="e">
        <f t="shared" ca="1" si="30"/>
        <v>#NAME?</v>
      </c>
      <c r="M101" s="114" t="e" cm="1">
        <f t="array" aca="1" ref="M101" ca="1">_xlfn.IFS(L101&gt;=70%,"Alta",L101&gt;20%,"Média",L101&lt;=20%,"Baixa")</f>
        <v>#NAME?</v>
      </c>
      <c r="N101" s="212" t="s">
        <v>215</v>
      </c>
      <c r="O101" s="145">
        <f t="shared" si="23"/>
        <v>4400</v>
      </c>
      <c r="P101" s="118">
        <v>0</v>
      </c>
      <c r="Q101" s="118">
        <v>5300</v>
      </c>
      <c r="R101" s="118">
        <v>3500</v>
      </c>
      <c r="S101" s="118">
        <v>0</v>
      </c>
      <c r="T101" s="118">
        <v>0</v>
      </c>
    </row>
    <row r="102" spans="2:20" ht="14.25" customHeight="1" x14ac:dyDescent="0.25">
      <c r="B102" s="198" t="s">
        <v>227</v>
      </c>
      <c r="C102" s="191" t="str">
        <f t="shared" si="36"/>
        <v>Desenvolvedor FrontEnd Pleno</v>
      </c>
      <c r="D102" s="192" t="s">
        <v>100</v>
      </c>
      <c r="E102" s="213">
        <f t="shared" si="26"/>
        <v>7200</v>
      </c>
      <c r="F102" s="248">
        <v>9000</v>
      </c>
      <c r="G102" s="214">
        <f t="shared" si="31"/>
        <v>1800</v>
      </c>
      <c r="H102" s="129">
        <f t="shared" si="37"/>
        <v>11700</v>
      </c>
      <c r="I102" s="114" t="e">
        <f t="shared" ca="1" si="27"/>
        <v>#NAME?</v>
      </c>
      <c r="J102" s="114">
        <f t="shared" si="28"/>
        <v>6545</v>
      </c>
      <c r="K102" s="114" t="e">
        <f t="shared" ca="1" si="29"/>
        <v>#NAME?</v>
      </c>
      <c r="L102" s="134" t="e">
        <f t="shared" ca="1" si="30"/>
        <v>#NAME?</v>
      </c>
      <c r="M102" s="114" t="e" cm="1">
        <f t="array" aca="1" ref="M102" ca="1">_xlfn.IFS(L102&gt;=70%,"Alta",L102&gt;20%,"Média",L102&lt;=20%,"Baixa")</f>
        <v>#NAME?</v>
      </c>
      <c r="N102" s="212" t="s">
        <v>215</v>
      </c>
      <c r="O102" s="145">
        <f t="shared" si="23"/>
        <v>6545</v>
      </c>
      <c r="P102" s="118">
        <v>0</v>
      </c>
      <c r="Q102" s="118">
        <v>6890</v>
      </c>
      <c r="R102" s="118">
        <v>6200</v>
      </c>
      <c r="S102" s="118">
        <v>0</v>
      </c>
      <c r="T102" s="118">
        <v>0</v>
      </c>
    </row>
    <row r="103" spans="2:20" ht="14.25" customHeight="1" x14ac:dyDescent="0.25">
      <c r="B103" s="198" t="s">
        <v>227</v>
      </c>
      <c r="C103" s="191" t="str">
        <f t="shared" si="36"/>
        <v>Desenvolvedor FrontEnd Sênior</v>
      </c>
      <c r="D103" s="192" t="s">
        <v>101</v>
      </c>
      <c r="E103" s="213">
        <f t="shared" si="26"/>
        <v>8800</v>
      </c>
      <c r="F103" s="248">
        <v>11000</v>
      </c>
      <c r="G103" s="214">
        <f t="shared" si="31"/>
        <v>2200</v>
      </c>
      <c r="H103" s="129">
        <f t="shared" si="37"/>
        <v>14300</v>
      </c>
      <c r="I103" s="114" t="e">
        <f t="shared" ca="1" si="27"/>
        <v>#NAME?</v>
      </c>
      <c r="J103" s="114">
        <f t="shared" si="28"/>
        <v>9056.25</v>
      </c>
      <c r="K103" s="114" t="e">
        <f t="shared" ca="1" si="29"/>
        <v>#NAME?</v>
      </c>
      <c r="L103" s="134" t="e">
        <f t="shared" ca="1" si="30"/>
        <v>#NAME?</v>
      </c>
      <c r="M103" s="114" t="e" cm="1">
        <f t="array" aca="1" ref="M103" ca="1">_xlfn.IFS(L103&gt;=70%,"Alta",L103&gt;20%,"Média",L103&lt;=20%,"Baixa")</f>
        <v>#NAME?</v>
      </c>
      <c r="N103" s="212" t="s">
        <v>215</v>
      </c>
      <c r="O103" s="145">
        <f t="shared" si="23"/>
        <v>9056.25</v>
      </c>
      <c r="P103" s="118">
        <v>0</v>
      </c>
      <c r="Q103" s="118">
        <v>8612.5</v>
      </c>
      <c r="R103" s="118">
        <v>9500</v>
      </c>
      <c r="S103" s="118">
        <v>0</v>
      </c>
      <c r="T103" s="118">
        <v>0</v>
      </c>
    </row>
    <row r="104" spans="2:20" ht="14.25" customHeight="1" x14ac:dyDescent="0.25">
      <c r="B104" s="198" t="s">
        <v>228</v>
      </c>
      <c r="C104" s="191" t="str">
        <f t="shared" si="36"/>
        <v>Desenvolvedor FullStack Especialista</v>
      </c>
      <c r="D104" s="192" t="s">
        <v>103</v>
      </c>
      <c r="E104" s="213">
        <f t="shared" si="26"/>
        <v>10880</v>
      </c>
      <c r="F104" s="248">
        <v>13600</v>
      </c>
      <c r="G104" s="214">
        <f t="shared" si="31"/>
        <v>2720</v>
      </c>
      <c r="H104" s="129">
        <f t="shared" si="37"/>
        <v>17680</v>
      </c>
      <c r="I104" s="114" t="e">
        <f t="shared" ca="1" si="27"/>
        <v>#NAME?</v>
      </c>
      <c r="J104" s="114">
        <f t="shared" si="28"/>
        <v>12274.125</v>
      </c>
      <c r="K104" s="114" t="e">
        <f t="shared" ca="1" si="29"/>
        <v>#NAME?</v>
      </c>
      <c r="L104" s="134" t="e">
        <f t="shared" ca="1" si="30"/>
        <v>#NAME?</v>
      </c>
      <c r="M104" s="114" t="e" cm="1">
        <f t="array" aca="1" ref="M104" ca="1">_xlfn.IFS(L104&gt;=70%,"Alta",L104&gt;20%,"Média",L104&lt;=20%,"Baixa")</f>
        <v>#NAME?</v>
      </c>
      <c r="N104" s="212" t="s">
        <v>215</v>
      </c>
      <c r="O104" s="145">
        <f t="shared" ref="O104:O134" si="38">J104</f>
        <v>12274.125</v>
      </c>
      <c r="P104" s="118">
        <v>0</v>
      </c>
      <c r="Q104" s="118">
        <v>12548.25</v>
      </c>
      <c r="R104" s="118">
        <v>12000</v>
      </c>
      <c r="S104" s="118">
        <v>0</v>
      </c>
      <c r="T104" s="118">
        <v>0</v>
      </c>
    </row>
    <row r="105" spans="2:20" ht="14.25" customHeight="1" x14ac:dyDescent="0.25">
      <c r="B105" s="198" t="s">
        <v>228</v>
      </c>
      <c r="C105" s="191" t="str">
        <f t="shared" si="36"/>
        <v>Desenvolvedor FullStack Júnior</v>
      </c>
      <c r="D105" s="192" t="s">
        <v>99</v>
      </c>
      <c r="E105" s="213">
        <f t="shared" si="26"/>
        <v>3920</v>
      </c>
      <c r="F105" s="248">
        <v>4900</v>
      </c>
      <c r="G105" s="214">
        <f t="shared" si="31"/>
        <v>980</v>
      </c>
      <c r="H105" s="129">
        <f t="shared" si="37"/>
        <v>6370</v>
      </c>
      <c r="I105" s="114" t="e">
        <f t="shared" ca="1" si="27"/>
        <v>#NAME?</v>
      </c>
      <c r="J105" s="114">
        <f t="shared" si="28"/>
        <v>5050</v>
      </c>
      <c r="K105" s="114" t="e">
        <f t="shared" ca="1" si="29"/>
        <v>#NAME?</v>
      </c>
      <c r="L105" s="134" t="e">
        <f t="shared" ca="1" si="30"/>
        <v>#NAME?</v>
      </c>
      <c r="M105" s="114" t="e" cm="1">
        <f t="array" aca="1" ref="M105" ca="1">_xlfn.IFS(L105&gt;=70%,"Alta",L105&gt;20%,"Média",L105&lt;=20%,"Baixa")</f>
        <v>#NAME?</v>
      </c>
      <c r="N105" s="212" t="s">
        <v>215</v>
      </c>
      <c r="O105" s="145">
        <f t="shared" si="38"/>
        <v>5050</v>
      </c>
      <c r="P105" s="118">
        <v>0</v>
      </c>
      <c r="Q105" s="118">
        <v>6600</v>
      </c>
      <c r="R105" s="118">
        <v>3500</v>
      </c>
      <c r="S105" s="118">
        <v>0</v>
      </c>
      <c r="T105" s="118">
        <v>0</v>
      </c>
    </row>
    <row r="106" spans="2:20" ht="14.25" customHeight="1" x14ac:dyDescent="0.25">
      <c r="B106" s="198" t="s">
        <v>228</v>
      </c>
      <c r="C106" s="191" t="str">
        <f t="shared" si="36"/>
        <v>Desenvolvedor FullStack Pleno</v>
      </c>
      <c r="D106" s="192" t="s">
        <v>100</v>
      </c>
      <c r="E106" s="213">
        <f t="shared" si="26"/>
        <v>7520</v>
      </c>
      <c r="F106" s="248">
        <v>9400</v>
      </c>
      <c r="G106" s="214">
        <f t="shared" si="31"/>
        <v>1880</v>
      </c>
      <c r="H106" s="129">
        <f t="shared" si="37"/>
        <v>12220</v>
      </c>
      <c r="I106" s="114" t="e">
        <f t="shared" ca="1" si="27"/>
        <v>#NAME?</v>
      </c>
      <c r="J106" s="114">
        <f t="shared" si="28"/>
        <v>7390</v>
      </c>
      <c r="K106" s="114" t="e">
        <f t="shared" ca="1" si="29"/>
        <v>#NAME?</v>
      </c>
      <c r="L106" s="134" t="e">
        <f t="shared" ca="1" si="30"/>
        <v>#NAME?</v>
      </c>
      <c r="M106" s="114" t="e" cm="1">
        <f t="array" aca="1" ref="M106" ca="1">_xlfn.IFS(L106&gt;=70%,"Alta",L106&gt;20%,"Média",L106&lt;=20%,"Baixa")</f>
        <v>#NAME?</v>
      </c>
      <c r="N106" s="212" t="s">
        <v>215</v>
      </c>
      <c r="O106" s="145">
        <f t="shared" si="38"/>
        <v>7390</v>
      </c>
      <c r="P106" s="118">
        <v>0</v>
      </c>
      <c r="Q106" s="118">
        <v>8580</v>
      </c>
      <c r="R106" s="118">
        <v>6200</v>
      </c>
      <c r="S106" s="118">
        <v>0</v>
      </c>
      <c r="T106" s="118">
        <v>0</v>
      </c>
    </row>
    <row r="107" spans="2:20" ht="14.25" customHeight="1" x14ac:dyDescent="0.25">
      <c r="B107" s="198" t="s">
        <v>228</v>
      </c>
      <c r="C107" s="191" t="str">
        <f t="shared" si="36"/>
        <v>Desenvolvedor FullStack Sênior</v>
      </c>
      <c r="D107" s="192" t="s">
        <v>101</v>
      </c>
      <c r="E107" s="213">
        <f t="shared" si="26"/>
        <v>9200</v>
      </c>
      <c r="F107" s="248">
        <v>11500</v>
      </c>
      <c r="G107" s="214">
        <f t="shared" si="31"/>
        <v>2300</v>
      </c>
      <c r="H107" s="129">
        <f t="shared" si="37"/>
        <v>14950</v>
      </c>
      <c r="I107" s="114" t="e">
        <f t="shared" ca="1" si="27"/>
        <v>#NAME?</v>
      </c>
      <c r="J107" s="114">
        <f t="shared" si="28"/>
        <v>10112.5</v>
      </c>
      <c r="K107" s="114" t="e">
        <f t="shared" ca="1" si="29"/>
        <v>#NAME?</v>
      </c>
      <c r="L107" s="134" t="e">
        <f t="shared" ca="1" si="30"/>
        <v>#NAME?</v>
      </c>
      <c r="M107" s="114" t="e" cm="1">
        <f t="array" aca="1" ref="M107" ca="1">_xlfn.IFS(L107&gt;=70%,"Alta",L107&gt;20%,"Média",L107&lt;=20%,"Baixa")</f>
        <v>#NAME?</v>
      </c>
      <c r="N107" s="212" t="s">
        <v>215</v>
      </c>
      <c r="O107" s="145">
        <f t="shared" si="38"/>
        <v>10112.5</v>
      </c>
      <c r="P107" s="118">
        <v>0</v>
      </c>
      <c r="Q107" s="118">
        <v>10725</v>
      </c>
      <c r="R107" s="118">
        <v>9500</v>
      </c>
      <c r="S107" s="118">
        <v>0</v>
      </c>
      <c r="T107" s="118">
        <v>0</v>
      </c>
    </row>
    <row r="108" spans="2:20" ht="14.25" hidden="1" customHeight="1" x14ac:dyDescent="0.25">
      <c r="B108" s="200" t="s">
        <v>172</v>
      </c>
      <c r="C108" s="199" t="str">
        <f t="shared" si="32"/>
        <v>Desenvolvedor IOS - Especialista</v>
      </c>
      <c r="D108" s="192" t="s">
        <v>100</v>
      </c>
      <c r="E108" s="213">
        <f t="shared" si="26"/>
        <v>10400</v>
      </c>
      <c r="F108" s="213">
        <v>13000</v>
      </c>
      <c r="G108" s="214">
        <f t="shared" si="31"/>
        <v>2600</v>
      </c>
      <c r="H108" s="129">
        <f t="shared" si="33"/>
        <v>13520</v>
      </c>
      <c r="I108" s="114" t="e">
        <f t="shared" ca="1" si="27"/>
        <v>#NAME?</v>
      </c>
      <c r="J108" s="114">
        <f t="shared" si="28"/>
        <v>11138.3125</v>
      </c>
      <c r="K108" s="114" t="e">
        <f t="shared" ca="1" si="29"/>
        <v>#NAME?</v>
      </c>
      <c r="L108" s="134" t="e">
        <f t="shared" ca="1" si="30"/>
        <v>#NAME?</v>
      </c>
      <c r="M108" s="114" t="e" cm="1">
        <f t="array" aca="1" ref="M108" ca="1">_xlfn.IFS(L108&gt;=70%,"Alta",L108&gt;20%,"Média",L108&lt;=20%,"Baixa")</f>
        <v>#NAME?</v>
      </c>
      <c r="N108" s="114"/>
      <c r="O108" s="145">
        <f t="shared" si="38"/>
        <v>11138.3125</v>
      </c>
      <c r="P108" s="118">
        <v>0</v>
      </c>
      <c r="Q108" s="118">
        <v>10076.625</v>
      </c>
      <c r="R108" s="118">
        <v>12200</v>
      </c>
      <c r="S108" s="118">
        <v>0</v>
      </c>
      <c r="T108" s="118">
        <v>0</v>
      </c>
    </row>
    <row r="109" spans="2:20" ht="14.25" hidden="1" customHeight="1" x14ac:dyDescent="0.25">
      <c r="B109" s="200" t="s">
        <v>169</v>
      </c>
      <c r="C109" s="199" t="str">
        <f t="shared" si="32"/>
        <v>Desenvolvedor IOS - Junior</v>
      </c>
      <c r="D109" s="192" t="s">
        <v>100</v>
      </c>
      <c r="E109" s="213">
        <f t="shared" si="26"/>
        <v>3920</v>
      </c>
      <c r="F109" s="213">
        <v>4900</v>
      </c>
      <c r="G109" s="214">
        <f t="shared" si="31"/>
        <v>980</v>
      </c>
      <c r="H109" s="129">
        <f t="shared" si="33"/>
        <v>5096</v>
      </c>
      <c r="I109" s="114" t="e">
        <f t="shared" ca="1" si="27"/>
        <v>#NAME?</v>
      </c>
      <c r="J109" s="114">
        <f t="shared" si="28"/>
        <v>4400</v>
      </c>
      <c r="K109" s="114" t="e">
        <f t="shared" ca="1" si="29"/>
        <v>#NAME?</v>
      </c>
      <c r="L109" s="134" t="e">
        <f t="shared" ca="1" si="30"/>
        <v>#NAME?</v>
      </c>
      <c r="M109" s="114" t="e" cm="1">
        <f t="array" aca="1" ref="M109" ca="1">_xlfn.IFS(L109&gt;=70%,"Alta",L109&gt;20%,"Média",L109&lt;=20%,"Baixa")</f>
        <v>#NAME?</v>
      </c>
      <c r="N109" s="114"/>
      <c r="O109" s="145">
        <f t="shared" si="38"/>
        <v>4400</v>
      </c>
      <c r="P109" s="118">
        <v>0</v>
      </c>
      <c r="Q109" s="118">
        <v>5300</v>
      </c>
      <c r="R109" s="118">
        <v>3500</v>
      </c>
      <c r="S109" s="118">
        <v>0</v>
      </c>
      <c r="T109" s="118">
        <v>0</v>
      </c>
    </row>
    <row r="110" spans="2:20" ht="14.25" hidden="1" customHeight="1" x14ac:dyDescent="0.25">
      <c r="B110" s="200" t="s">
        <v>170</v>
      </c>
      <c r="C110" s="199" t="str">
        <f t="shared" si="32"/>
        <v>Desenvolvedor IOS - Pleno</v>
      </c>
      <c r="D110" s="192" t="s">
        <v>100</v>
      </c>
      <c r="E110" s="213">
        <f t="shared" si="26"/>
        <v>7200</v>
      </c>
      <c r="F110" s="213">
        <v>9000</v>
      </c>
      <c r="G110" s="214">
        <f t="shared" si="31"/>
        <v>1800</v>
      </c>
      <c r="H110" s="129">
        <f t="shared" si="33"/>
        <v>9360</v>
      </c>
      <c r="I110" s="114" t="e">
        <f t="shared" ca="1" si="27"/>
        <v>#NAME?</v>
      </c>
      <c r="J110" s="114">
        <f t="shared" si="28"/>
        <v>6695</v>
      </c>
      <c r="K110" s="114" t="e">
        <f t="shared" ca="1" si="29"/>
        <v>#NAME?</v>
      </c>
      <c r="L110" s="134" t="e">
        <f t="shared" ca="1" si="30"/>
        <v>#NAME?</v>
      </c>
      <c r="M110" s="114" t="e" cm="1">
        <f t="array" aca="1" ref="M110" ca="1">_xlfn.IFS(L110&gt;=70%,"Alta",L110&gt;20%,"Média",L110&lt;=20%,"Baixa")</f>
        <v>#NAME?</v>
      </c>
      <c r="N110" s="114"/>
      <c r="O110" s="145">
        <f t="shared" si="38"/>
        <v>6695</v>
      </c>
      <c r="P110" s="118">
        <v>0</v>
      </c>
      <c r="Q110" s="118">
        <v>6890</v>
      </c>
      <c r="R110" s="118">
        <v>6500</v>
      </c>
      <c r="S110" s="118">
        <v>0</v>
      </c>
      <c r="T110" s="118">
        <v>0</v>
      </c>
    </row>
    <row r="111" spans="2:20" ht="14.25" hidden="1" customHeight="1" x14ac:dyDescent="0.25">
      <c r="B111" s="200" t="s">
        <v>171</v>
      </c>
      <c r="C111" s="199" t="str">
        <f t="shared" si="32"/>
        <v>Desenvolvedor IOS - Senior</v>
      </c>
      <c r="D111" s="192" t="s">
        <v>100</v>
      </c>
      <c r="E111" s="213">
        <f t="shared" si="26"/>
        <v>9200</v>
      </c>
      <c r="F111" s="213">
        <v>11500</v>
      </c>
      <c r="G111" s="214">
        <f t="shared" si="31"/>
        <v>2300</v>
      </c>
      <c r="H111" s="129">
        <f t="shared" si="33"/>
        <v>11960</v>
      </c>
      <c r="I111" s="114" t="e">
        <f t="shared" ca="1" si="27"/>
        <v>#NAME?</v>
      </c>
      <c r="J111" s="114">
        <f t="shared" si="28"/>
        <v>9056.25</v>
      </c>
      <c r="K111" s="114" t="e">
        <f t="shared" ca="1" si="29"/>
        <v>#NAME?</v>
      </c>
      <c r="L111" s="134" t="e">
        <f t="shared" ca="1" si="30"/>
        <v>#NAME?</v>
      </c>
      <c r="M111" s="114" t="e" cm="1">
        <f t="array" aca="1" ref="M111" ca="1">_xlfn.IFS(L111&gt;=70%,"Alta",L111&gt;20%,"Média",L111&lt;=20%,"Baixa")</f>
        <v>#NAME?</v>
      </c>
      <c r="N111" s="114"/>
      <c r="O111" s="145">
        <f t="shared" si="38"/>
        <v>9056.25</v>
      </c>
      <c r="P111" s="118">
        <v>0</v>
      </c>
      <c r="Q111" s="118">
        <v>8612.5</v>
      </c>
      <c r="R111" s="118">
        <v>9500</v>
      </c>
      <c r="S111" s="118">
        <v>0</v>
      </c>
      <c r="T111" s="118">
        <v>0</v>
      </c>
    </row>
    <row r="112" spans="2:20" ht="14.25" customHeight="1" x14ac:dyDescent="0.25">
      <c r="B112" s="198" t="s">
        <v>229</v>
      </c>
      <c r="C112" s="191" t="str">
        <f t="shared" ref="C112:C119" si="39">B112&amp; " " &amp;D112</f>
        <v>Desenvolvedor Mobile Especialista</v>
      </c>
      <c r="D112" s="192" t="s">
        <v>103</v>
      </c>
      <c r="E112" s="213">
        <f t="shared" si="26"/>
        <v>10880</v>
      </c>
      <c r="F112" s="248">
        <v>13600</v>
      </c>
      <c r="G112" s="214">
        <f t="shared" si="31"/>
        <v>2720</v>
      </c>
      <c r="H112" s="129">
        <f t="shared" ref="H112:H119" si="40">F112+(F112*IF(D112&lt;&gt;"",IF(D112&lt;&gt;"",VLOOKUP(D112,$D$3:$F$9,2,0)),""))</f>
        <v>17680</v>
      </c>
      <c r="I112" s="114" t="e">
        <f t="shared" ca="1" si="27"/>
        <v>#NAME?</v>
      </c>
      <c r="J112" s="114">
        <f t="shared" si="28"/>
        <v>11038.3125</v>
      </c>
      <c r="K112" s="114" t="e">
        <f t="shared" ca="1" si="29"/>
        <v>#NAME?</v>
      </c>
      <c r="L112" s="134" t="e">
        <f t="shared" ca="1" si="30"/>
        <v>#NAME?</v>
      </c>
      <c r="M112" s="114" t="e" cm="1">
        <f t="array" aca="1" ref="M112" ca="1">_xlfn.IFS(L112&gt;=70%,"Alta",L112&gt;20%,"Média",L112&lt;=20%,"Baixa")</f>
        <v>#NAME?</v>
      </c>
      <c r="N112" s="212" t="s">
        <v>215</v>
      </c>
      <c r="O112" s="145">
        <f t="shared" si="38"/>
        <v>11038.3125</v>
      </c>
      <c r="P112" s="118">
        <v>0</v>
      </c>
      <c r="Q112" s="118">
        <v>10076.625</v>
      </c>
      <c r="R112" s="118">
        <v>12000</v>
      </c>
      <c r="S112" s="118">
        <v>0</v>
      </c>
      <c r="T112" s="118">
        <v>0</v>
      </c>
    </row>
    <row r="113" spans="2:20" ht="14.25" customHeight="1" x14ac:dyDescent="0.25">
      <c r="B113" s="198" t="s">
        <v>229</v>
      </c>
      <c r="C113" s="191" t="str">
        <f t="shared" si="39"/>
        <v>Desenvolvedor Mobile Júnior</v>
      </c>
      <c r="D113" s="192" t="s">
        <v>99</v>
      </c>
      <c r="E113" s="213">
        <f t="shared" si="26"/>
        <v>3920</v>
      </c>
      <c r="F113" s="248">
        <v>4900</v>
      </c>
      <c r="G113" s="214">
        <f t="shared" si="31"/>
        <v>980</v>
      </c>
      <c r="H113" s="129">
        <f t="shared" si="40"/>
        <v>6370</v>
      </c>
      <c r="I113" s="114" t="e">
        <f t="shared" ca="1" si="27"/>
        <v>#NAME?</v>
      </c>
      <c r="J113" s="114">
        <f t="shared" si="28"/>
        <v>4400</v>
      </c>
      <c r="K113" s="114" t="e">
        <f t="shared" ca="1" si="29"/>
        <v>#NAME?</v>
      </c>
      <c r="L113" s="134" t="e">
        <f t="shared" ca="1" si="30"/>
        <v>#NAME?</v>
      </c>
      <c r="M113" s="114" t="e" cm="1">
        <f t="array" aca="1" ref="M113" ca="1">_xlfn.IFS(L113&gt;=70%,"Alta",L113&gt;20%,"Média",L113&lt;=20%,"Baixa")</f>
        <v>#NAME?</v>
      </c>
      <c r="N113" s="212" t="s">
        <v>215</v>
      </c>
      <c r="O113" s="145">
        <f t="shared" si="38"/>
        <v>4400</v>
      </c>
      <c r="P113" s="118">
        <v>0</v>
      </c>
      <c r="Q113" s="118">
        <v>5300</v>
      </c>
      <c r="R113" s="118">
        <v>3500</v>
      </c>
      <c r="S113" s="118">
        <v>0</v>
      </c>
      <c r="T113" s="118">
        <v>0</v>
      </c>
    </row>
    <row r="114" spans="2:20" ht="14.25" customHeight="1" x14ac:dyDescent="0.25">
      <c r="B114" s="198" t="s">
        <v>229</v>
      </c>
      <c r="C114" s="191" t="str">
        <f t="shared" si="39"/>
        <v>Desenvolvedor Mobile Pleno</v>
      </c>
      <c r="D114" s="192" t="s">
        <v>100</v>
      </c>
      <c r="E114" s="213">
        <f t="shared" si="26"/>
        <v>7520</v>
      </c>
      <c r="F114" s="248">
        <v>9400</v>
      </c>
      <c r="G114" s="214">
        <f t="shared" si="31"/>
        <v>1880</v>
      </c>
      <c r="H114" s="129">
        <f t="shared" si="40"/>
        <v>12220</v>
      </c>
      <c r="I114" s="114" t="e">
        <f t="shared" ca="1" si="27"/>
        <v>#NAME?</v>
      </c>
      <c r="J114" s="114">
        <f t="shared" si="28"/>
        <v>6545</v>
      </c>
      <c r="K114" s="114" t="e">
        <f t="shared" ca="1" si="29"/>
        <v>#NAME?</v>
      </c>
      <c r="L114" s="134" t="e">
        <f t="shared" ca="1" si="30"/>
        <v>#NAME?</v>
      </c>
      <c r="M114" s="114" t="e" cm="1">
        <f t="array" aca="1" ref="M114" ca="1">_xlfn.IFS(L114&gt;=70%,"Alta",L114&gt;20%,"Média",L114&lt;=20%,"Baixa")</f>
        <v>#NAME?</v>
      </c>
      <c r="N114" s="212" t="s">
        <v>215</v>
      </c>
      <c r="O114" s="145">
        <f t="shared" si="38"/>
        <v>6545</v>
      </c>
      <c r="P114" s="118">
        <v>0</v>
      </c>
      <c r="Q114" s="118">
        <v>6890</v>
      </c>
      <c r="R114" s="118">
        <v>6200</v>
      </c>
      <c r="S114" s="118">
        <v>0</v>
      </c>
      <c r="T114" s="118">
        <v>0</v>
      </c>
    </row>
    <row r="115" spans="2:20" ht="14.25" customHeight="1" x14ac:dyDescent="0.25">
      <c r="B115" s="198" t="s">
        <v>229</v>
      </c>
      <c r="C115" s="191" t="str">
        <f t="shared" si="39"/>
        <v>Desenvolvedor Mobile Sênior</v>
      </c>
      <c r="D115" s="192" t="s">
        <v>101</v>
      </c>
      <c r="E115" s="213">
        <f t="shared" si="26"/>
        <v>9200</v>
      </c>
      <c r="F115" s="248">
        <v>11500</v>
      </c>
      <c r="G115" s="214">
        <f t="shared" si="31"/>
        <v>2300</v>
      </c>
      <c r="H115" s="129">
        <f t="shared" si="40"/>
        <v>14950</v>
      </c>
      <c r="I115" s="114" t="e">
        <f t="shared" ca="1" si="27"/>
        <v>#NAME?</v>
      </c>
      <c r="J115" s="114">
        <f t="shared" si="28"/>
        <v>9556.25</v>
      </c>
      <c r="K115" s="114" t="e">
        <f t="shared" ca="1" si="29"/>
        <v>#NAME?</v>
      </c>
      <c r="L115" s="134" t="e">
        <f t="shared" ca="1" si="30"/>
        <v>#NAME?</v>
      </c>
      <c r="M115" s="114" t="e" cm="1">
        <f t="array" aca="1" ref="M115" ca="1">_xlfn.IFS(L115&gt;=70%,"Alta",L115&gt;20%,"Média",L115&lt;=20%,"Baixa")</f>
        <v>#NAME?</v>
      </c>
      <c r="N115" s="212" t="s">
        <v>215</v>
      </c>
      <c r="O115" s="145">
        <f t="shared" si="38"/>
        <v>9556.25</v>
      </c>
      <c r="P115" s="118">
        <v>0</v>
      </c>
      <c r="Q115" s="118">
        <v>8612.5</v>
      </c>
      <c r="R115" s="118">
        <v>10500</v>
      </c>
      <c r="S115" s="118">
        <v>0</v>
      </c>
      <c r="T115" s="118">
        <v>0</v>
      </c>
    </row>
    <row r="116" spans="2:20" ht="14.25" customHeight="1" x14ac:dyDescent="0.25">
      <c r="B116" s="198" t="s">
        <v>230</v>
      </c>
      <c r="C116" s="191" t="str">
        <f t="shared" si="39"/>
        <v>Desenvolvedor Salesforce Especialista</v>
      </c>
      <c r="D116" s="192" t="s">
        <v>103</v>
      </c>
      <c r="E116" s="213">
        <f t="shared" si="26"/>
        <v>8800</v>
      </c>
      <c r="F116" s="248">
        <v>11000</v>
      </c>
      <c r="G116" s="214">
        <f t="shared" si="31"/>
        <v>2200</v>
      </c>
      <c r="H116" s="129">
        <f t="shared" si="40"/>
        <v>14300</v>
      </c>
      <c r="I116" s="114" t="e">
        <f t="shared" ca="1" si="27"/>
        <v>#NAME?</v>
      </c>
      <c r="J116" s="114">
        <f t="shared" si="28"/>
        <v>10038.3125</v>
      </c>
      <c r="K116" s="114" t="e">
        <f t="shared" ca="1" si="29"/>
        <v>#NAME?</v>
      </c>
      <c r="L116" s="134" t="e">
        <f t="shared" ca="1" si="30"/>
        <v>#NAME?</v>
      </c>
      <c r="M116" s="114" t="e" cm="1">
        <f t="array" aca="1" ref="M116" ca="1">_xlfn.IFS(L116&gt;=70%,"Alta",L116&gt;20%,"Média",L116&lt;=20%,"Baixa")</f>
        <v>#NAME?</v>
      </c>
      <c r="N116" s="212" t="s">
        <v>215</v>
      </c>
      <c r="O116" s="145">
        <f t="shared" si="38"/>
        <v>10038.3125</v>
      </c>
      <c r="P116" s="118">
        <v>0</v>
      </c>
      <c r="Q116" s="118">
        <v>10076.625</v>
      </c>
      <c r="R116" s="118">
        <v>10000</v>
      </c>
      <c r="S116" s="118">
        <v>0</v>
      </c>
      <c r="T116" s="118">
        <v>0</v>
      </c>
    </row>
    <row r="117" spans="2:20" ht="14.25" customHeight="1" x14ac:dyDescent="0.25">
      <c r="B117" s="198" t="s">
        <v>230</v>
      </c>
      <c r="C117" s="191" t="str">
        <f t="shared" si="39"/>
        <v>Desenvolvedor Salesforce Júnior</v>
      </c>
      <c r="D117" s="192" t="s">
        <v>99</v>
      </c>
      <c r="E117" s="213">
        <f t="shared" si="26"/>
        <v>3600</v>
      </c>
      <c r="F117" s="248">
        <v>4500</v>
      </c>
      <c r="G117" s="214">
        <f t="shared" si="31"/>
        <v>900</v>
      </c>
      <c r="H117" s="129">
        <f t="shared" si="40"/>
        <v>5850</v>
      </c>
      <c r="I117" s="114" t="e">
        <f t="shared" ca="1" si="27"/>
        <v>#NAME?</v>
      </c>
      <c r="J117" s="114">
        <f t="shared" si="28"/>
        <v>4100</v>
      </c>
      <c r="K117" s="114" t="e">
        <f t="shared" ca="1" si="29"/>
        <v>#NAME?</v>
      </c>
      <c r="L117" s="134" t="e">
        <f t="shared" ca="1" si="30"/>
        <v>#NAME?</v>
      </c>
      <c r="M117" s="114" t="e" cm="1">
        <f t="array" aca="1" ref="M117" ca="1">_xlfn.IFS(L117&gt;=70%,"Alta",L117&gt;20%,"Média",L117&lt;=20%,"Baixa")</f>
        <v>#NAME?</v>
      </c>
      <c r="N117" s="212" t="s">
        <v>215</v>
      </c>
      <c r="O117" s="145">
        <f t="shared" si="38"/>
        <v>4100</v>
      </c>
      <c r="P117" s="118">
        <v>0</v>
      </c>
      <c r="Q117" s="118">
        <v>5300</v>
      </c>
      <c r="R117" s="118">
        <v>2900</v>
      </c>
      <c r="S117" s="118">
        <v>0</v>
      </c>
      <c r="T117" s="118">
        <v>0</v>
      </c>
    </row>
    <row r="118" spans="2:20" ht="14.25" customHeight="1" x14ac:dyDescent="0.25">
      <c r="B118" s="198" t="s">
        <v>230</v>
      </c>
      <c r="C118" s="191" t="str">
        <f t="shared" si="39"/>
        <v>Desenvolvedor Salesforce Pleno</v>
      </c>
      <c r="D118" s="192" t="s">
        <v>100</v>
      </c>
      <c r="E118" s="213">
        <f t="shared" si="26"/>
        <v>5600</v>
      </c>
      <c r="F118" s="248">
        <v>7000</v>
      </c>
      <c r="G118" s="214">
        <f t="shared" si="31"/>
        <v>1400</v>
      </c>
      <c r="H118" s="129">
        <f t="shared" si="40"/>
        <v>9100</v>
      </c>
      <c r="I118" s="114" t="e">
        <f t="shared" ref="I118:I151" ca="1" si="41">_xlfn.MINIFS(Q118:T118,Q118:T118,"&gt;0",Q118:T118,"&lt;&gt;"&amp;"")</f>
        <v>#NAME?</v>
      </c>
      <c r="J118" s="114">
        <f t="shared" ref="J118:J151" si="42">IF(SUM(Q118:T118)&gt;0,
AVERAGEIFS(Q118:T118, Q118:T118,"&gt;0",Q118:T118,"&lt;&gt;"&amp;""),
0)</f>
        <v>6245</v>
      </c>
      <c r="K118" s="114" t="e">
        <f t="shared" ref="K118:K151" ca="1" si="43">_xlfn.MAXIFS(Q118:T118,Q118:T118,"&gt;0",Q118:T118,"&lt;&gt;"&amp;"")</f>
        <v>#NAME?</v>
      </c>
      <c r="L118" s="134" t="e">
        <f t="shared" ref="L118:L151" ca="1" si="44">(K118-I118)/I118</f>
        <v>#NAME?</v>
      </c>
      <c r="M118" s="114" t="e" cm="1">
        <f t="array" aca="1" ref="M118" ca="1">_xlfn.IFS(L118&gt;=70%,"Alta",L118&gt;20%,"Média",L118&lt;=20%,"Baixa")</f>
        <v>#NAME?</v>
      </c>
      <c r="N118" s="212" t="s">
        <v>215</v>
      </c>
      <c r="O118" s="145">
        <f t="shared" si="38"/>
        <v>6245</v>
      </c>
      <c r="P118" s="118">
        <v>0</v>
      </c>
      <c r="Q118" s="118">
        <v>6890</v>
      </c>
      <c r="R118" s="118">
        <v>5600</v>
      </c>
      <c r="S118" s="118">
        <v>0</v>
      </c>
      <c r="T118" s="118">
        <v>0</v>
      </c>
    </row>
    <row r="119" spans="2:20" ht="14.25" customHeight="1" x14ac:dyDescent="0.25">
      <c r="B119" s="198" t="s">
        <v>230</v>
      </c>
      <c r="C119" s="191" t="str">
        <f t="shared" si="39"/>
        <v>Desenvolvedor Salesforce Sênior</v>
      </c>
      <c r="D119" s="192" t="s">
        <v>101</v>
      </c>
      <c r="E119" s="213">
        <f t="shared" si="26"/>
        <v>7200</v>
      </c>
      <c r="F119" s="248">
        <v>9000</v>
      </c>
      <c r="G119" s="214">
        <f t="shared" si="31"/>
        <v>1800</v>
      </c>
      <c r="H119" s="129">
        <f t="shared" si="40"/>
        <v>11700</v>
      </c>
      <c r="I119" s="114" t="e">
        <f t="shared" ca="1" si="41"/>
        <v>#NAME?</v>
      </c>
      <c r="J119" s="114">
        <f t="shared" si="42"/>
        <v>8556.25</v>
      </c>
      <c r="K119" s="114" t="e">
        <f t="shared" ca="1" si="43"/>
        <v>#NAME?</v>
      </c>
      <c r="L119" s="134" t="e">
        <f t="shared" ca="1" si="44"/>
        <v>#NAME?</v>
      </c>
      <c r="M119" s="114" t="e" cm="1">
        <f t="array" aca="1" ref="M119" ca="1">_xlfn.IFS(L119&gt;=70%,"Alta",L119&gt;20%,"Média",L119&lt;=20%,"Baixa")</f>
        <v>#NAME?</v>
      </c>
      <c r="N119" s="212" t="s">
        <v>215</v>
      </c>
      <c r="O119" s="145">
        <f t="shared" si="38"/>
        <v>8556.25</v>
      </c>
      <c r="P119" s="118">
        <v>0</v>
      </c>
      <c r="Q119" s="118">
        <v>8612.5</v>
      </c>
      <c r="R119" s="118">
        <v>8500</v>
      </c>
      <c r="S119" s="118">
        <v>0</v>
      </c>
      <c r="T119" s="118">
        <v>0</v>
      </c>
    </row>
    <row r="120" spans="2:20" ht="14.25" hidden="1" customHeight="1" x14ac:dyDescent="0.25">
      <c r="B120" s="200" t="s">
        <v>176</v>
      </c>
      <c r="C120" s="199" t="str">
        <f t="shared" ref="C120:C150" si="45">B120</f>
        <v>Design Lead - Especialista</v>
      </c>
      <c r="D120" s="192" t="s">
        <v>100</v>
      </c>
      <c r="E120" s="213">
        <f t="shared" si="26"/>
        <v>10400</v>
      </c>
      <c r="F120" s="213">
        <v>13000</v>
      </c>
      <c r="G120" s="214">
        <f t="shared" si="31"/>
        <v>2600</v>
      </c>
      <c r="H120" s="129">
        <f t="shared" ref="H120:H150" si="46">E120+(E120*IF(D120&lt;&gt;"",IF(D120&lt;&gt;"",VLOOKUP(D120,$D$3:$E$9,2,0)),""))</f>
        <v>13520</v>
      </c>
      <c r="I120" s="114" t="e">
        <f t="shared" ca="1" si="41"/>
        <v>#NAME?</v>
      </c>
      <c r="J120" s="114">
        <f t="shared" si="42"/>
        <v>10559.3125</v>
      </c>
      <c r="K120" s="114" t="e">
        <f t="shared" ca="1" si="43"/>
        <v>#NAME?</v>
      </c>
      <c r="L120" s="134" t="e">
        <f t="shared" ca="1" si="44"/>
        <v>#NAME?</v>
      </c>
      <c r="M120" s="114" t="e" cm="1">
        <f t="array" aca="1" ref="M120" ca="1">_xlfn.IFS(L120&gt;=70%,"Alta",L120&gt;20%,"Média",L120&lt;=20%,"Baixa")</f>
        <v>#NAME?</v>
      </c>
      <c r="N120" s="114"/>
      <c r="O120" s="145">
        <f t="shared" si="38"/>
        <v>10559.3125</v>
      </c>
      <c r="P120" s="118">
        <v>0</v>
      </c>
      <c r="Q120" s="118">
        <v>13118.625</v>
      </c>
      <c r="R120" s="118">
        <v>8000</v>
      </c>
      <c r="S120" s="118">
        <v>0</v>
      </c>
      <c r="T120" s="118">
        <v>0</v>
      </c>
    </row>
    <row r="121" spans="2:20" ht="14.25" hidden="1" customHeight="1" x14ac:dyDescent="0.25">
      <c r="B121" s="200" t="s">
        <v>173</v>
      </c>
      <c r="C121" s="199" t="str">
        <f t="shared" si="45"/>
        <v>Design Lead - Junior</v>
      </c>
      <c r="D121" s="192" t="s">
        <v>100</v>
      </c>
      <c r="E121" s="213">
        <f t="shared" si="26"/>
        <v>3920</v>
      </c>
      <c r="F121" s="213">
        <v>4900</v>
      </c>
      <c r="G121" s="214">
        <f t="shared" si="31"/>
        <v>980</v>
      </c>
      <c r="H121" s="129">
        <f t="shared" si="46"/>
        <v>5096</v>
      </c>
      <c r="I121" s="114" t="e">
        <f t="shared" ca="1" si="41"/>
        <v>#NAME?</v>
      </c>
      <c r="J121" s="114">
        <f t="shared" si="42"/>
        <v>4650</v>
      </c>
      <c r="K121" s="114" t="e">
        <f t="shared" ca="1" si="43"/>
        <v>#NAME?</v>
      </c>
      <c r="L121" s="134" t="e">
        <f t="shared" ca="1" si="44"/>
        <v>#NAME?</v>
      </c>
      <c r="M121" s="114" t="e" cm="1">
        <f t="array" aca="1" ref="M121" ca="1">_xlfn.IFS(L121&gt;=70%,"Alta",L121&gt;20%,"Média",L121&lt;=20%,"Baixa")</f>
        <v>#NAME?</v>
      </c>
      <c r="N121" s="114"/>
      <c r="O121" s="145">
        <f t="shared" si="38"/>
        <v>4650</v>
      </c>
      <c r="P121" s="118">
        <v>0</v>
      </c>
      <c r="Q121" s="118">
        <v>6800</v>
      </c>
      <c r="R121" s="118">
        <v>2500</v>
      </c>
      <c r="S121" s="118">
        <v>0</v>
      </c>
      <c r="T121" s="118">
        <v>0</v>
      </c>
    </row>
    <row r="122" spans="2:20" ht="14.25" hidden="1" customHeight="1" x14ac:dyDescent="0.25">
      <c r="B122" s="200" t="s">
        <v>174</v>
      </c>
      <c r="C122" s="199" t="str">
        <f t="shared" si="45"/>
        <v>Design Lead - Pleno</v>
      </c>
      <c r="D122" s="192" t="s">
        <v>100</v>
      </c>
      <c r="E122" s="213">
        <f t="shared" si="26"/>
        <v>7200</v>
      </c>
      <c r="F122" s="213">
        <v>9000</v>
      </c>
      <c r="G122" s="214">
        <f t="shared" si="31"/>
        <v>1800</v>
      </c>
      <c r="H122" s="129">
        <f t="shared" si="46"/>
        <v>9360</v>
      </c>
      <c r="I122" s="114" t="e">
        <f t="shared" ca="1" si="41"/>
        <v>#NAME?</v>
      </c>
      <c r="J122" s="114">
        <f t="shared" si="42"/>
        <v>6235</v>
      </c>
      <c r="K122" s="114" t="e">
        <f t="shared" ca="1" si="43"/>
        <v>#NAME?</v>
      </c>
      <c r="L122" s="134" t="e">
        <f t="shared" ca="1" si="44"/>
        <v>#NAME?</v>
      </c>
      <c r="M122" s="114" t="e" cm="1">
        <f t="array" aca="1" ref="M122" ca="1">_xlfn.IFS(L122&gt;=70%,"Alta",L122&gt;20%,"Média",L122&lt;=20%,"Baixa")</f>
        <v>#NAME?</v>
      </c>
      <c r="N122" s="114"/>
      <c r="O122" s="145">
        <f t="shared" si="38"/>
        <v>6235</v>
      </c>
      <c r="P122" s="118">
        <v>0</v>
      </c>
      <c r="Q122" s="118">
        <v>8970</v>
      </c>
      <c r="R122" s="118">
        <v>3500</v>
      </c>
      <c r="S122" s="118">
        <v>0</v>
      </c>
      <c r="T122" s="118">
        <v>0</v>
      </c>
    </row>
    <row r="123" spans="2:20" ht="14.25" hidden="1" customHeight="1" x14ac:dyDescent="0.25">
      <c r="B123" s="200" t="s">
        <v>175</v>
      </c>
      <c r="C123" s="199" t="str">
        <f t="shared" si="45"/>
        <v>Design Lead - Senior</v>
      </c>
      <c r="D123" s="192" t="s">
        <v>100</v>
      </c>
      <c r="E123" s="213">
        <f t="shared" si="26"/>
        <v>9200</v>
      </c>
      <c r="F123" s="213">
        <v>11500</v>
      </c>
      <c r="G123" s="214">
        <f t="shared" si="31"/>
        <v>2300</v>
      </c>
      <c r="H123" s="129">
        <f t="shared" si="46"/>
        <v>11960</v>
      </c>
      <c r="I123" s="114" t="e">
        <f t="shared" ca="1" si="41"/>
        <v>#NAME?</v>
      </c>
      <c r="J123" s="114">
        <f t="shared" si="42"/>
        <v>8356.25</v>
      </c>
      <c r="K123" s="114" t="e">
        <f t="shared" ca="1" si="43"/>
        <v>#NAME?</v>
      </c>
      <c r="L123" s="134" t="e">
        <f t="shared" ca="1" si="44"/>
        <v>#NAME?</v>
      </c>
      <c r="M123" s="114" t="e" cm="1">
        <f t="array" aca="1" ref="M123" ca="1">_xlfn.IFS(L123&gt;=70%,"Alta",L123&gt;20%,"Média",L123&lt;=20%,"Baixa")</f>
        <v>#NAME?</v>
      </c>
      <c r="N123" s="114"/>
      <c r="O123" s="145">
        <f t="shared" si="38"/>
        <v>8356.25</v>
      </c>
      <c r="P123" s="118">
        <v>0</v>
      </c>
      <c r="Q123" s="118">
        <v>11212.5</v>
      </c>
      <c r="R123" s="118">
        <v>5500</v>
      </c>
      <c r="S123" s="118">
        <v>0</v>
      </c>
      <c r="T123" s="118">
        <v>0</v>
      </c>
    </row>
    <row r="124" spans="2:20" ht="14.25" hidden="1" customHeight="1" x14ac:dyDescent="0.25">
      <c r="B124" s="198" t="s">
        <v>198</v>
      </c>
      <c r="C124" s="199" t="str">
        <f t="shared" si="45"/>
        <v>DEV FullStack Java Pleno</v>
      </c>
      <c r="D124" s="192" t="s">
        <v>100</v>
      </c>
      <c r="E124" s="213">
        <f t="shared" si="26"/>
        <v>7200</v>
      </c>
      <c r="F124" s="213">
        <v>9000</v>
      </c>
      <c r="G124" s="214">
        <f t="shared" si="31"/>
        <v>1800</v>
      </c>
      <c r="H124" s="129">
        <f t="shared" si="46"/>
        <v>9360</v>
      </c>
      <c r="I124" s="114" t="e">
        <f t="shared" ca="1" si="41"/>
        <v>#NAME?</v>
      </c>
      <c r="J124" s="114">
        <f t="shared" si="42"/>
        <v>7770</v>
      </c>
      <c r="K124" s="114" t="e">
        <f t="shared" ca="1" si="43"/>
        <v>#NAME?</v>
      </c>
      <c r="L124" s="134" t="e">
        <f t="shared" ca="1" si="44"/>
        <v>#NAME?</v>
      </c>
      <c r="M124" s="114" t="e" cm="1">
        <f t="array" aca="1" ref="M124" ca="1">_xlfn.IFS(L124&gt;=70%,"Alta",L124&gt;20%,"Média",L124&lt;=20%,"Baixa")</f>
        <v>#NAME?</v>
      </c>
      <c r="N124" s="114"/>
      <c r="O124" s="145">
        <f t="shared" si="38"/>
        <v>7770</v>
      </c>
      <c r="P124" s="118">
        <v>0</v>
      </c>
      <c r="Q124" s="118">
        <v>7540</v>
      </c>
      <c r="R124" s="118">
        <v>8000</v>
      </c>
      <c r="S124" s="118">
        <v>0</v>
      </c>
      <c r="T124" s="118">
        <v>0</v>
      </c>
    </row>
    <row r="125" spans="2:20" ht="14.25" hidden="1" customHeight="1" x14ac:dyDescent="0.25">
      <c r="B125" s="208" t="s">
        <v>199</v>
      </c>
      <c r="C125" s="199" t="str">
        <f t="shared" si="45"/>
        <v>DEV FullStack Node/React Pleno</v>
      </c>
      <c r="D125" s="192" t="s">
        <v>100</v>
      </c>
      <c r="E125" s="213">
        <f t="shared" si="26"/>
        <v>7200</v>
      </c>
      <c r="F125" s="213">
        <v>9000</v>
      </c>
      <c r="G125" s="214">
        <f t="shared" si="31"/>
        <v>1800</v>
      </c>
      <c r="H125" s="129">
        <f t="shared" si="46"/>
        <v>9360</v>
      </c>
      <c r="I125" s="114" t="e">
        <f t="shared" ca="1" si="41"/>
        <v>#NAME?</v>
      </c>
      <c r="J125" s="114">
        <f t="shared" si="42"/>
        <v>7550</v>
      </c>
      <c r="K125" s="114" t="e">
        <f t="shared" ca="1" si="43"/>
        <v>#NAME?</v>
      </c>
      <c r="L125" s="134" t="e">
        <f t="shared" ca="1" si="44"/>
        <v>#NAME?</v>
      </c>
      <c r="M125" s="114" t="e" cm="1">
        <f t="array" aca="1" ref="M125" ca="1">_xlfn.IFS(L125&gt;=70%,"Alta",L125&gt;20%,"Média",L125&lt;=20%,"Baixa")</f>
        <v>#NAME?</v>
      </c>
      <c r="N125" s="114"/>
      <c r="O125" s="145">
        <f t="shared" si="38"/>
        <v>7550</v>
      </c>
      <c r="P125" s="118">
        <v>0</v>
      </c>
      <c r="Q125" s="118">
        <v>8100</v>
      </c>
      <c r="R125" s="118">
        <v>7000</v>
      </c>
      <c r="S125" s="118">
        <v>0</v>
      </c>
      <c r="T125" s="118">
        <v>0</v>
      </c>
    </row>
    <row r="126" spans="2:20" ht="14.25" hidden="1" customHeight="1" x14ac:dyDescent="0.25">
      <c r="B126" s="198" t="s">
        <v>200</v>
      </c>
      <c r="C126" s="199" t="str">
        <f t="shared" si="45"/>
        <v>DEV FullStack Node/React Senior</v>
      </c>
      <c r="D126" s="192" t="s">
        <v>100</v>
      </c>
      <c r="E126" s="213">
        <f t="shared" si="26"/>
        <v>9200</v>
      </c>
      <c r="F126" s="213">
        <v>11500</v>
      </c>
      <c r="G126" s="214">
        <f t="shared" si="31"/>
        <v>2300</v>
      </c>
      <c r="H126" s="129">
        <f t="shared" si="46"/>
        <v>11960</v>
      </c>
      <c r="I126" s="114" t="e">
        <f t="shared" ca="1" si="41"/>
        <v>#NAME?</v>
      </c>
      <c r="J126" s="114">
        <f t="shared" si="42"/>
        <v>9562.5</v>
      </c>
      <c r="K126" s="114" t="e">
        <f t="shared" ca="1" si="43"/>
        <v>#NAME?</v>
      </c>
      <c r="L126" s="134" t="e">
        <f t="shared" ca="1" si="44"/>
        <v>#NAME?</v>
      </c>
      <c r="M126" s="114" t="e" cm="1">
        <f t="array" aca="1" ref="M126" ca="1">_xlfn.IFS(L126&gt;=70%,"Alta",L126&gt;20%,"Média",L126&lt;=20%,"Baixa")</f>
        <v>#NAME?</v>
      </c>
      <c r="N126" s="114"/>
      <c r="O126" s="145">
        <f t="shared" si="38"/>
        <v>9562.5</v>
      </c>
      <c r="P126" s="118">
        <v>0</v>
      </c>
      <c r="Q126" s="118">
        <v>10125</v>
      </c>
      <c r="R126" s="118">
        <v>9000</v>
      </c>
      <c r="S126" s="118">
        <v>0</v>
      </c>
      <c r="T126" s="118">
        <v>0</v>
      </c>
    </row>
    <row r="127" spans="2:20" ht="14.25" customHeight="1" x14ac:dyDescent="0.25">
      <c r="B127" s="200" t="s">
        <v>231</v>
      </c>
      <c r="C127" s="191" t="str">
        <f t="shared" ref="C127:C145" si="47">B127&amp; " " &amp;D127</f>
        <v>DevSecOps Especialista</v>
      </c>
      <c r="D127" s="192" t="s">
        <v>103</v>
      </c>
      <c r="E127" s="213">
        <f t="shared" si="26"/>
        <v>9600</v>
      </c>
      <c r="F127" s="248">
        <v>12000</v>
      </c>
      <c r="G127" s="214">
        <f t="shared" si="31"/>
        <v>2400</v>
      </c>
      <c r="H127" s="129">
        <f t="shared" ref="H127:H145" si="48">F127+(F127*IF(D127&lt;&gt;"",IF(D127&lt;&gt;"",VLOOKUP(D127,$D$3:$F$9,2,0)),""))</f>
        <v>15600</v>
      </c>
      <c r="I127" s="114" t="e">
        <f t="shared" ca="1" si="41"/>
        <v>#NAME?</v>
      </c>
      <c r="J127" s="114">
        <f t="shared" si="42"/>
        <v>9492.625</v>
      </c>
      <c r="K127" s="114" t="e">
        <f t="shared" ca="1" si="43"/>
        <v>#NAME?</v>
      </c>
      <c r="L127" s="134" t="e">
        <f t="shared" ca="1" si="44"/>
        <v>#NAME?</v>
      </c>
      <c r="M127" s="114" t="e" cm="1">
        <f t="array" aca="1" ref="M127" ca="1">_xlfn.IFS(L127&gt;=70%,"Alta",L127&gt;20%,"Média",L127&lt;=20%,"Baixa")</f>
        <v>#NAME?</v>
      </c>
      <c r="N127" s="212" t="s">
        <v>215</v>
      </c>
      <c r="O127" s="145">
        <f t="shared" si="38"/>
        <v>9492.625</v>
      </c>
      <c r="P127" s="118">
        <v>0</v>
      </c>
      <c r="Q127" s="118">
        <v>7985.25</v>
      </c>
      <c r="R127" s="118">
        <v>11000</v>
      </c>
      <c r="S127" s="118">
        <v>0</v>
      </c>
      <c r="T127" s="118">
        <v>0</v>
      </c>
    </row>
    <row r="128" spans="2:20" ht="14.25" customHeight="1" x14ac:dyDescent="0.25">
      <c r="B128" s="200" t="s">
        <v>231</v>
      </c>
      <c r="C128" s="191" t="str">
        <f t="shared" si="47"/>
        <v>DevSecOps Júnior</v>
      </c>
      <c r="D128" s="192" t="s">
        <v>99</v>
      </c>
      <c r="E128" s="213">
        <f t="shared" si="26"/>
        <v>3920</v>
      </c>
      <c r="F128" s="248">
        <v>4900</v>
      </c>
      <c r="G128" s="214">
        <f t="shared" si="31"/>
        <v>980</v>
      </c>
      <c r="H128" s="129">
        <f t="shared" si="48"/>
        <v>6370</v>
      </c>
      <c r="I128" s="114" t="e">
        <f t="shared" ca="1" si="41"/>
        <v>#NAME?</v>
      </c>
      <c r="J128" s="114">
        <f t="shared" si="42"/>
        <v>4200</v>
      </c>
      <c r="K128" s="114" t="e">
        <f t="shared" ca="1" si="43"/>
        <v>#NAME?</v>
      </c>
      <c r="L128" s="134" t="e">
        <f t="shared" ca="1" si="44"/>
        <v>#NAME?</v>
      </c>
      <c r="M128" s="114" t="e" cm="1">
        <f t="array" aca="1" ref="M128" ca="1">_xlfn.IFS(L128&gt;=70%,"Alta",L128&gt;20%,"Média",L128&lt;=20%,"Baixa")</f>
        <v>#NAME?</v>
      </c>
      <c r="N128" s="212" t="s">
        <v>215</v>
      </c>
      <c r="O128" s="145">
        <f t="shared" si="38"/>
        <v>4200</v>
      </c>
      <c r="P128" s="118">
        <v>0</v>
      </c>
      <c r="Q128" s="118">
        <v>4200</v>
      </c>
      <c r="R128" s="118">
        <v>4200</v>
      </c>
      <c r="S128" s="118">
        <v>0</v>
      </c>
      <c r="T128" s="118">
        <v>0</v>
      </c>
    </row>
    <row r="129" spans="2:20" ht="14.25" customHeight="1" x14ac:dyDescent="0.25">
      <c r="B129" s="200" t="s">
        <v>231</v>
      </c>
      <c r="C129" s="191" t="str">
        <f t="shared" si="47"/>
        <v>DevSecOps Pleno</v>
      </c>
      <c r="D129" s="192" t="s">
        <v>100</v>
      </c>
      <c r="E129" s="213">
        <f t="shared" si="26"/>
        <v>7200</v>
      </c>
      <c r="F129" s="248">
        <v>9000</v>
      </c>
      <c r="G129" s="214">
        <f t="shared" si="31"/>
        <v>1800</v>
      </c>
      <c r="H129" s="129">
        <f t="shared" si="48"/>
        <v>11700</v>
      </c>
      <c r="I129" s="114" t="e">
        <f t="shared" ca="1" si="41"/>
        <v>#NAME?</v>
      </c>
      <c r="J129" s="114">
        <f t="shared" si="42"/>
        <v>5830</v>
      </c>
      <c r="K129" s="114" t="e">
        <f t="shared" ca="1" si="43"/>
        <v>#NAME?</v>
      </c>
      <c r="L129" s="134" t="e">
        <f t="shared" ca="1" si="44"/>
        <v>#NAME?</v>
      </c>
      <c r="M129" s="114" t="e" cm="1">
        <f t="array" aca="1" ref="M129" ca="1">_xlfn.IFS(L129&gt;=70%,"Alta",L129&gt;20%,"Média",L129&lt;=20%,"Baixa")</f>
        <v>#NAME?</v>
      </c>
      <c r="N129" s="212" t="s">
        <v>215</v>
      </c>
      <c r="O129" s="145">
        <f t="shared" si="38"/>
        <v>5830</v>
      </c>
      <c r="P129" s="118">
        <v>0</v>
      </c>
      <c r="Q129" s="118">
        <v>5460</v>
      </c>
      <c r="R129" s="118">
        <v>6200</v>
      </c>
      <c r="S129" s="118">
        <v>0</v>
      </c>
      <c r="T129" s="118">
        <v>0</v>
      </c>
    </row>
    <row r="130" spans="2:20" ht="14.25" customHeight="1" x14ac:dyDescent="0.25">
      <c r="B130" s="200" t="s">
        <v>231</v>
      </c>
      <c r="C130" s="191" t="str">
        <f t="shared" si="47"/>
        <v>DevSecOps Sênior</v>
      </c>
      <c r="D130" s="192" t="s">
        <v>101</v>
      </c>
      <c r="E130" s="213">
        <f t="shared" si="26"/>
        <v>8800</v>
      </c>
      <c r="F130" s="248">
        <v>11000</v>
      </c>
      <c r="G130" s="214">
        <f t="shared" si="31"/>
        <v>2200</v>
      </c>
      <c r="H130" s="129">
        <f t="shared" si="48"/>
        <v>14300</v>
      </c>
      <c r="I130" s="114" t="e">
        <f t="shared" ca="1" si="41"/>
        <v>#NAME?</v>
      </c>
      <c r="J130" s="114">
        <f t="shared" si="42"/>
        <v>7762.5</v>
      </c>
      <c r="K130" s="114" t="e">
        <f t="shared" ca="1" si="43"/>
        <v>#NAME?</v>
      </c>
      <c r="L130" s="134" t="e">
        <f t="shared" ca="1" si="44"/>
        <v>#NAME?</v>
      </c>
      <c r="M130" s="114" t="e" cm="1">
        <f t="array" aca="1" ref="M130" ca="1">_xlfn.IFS(L130&gt;=70%,"Alta",L130&gt;20%,"Média",L130&lt;=20%,"Baixa")</f>
        <v>#NAME?</v>
      </c>
      <c r="N130" s="212" t="s">
        <v>215</v>
      </c>
      <c r="O130" s="145">
        <f t="shared" si="38"/>
        <v>7762.5</v>
      </c>
      <c r="P130" s="118">
        <v>0</v>
      </c>
      <c r="Q130" s="118">
        <v>6825</v>
      </c>
      <c r="R130" s="118">
        <v>8700</v>
      </c>
      <c r="S130" s="118">
        <v>0</v>
      </c>
      <c r="T130" s="118">
        <v>0</v>
      </c>
    </row>
    <row r="131" spans="2:20" ht="14.25" customHeight="1" x14ac:dyDescent="0.25">
      <c r="B131" s="200" t="s">
        <v>350</v>
      </c>
      <c r="C131" s="191" t="str">
        <f t="shared" si="47"/>
        <v>Engenheiro de Cloud (AWS / Azure / GCP) Especialista</v>
      </c>
      <c r="D131" s="192" t="s">
        <v>103</v>
      </c>
      <c r="E131" s="213">
        <f t="shared" si="26"/>
        <v>11200</v>
      </c>
      <c r="F131" s="248">
        <v>14000</v>
      </c>
      <c r="G131" s="214">
        <f t="shared" si="31"/>
        <v>2800</v>
      </c>
      <c r="H131" s="129">
        <f t="shared" si="48"/>
        <v>18200</v>
      </c>
      <c r="I131" s="114"/>
      <c r="J131" s="114"/>
      <c r="K131" s="114"/>
      <c r="L131" s="134"/>
      <c r="M131" s="114"/>
      <c r="N131" s="212" t="s">
        <v>215</v>
      </c>
      <c r="O131" s="145">
        <f t="shared" si="38"/>
        <v>0</v>
      </c>
      <c r="P131" s="118"/>
      <c r="Q131" s="118">
        <v>0</v>
      </c>
      <c r="R131" s="118">
        <v>0</v>
      </c>
      <c r="S131" s="118"/>
      <c r="T131" s="118"/>
    </row>
    <row r="132" spans="2:20" ht="14.25" customHeight="1" x14ac:dyDescent="0.25">
      <c r="B132" s="200" t="s">
        <v>350</v>
      </c>
      <c r="C132" s="191" t="str">
        <f t="shared" si="47"/>
        <v>Engenheiro de Cloud (AWS / Azure / GCP) Júnior</v>
      </c>
      <c r="D132" s="192" t="s">
        <v>99</v>
      </c>
      <c r="E132" s="213">
        <f t="shared" si="26"/>
        <v>4000</v>
      </c>
      <c r="F132" s="248">
        <v>5000</v>
      </c>
      <c r="G132" s="214">
        <f t="shared" si="31"/>
        <v>1000</v>
      </c>
      <c r="H132" s="129">
        <f t="shared" si="48"/>
        <v>6500</v>
      </c>
      <c r="I132" s="114"/>
      <c r="J132" s="114"/>
      <c r="K132" s="114"/>
      <c r="L132" s="134"/>
      <c r="M132" s="114"/>
      <c r="N132" s="212" t="s">
        <v>215</v>
      </c>
      <c r="O132" s="145">
        <f t="shared" si="38"/>
        <v>0</v>
      </c>
      <c r="P132" s="118"/>
      <c r="Q132" s="118">
        <v>0</v>
      </c>
      <c r="R132" s="118">
        <v>0</v>
      </c>
      <c r="S132" s="118"/>
      <c r="T132" s="118"/>
    </row>
    <row r="133" spans="2:20" ht="14.25" customHeight="1" x14ac:dyDescent="0.25">
      <c r="B133" s="200" t="s">
        <v>350</v>
      </c>
      <c r="C133" s="191" t="str">
        <f t="shared" si="47"/>
        <v>Engenheiro de Cloud (AWS / Azure / GCP) Pleno</v>
      </c>
      <c r="D133" s="192" t="s">
        <v>100</v>
      </c>
      <c r="E133" s="213">
        <f t="shared" si="26"/>
        <v>6400</v>
      </c>
      <c r="F133" s="248">
        <v>8000</v>
      </c>
      <c r="G133" s="214">
        <f t="shared" si="31"/>
        <v>1600</v>
      </c>
      <c r="H133" s="129">
        <f t="shared" si="48"/>
        <v>10400</v>
      </c>
      <c r="I133" s="114"/>
      <c r="J133" s="114"/>
      <c r="K133" s="114"/>
      <c r="L133" s="134"/>
      <c r="M133" s="114"/>
      <c r="N133" s="212" t="s">
        <v>215</v>
      </c>
      <c r="O133" s="145">
        <f t="shared" si="38"/>
        <v>0</v>
      </c>
      <c r="P133" s="118"/>
      <c r="Q133" s="118">
        <v>0</v>
      </c>
      <c r="R133" s="118">
        <v>0</v>
      </c>
      <c r="S133" s="118"/>
      <c r="T133" s="118"/>
    </row>
    <row r="134" spans="2:20" ht="14.25" customHeight="1" x14ac:dyDescent="0.25">
      <c r="B134" s="200" t="s">
        <v>350</v>
      </c>
      <c r="C134" s="191" t="str">
        <f t="shared" si="47"/>
        <v>Engenheiro de Cloud (AWS / Azure / GCP) Sênior</v>
      </c>
      <c r="D134" s="192" t="s">
        <v>101</v>
      </c>
      <c r="E134" s="213">
        <f t="shared" si="26"/>
        <v>8800</v>
      </c>
      <c r="F134" s="248">
        <v>11000</v>
      </c>
      <c r="G134" s="214">
        <f t="shared" si="31"/>
        <v>2200</v>
      </c>
      <c r="H134" s="129">
        <f t="shared" si="48"/>
        <v>14300</v>
      </c>
      <c r="I134" s="114"/>
      <c r="J134" s="114"/>
      <c r="K134" s="114"/>
      <c r="L134" s="134"/>
      <c r="M134" s="114"/>
      <c r="N134" s="212" t="s">
        <v>215</v>
      </c>
      <c r="O134" s="145">
        <f t="shared" si="38"/>
        <v>0</v>
      </c>
      <c r="P134" s="118"/>
      <c r="Q134" s="118">
        <v>0</v>
      </c>
      <c r="R134" s="118">
        <v>0</v>
      </c>
      <c r="S134" s="118"/>
      <c r="T134" s="118"/>
    </row>
    <row r="135" spans="2:20" ht="14.25" customHeight="1" x14ac:dyDescent="0.25">
      <c r="B135" s="198" t="s">
        <v>232</v>
      </c>
      <c r="C135" s="191" t="str">
        <f t="shared" si="47"/>
        <v>Engenheiro de Dados Especialista</v>
      </c>
      <c r="D135" s="192" t="s">
        <v>103</v>
      </c>
      <c r="E135" s="213">
        <f t="shared" si="26"/>
        <v>9200</v>
      </c>
      <c r="F135" s="248">
        <v>11500</v>
      </c>
      <c r="G135" s="214">
        <f t="shared" si="31"/>
        <v>2300</v>
      </c>
      <c r="H135" s="129">
        <f t="shared" si="48"/>
        <v>14950</v>
      </c>
      <c r="I135" s="114" t="e">
        <f t="shared" ca="1" si="41"/>
        <v>#NAME?</v>
      </c>
      <c r="J135" s="114">
        <f t="shared" si="42"/>
        <v>12024.125</v>
      </c>
      <c r="K135" s="114" t="e">
        <f t="shared" ca="1" si="43"/>
        <v>#NAME?</v>
      </c>
      <c r="L135" s="134" t="e">
        <f t="shared" ca="1" si="44"/>
        <v>#NAME?</v>
      </c>
      <c r="M135" s="114" t="e" cm="1">
        <f t="array" aca="1" ref="M135" ca="1">_xlfn.IFS(L135&gt;=70%,"Alta",L135&gt;20%,"Média",L135&lt;=20%,"Baixa")</f>
        <v>#NAME?</v>
      </c>
      <c r="N135" s="212" t="s">
        <v>215</v>
      </c>
      <c r="O135" s="146">
        <v>9500</v>
      </c>
      <c r="P135" s="118">
        <v>0</v>
      </c>
      <c r="Q135" s="118">
        <v>12548.25</v>
      </c>
      <c r="R135" s="118">
        <v>11500</v>
      </c>
      <c r="S135" s="118">
        <v>0</v>
      </c>
      <c r="T135" s="118">
        <v>0</v>
      </c>
    </row>
    <row r="136" spans="2:20" ht="14.25" customHeight="1" x14ac:dyDescent="0.25">
      <c r="B136" s="198" t="s">
        <v>232</v>
      </c>
      <c r="C136" s="191" t="str">
        <f t="shared" si="47"/>
        <v>Engenheiro de Dados Júnior</v>
      </c>
      <c r="D136" s="192" t="s">
        <v>99</v>
      </c>
      <c r="E136" s="213">
        <f t="shared" si="26"/>
        <v>3600</v>
      </c>
      <c r="F136" s="248">
        <v>4500</v>
      </c>
      <c r="G136" s="214">
        <f t="shared" si="31"/>
        <v>900</v>
      </c>
      <c r="H136" s="129">
        <f t="shared" si="48"/>
        <v>5850</v>
      </c>
      <c r="I136" s="114" t="e">
        <f t="shared" ca="1" si="41"/>
        <v>#NAME?</v>
      </c>
      <c r="J136" s="114">
        <f t="shared" si="42"/>
        <v>5200</v>
      </c>
      <c r="K136" s="114" t="e">
        <f t="shared" ca="1" si="43"/>
        <v>#NAME?</v>
      </c>
      <c r="L136" s="134" t="e">
        <f t="shared" ca="1" si="44"/>
        <v>#NAME?</v>
      </c>
      <c r="M136" s="114" t="e" cm="1">
        <f t="array" aca="1" ref="M136" ca="1">_xlfn.IFS(L136&gt;=70%,"Alta",L136&gt;20%,"Média",L136&lt;=20%,"Baixa")</f>
        <v>#NAME?</v>
      </c>
      <c r="N136" s="212" t="s">
        <v>215</v>
      </c>
      <c r="O136" s="145">
        <f>J136</f>
        <v>5200</v>
      </c>
      <c r="P136" s="118">
        <v>0</v>
      </c>
      <c r="Q136" s="118">
        <v>6600</v>
      </c>
      <c r="R136" s="118">
        <v>3800</v>
      </c>
      <c r="S136" s="118">
        <v>0</v>
      </c>
      <c r="T136" s="118">
        <v>0</v>
      </c>
    </row>
    <row r="137" spans="2:20" ht="14.25" customHeight="1" x14ac:dyDescent="0.25">
      <c r="B137" s="198" t="s">
        <v>232</v>
      </c>
      <c r="C137" s="191" t="str">
        <f t="shared" si="47"/>
        <v>Engenheiro de Dados Pleno</v>
      </c>
      <c r="D137" s="192" t="s">
        <v>100</v>
      </c>
      <c r="E137" s="213">
        <f t="shared" si="26"/>
        <v>6000</v>
      </c>
      <c r="F137" s="248">
        <v>7500</v>
      </c>
      <c r="G137" s="214">
        <f t="shared" si="31"/>
        <v>1500</v>
      </c>
      <c r="H137" s="129">
        <f t="shared" si="48"/>
        <v>9750</v>
      </c>
      <c r="I137" s="114" t="e">
        <f t="shared" ca="1" si="41"/>
        <v>#NAME?</v>
      </c>
      <c r="J137" s="114">
        <f t="shared" si="42"/>
        <v>7390</v>
      </c>
      <c r="K137" s="114" t="e">
        <f t="shared" ca="1" si="43"/>
        <v>#NAME?</v>
      </c>
      <c r="L137" s="134" t="e">
        <f t="shared" ca="1" si="44"/>
        <v>#NAME?</v>
      </c>
      <c r="M137" s="114" t="e" cm="1">
        <f t="array" aca="1" ref="M137" ca="1">_xlfn.IFS(L137&gt;=70%,"Alta",L137&gt;20%,"Média",L137&lt;=20%,"Baixa")</f>
        <v>#NAME?</v>
      </c>
      <c r="N137" s="212" t="s">
        <v>215</v>
      </c>
      <c r="O137" s="145">
        <v>6800</v>
      </c>
      <c r="P137" s="118">
        <v>0</v>
      </c>
      <c r="Q137" s="118">
        <v>8580</v>
      </c>
      <c r="R137" s="118">
        <v>6200</v>
      </c>
      <c r="S137" s="118">
        <v>0</v>
      </c>
      <c r="T137" s="118">
        <v>0</v>
      </c>
    </row>
    <row r="138" spans="2:20" ht="14.25" customHeight="1" x14ac:dyDescent="0.25">
      <c r="B138" s="198" t="s">
        <v>232</v>
      </c>
      <c r="C138" s="191" t="str">
        <f t="shared" si="47"/>
        <v>Engenheiro de Dados Sênior</v>
      </c>
      <c r="D138" s="192" t="s">
        <v>101</v>
      </c>
      <c r="E138" s="213">
        <f t="shared" si="26"/>
        <v>8000</v>
      </c>
      <c r="F138" s="248">
        <v>10000</v>
      </c>
      <c r="G138" s="214">
        <f t="shared" si="31"/>
        <v>2000</v>
      </c>
      <c r="H138" s="129">
        <f t="shared" si="48"/>
        <v>13000</v>
      </c>
      <c r="I138" s="114" t="e">
        <f t="shared" ca="1" si="41"/>
        <v>#NAME?</v>
      </c>
      <c r="J138" s="114">
        <f t="shared" si="42"/>
        <v>9362.5</v>
      </c>
      <c r="K138" s="114" t="e">
        <f t="shared" ca="1" si="43"/>
        <v>#NAME?</v>
      </c>
      <c r="L138" s="134" t="e">
        <f t="shared" ca="1" si="44"/>
        <v>#NAME?</v>
      </c>
      <c r="M138" s="114" t="e" cm="1">
        <f t="array" aca="1" ref="M138" ca="1">_xlfn.IFS(L138&gt;=70%,"Alta",L138&gt;20%,"Média",L138&lt;=20%,"Baixa")</f>
        <v>#NAME?</v>
      </c>
      <c r="N138" s="212" t="s">
        <v>215</v>
      </c>
      <c r="O138" s="145">
        <v>8200</v>
      </c>
      <c r="P138" s="118">
        <v>0</v>
      </c>
      <c r="Q138" s="118">
        <v>10725</v>
      </c>
      <c r="R138" s="118">
        <v>8000</v>
      </c>
      <c r="S138" s="118">
        <v>0</v>
      </c>
      <c r="T138" s="118">
        <v>0</v>
      </c>
    </row>
    <row r="139" spans="2:20" ht="14.25" customHeight="1" x14ac:dyDescent="0.25">
      <c r="B139" s="200" t="s">
        <v>233</v>
      </c>
      <c r="C139" s="191" t="str">
        <f t="shared" si="47"/>
        <v>Gerente de Projetos Júnior</v>
      </c>
      <c r="D139" s="192" t="s">
        <v>99</v>
      </c>
      <c r="E139" s="213">
        <f t="shared" si="26"/>
        <v>4800</v>
      </c>
      <c r="F139" s="248">
        <v>6000</v>
      </c>
      <c r="G139" s="214">
        <f t="shared" si="31"/>
        <v>1200</v>
      </c>
      <c r="H139" s="129">
        <f t="shared" si="48"/>
        <v>7800</v>
      </c>
      <c r="I139" s="114" t="e">
        <f t="shared" ca="1" si="41"/>
        <v>#NAME?</v>
      </c>
      <c r="J139" s="114">
        <f t="shared" si="42"/>
        <v>5600</v>
      </c>
      <c r="K139" s="114" t="e">
        <f t="shared" ca="1" si="43"/>
        <v>#NAME?</v>
      </c>
      <c r="L139" s="134" t="e">
        <f t="shared" ca="1" si="44"/>
        <v>#NAME?</v>
      </c>
      <c r="M139" s="114" t="e" cm="1">
        <f t="array" aca="1" ref="M139" ca="1">_xlfn.IFS(L139&gt;=70%,"Alta",L139&gt;20%,"Média",L139&lt;=20%,"Baixa")</f>
        <v>#NAME?</v>
      </c>
      <c r="N139" s="212" t="s">
        <v>215</v>
      </c>
      <c r="O139" s="145">
        <f>J139</f>
        <v>5600</v>
      </c>
      <c r="P139" s="118">
        <v>0</v>
      </c>
      <c r="Q139" s="118">
        <v>6200</v>
      </c>
      <c r="R139" s="118">
        <v>5000</v>
      </c>
      <c r="S139" s="118">
        <v>0</v>
      </c>
      <c r="T139" s="118">
        <v>0</v>
      </c>
    </row>
    <row r="140" spans="2:20" ht="14.25" customHeight="1" x14ac:dyDescent="0.25">
      <c r="B140" s="200" t="s">
        <v>233</v>
      </c>
      <c r="C140" s="191" t="str">
        <f t="shared" si="47"/>
        <v>Gerente de Projetos Pleno</v>
      </c>
      <c r="D140" s="192" t="s">
        <v>100</v>
      </c>
      <c r="E140" s="213">
        <f t="shared" si="26"/>
        <v>6000</v>
      </c>
      <c r="F140" s="248">
        <v>7500</v>
      </c>
      <c r="G140" s="214">
        <f t="shared" si="31"/>
        <v>1500</v>
      </c>
      <c r="H140" s="129">
        <f t="shared" si="48"/>
        <v>9750</v>
      </c>
      <c r="I140" s="114" t="e">
        <f t="shared" ca="1" si="41"/>
        <v>#NAME?</v>
      </c>
      <c r="J140" s="114">
        <f t="shared" si="42"/>
        <v>7830</v>
      </c>
      <c r="K140" s="114" t="e">
        <f t="shared" ca="1" si="43"/>
        <v>#NAME?</v>
      </c>
      <c r="L140" s="134" t="e">
        <f t="shared" ca="1" si="44"/>
        <v>#NAME?</v>
      </c>
      <c r="M140" s="114" t="e" cm="1">
        <f t="array" aca="1" ref="M140" ca="1">_xlfn.IFS(L140&gt;=70%,"Alta",L140&gt;20%,"Média",L140&lt;=20%,"Baixa")</f>
        <v>#NAME?</v>
      </c>
      <c r="N140" s="212" t="s">
        <v>215</v>
      </c>
      <c r="O140" s="145">
        <f>J140</f>
        <v>7830</v>
      </c>
      <c r="P140" s="118">
        <v>0</v>
      </c>
      <c r="Q140" s="118">
        <v>8060</v>
      </c>
      <c r="R140" s="118">
        <v>7600</v>
      </c>
      <c r="S140" s="118">
        <v>0</v>
      </c>
      <c r="T140" s="118">
        <v>0</v>
      </c>
    </row>
    <row r="141" spans="2:20" ht="14.25" customHeight="1" x14ac:dyDescent="0.25">
      <c r="B141" s="200" t="s">
        <v>233</v>
      </c>
      <c r="C141" s="191" t="str">
        <f t="shared" si="47"/>
        <v>Gerente de Projetos Sênior</v>
      </c>
      <c r="D141" s="192" t="s">
        <v>101</v>
      </c>
      <c r="E141" s="213">
        <f t="shared" si="26"/>
        <v>8400</v>
      </c>
      <c r="F141" s="248">
        <v>10500</v>
      </c>
      <c r="G141" s="214">
        <f t="shared" si="31"/>
        <v>2100</v>
      </c>
      <c r="H141" s="129">
        <f t="shared" si="48"/>
        <v>13650</v>
      </c>
      <c r="I141" s="114" t="e">
        <f t="shared" ca="1" si="41"/>
        <v>#NAME?</v>
      </c>
      <c r="J141" s="114">
        <f t="shared" si="42"/>
        <v>11037.5</v>
      </c>
      <c r="K141" s="114" t="e">
        <f t="shared" ca="1" si="43"/>
        <v>#NAME?</v>
      </c>
      <c r="L141" s="134" t="e">
        <f t="shared" ca="1" si="44"/>
        <v>#NAME?</v>
      </c>
      <c r="M141" s="114" t="e" cm="1">
        <f t="array" aca="1" ref="M141" ca="1">_xlfn.IFS(L141&gt;=70%,"Alta",L141&gt;20%,"Média",L141&lt;=20%,"Baixa")</f>
        <v>#NAME?</v>
      </c>
      <c r="N141" s="212" t="s">
        <v>215</v>
      </c>
      <c r="O141" s="145">
        <v>9900</v>
      </c>
      <c r="P141" s="118">
        <v>0</v>
      </c>
      <c r="Q141" s="118">
        <v>10075</v>
      </c>
      <c r="R141" s="118">
        <v>12000</v>
      </c>
      <c r="S141" s="118">
        <v>0</v>
      </c>
      <c r="T141" s="118">
        <v>0</v>
      </c>
    </row>
    <row r="142" spans="2:20" ht="14.25" customHeight="1" x14ac:dyDescent="0.25">
      <c r="B142" s="200" t="s">
        <v>237</v>
      </c>
      <c r="C142" s="191" t="str">
        <f t="shared" si="47"/>
        <v>Machine Learning Engineer Especialista</v>
      </c>
      <c r="D142" s="192" t="s">
        <v>103</v>
      </c>
      <c r="E142" s="213">
        <f t="shared" si="26"/>
        <v>12000</v>
      </c>
      <c r="F142" s="248">
        <v>15000</v>
      </c>
      <c r="G142" s="214">
        <f t="shared" si="31"/>
        <v>3000</v>
      </c>
      <c r="H142" s="129">
        <f t="shared" si="48"/>
        <v>19500</v>
      </c>
      <c r="I142" s="114" t="e">
        <f t="shared" ca="1" si="41"/>
        <v>#NAME?</v>
      </c>
      <c r="J142" s="114">
        <f t="shared" si="42"/>
        <v>11418.5625</v>
      </c>
      <c r="K142" s="114" t="e">
        <f t="shared" ca="1" si="43"/>
        <v>#NAME?</v>
      </c>
      <c r="L142" s="134" t="e">
        <f t="shared" ca="1" si="44"/>
        <v>#NAME?</v>
      </c>
      <c r="M142" s="114" t="e" cm="1">
        <f t="array" aca="1" ref="M142" ca="1">_xlfn.IFS(L142&gt;=70%,"Alta",L142&gt;20%,"Média",L142&lt;=20%,"Baixa")</f>
        <v>#NAME?</v>
      </c>
      <c r="N142" s="212" t="s">
        <v>215</v>
      </c>
      <c r="O142" s="145">
        <f t="shared" ref="O142:O149" si="49">J142</f>
        <v>11418.5625</v>
      </c>
      <c r="P142" s="118">
        <v>0</v>
      </c>
      <c r="Q142" s="118">
        <v>10837.125</v>
      </c>
      <c r="R142" s="118">
        <v>12000</v>
      </c>
      <c r="S142" s="118">
        <v>0</v>
      </c>
      <c r="T142" s="118">
        <v>0</v>
      </c>
    </row>
    <row r="143" spans="2:20" ht="14.25" customHeight="1" x14ac:dyDescent="0.25">
      <c r="B143" s="200" t="s">
        <v>237</v>
      </c>
      <c r="C143" s="191" t="str">
        <f t="shared" si="47"/>
        <v>Machine Learning Engineer Júnior</v>
      </c>
      <c r="D143" s="192" t="s">
        <v>99</v>
      </c>
      <c r="E143" s="213">
        <f t="shared" si="26"/>
        <v>4960</v>
      </c>
      <c r="F143" s="248">
        <v>6200</v>
      </c>
      <c r="G143" s="214">
        <f t="shared" si="31"/>
        <v>1240</v>
      </c>
      <c r="H143" s="129">
        <f t="shared" si="48"/>
        <v>8060</v>
      </c>
      <c r="I143" s="114" t="e">
        <f t="shared" ca="1" si="41"/>
        <v>#NAME?</v>
      </c>
      <c r="J143" s="114">
        <f t="shared" si="42"/>
        <v>5350</v>
      </c>
      <c r="K143" s="114" t="e">
        <f t="shared" ca="1" si="43"/>
        <v>#NAME?</v>
      </c>
      <c r="L143" s="134" t="e">
        <f t="shared" ca="1" si="44"/>
        <v>#NAME?</v>
      </c>
      <c r="M143" s="114" t="e" cm="1">
        <f t="array" aca="1" ref="M143" ca="1">_xlfn.IFS(L143&gt;=70%,"Alta",L143&gt;20%,"Média",L143&lt;=20%,"Baixa")</f>
        <v>#NAME?</v>
      </c>
      <c r="N143" s="212" t="s">
        <v>215</v>
      </c>
      <c r="O143" s="145">
        <f t="shared" si="49"/>
        <v>5350</v>
      </c>
      <c r="P143" s="118">
        <v>0</v>
      </c>
      <c r="Q143" s="118">
        <v>5700</v>
      </c>
      <c r="R143" s="118">
        <v>5000</v>
      </c>
      <c r="S143" s="118">
        <v>0</v>
      </c>
      <c r="T143" s="118">
        <v>0</v>
      </c>
    </row>
    <row r="144" spans="2:20" ht="14.25" customHeight="1" x14ac:dyDescent="0.25">
      <c r="B144" s="200" t="s">
        <v>237</v>
      </c>
      <c r="C144" s="191" t="str">
        <f t="shared" si="47"/>
        <v>Machine Learning Engineer Pleno</v>
      </c>
      <c r="D144" s="192" t="s">
        <v>100</v>
      </c>
      <c r="E144" s="213">
        <f t="shared" si="26"/>
        <v>7200</v>
      </c>
      <c r="F144" s="248">
        <v>9000</v>
      </c>
      <c r="G144" s="214">
        <f t="shared" si="31"/>
        <v>1800</v>
      </c>
      <c r="H144" s="129">
        <f t="shared" si="48"/>
        <v>11700</v>
      </c>
      <c r="I144" s="114" t="e">
        <f t="shared" ca="1" si="41"/>
        <v>#NAME?</v>
      </c>
      <c r="J144" s="114">
        <f t="shared" si="42"/>
        <v>7455</v>
      </c>
      <c r="K144" s="114" t="e">
        <f t="shared" ca="1" si="43"/>
        <v>#NAME?</v>
      </c>
      <c r="L144" s="134" t="e">
        <f t="shared" ca="1" si="44"/>
        <v>#NAME?</v>
      </c>
      <c r="M144" s="114" t="e" cm="1">
        <f t="array" aca="1" ref="M144" ca="1">_xlfn.IFS(L144&gt;=70%,"Alta",L144&gt;20%,"Média",L144&lt;=20%,"Baixa")</f>
        <v>#NAME?</v>
      </c>
      <c r="N144" s="212" t="s">
        <v>215</v>
      </c>
      <c r="O144" s="145">
        <f t="shared" si="49"/>
        <v>7455</v>
      </c>
      <c r="P144" s="118">
        <v>0</v>
      </c>
      <c r="Q144" s="118">
        <v>7410</v>
      </c>
      <c r="R144" s="118">
        <v>7500</v>
      </c>
      <c r="S144" s="118">
        <v>0</v>
      </c>
      <c r="T144" s="118">
        <v>0</v>
      </c>
    </row>
    <row r="145" spans="2:20" ht="14.25" customHeight="1" x14ac:dyDescent="0.25">
      <c r="B145" s="200" t="s">
        <v>237</v>
      </c>
      <c r="C145" s="191" t="str">
        <f t="shared" si="47"/>
        <v>Machine Learning Engineer Sênior</v>
      </c>
      <c r="D145" s="192" t="s">
        <v>101</v>
      </c>
      <c r="E145" s="213">
        <f t="shared" si="26"/>
        <v>10400</v>
      </c>
      <c r="F145" s="248">
        <v>13000</v>
      </c>
      <c r="G145" s="214">
        <f t="shared" si="31"/>
        <v>2600</v>
      </c>
      <c r="H145" s="129">
        <f t="shared" si="48"/>
        <v>16900</v>
      </c>
      <c r="I145" s="114" t="e">
        <f t="shared" ca="1" si="41"/>
        <v>#NAME?</v>
      </c>
      <c r="J145" s="114">
        <f t="shared" si="42"/>
        <v>9631.25</v>
      </c>
      <c r="K145" s="114" t="e">
        <f t="shared" ca="1" si="43"/>
        <v>#NAME?</v>
      </c>
      <c r="L145" s="134" t="e">
        <f t="shared" ca="1" si="44"/>
        <v>#NAME?</v>
      </c>
      <c r="M145" s="114" t="e" cm="1">
        <f t="array" aca="1" ref="M145" ca="1">_xlfn.IFS(L145&gt;=70%,"Alta",L145&gt;20%,"Média",L145&lt;=20%,"Baixa")</f>
        <v>#NAME?</v>
      </c>
      <c r="N145" s="212" t="s">
        <v>215</v>
      </c>
      <c r="O145" s="145">
        <f t="shared" si="49"/>
        <v>9631.25</v>
      </c>
      <c r="P145" s="118">
        <v>0</v>
      </c>
      <c r="Q145" s="118">
        <v>9262.5</v>
      </c>
      <c r="R145" s="118">
        <v>10000</v>
      </c>
      <c r="S145" s="118">
        <v>0</v>
      </c>
      <c r="T145" s="118">
        <v>0</v>
      </c>
    </row>
    <row r="146" spans="2:20" ht="14.25" hidden="1" customHeight="1" x14ac:dyDescent="0.25">
      <c r="B146" s="198" t="s">
        <v>192</v>
      </c>
      <c r="C146" s="199" t="str">
        <f t="shared" si="45"/>
        <v>PO Sr</v>
      </c>
      <c r="D146" s="192" t="s">
        <v>100</v>
      </c>
      <c r="E146" s="213">
        <f t="shared" si="26"/>
        <v>9200</v>
      </c>
      <c r="F146" s="213">
        <v>11500</v>
      </c>
      <c r="G146" s="214">
        <f t="shared" si="31"/>
        <v>2300</v>
      </c>
      <c r="H146" s="129">
        <f t="shared" si="46"/>
        <v>11960</v>
      </c>
      <c r="I146" s="114" t="e">
        <f t="shared" ca="1" si="41"/>
        <v>#NAME?</v>
      </c>
      <c r="J146" s="114">
        <f t="shared" si="42"/>
        <v>8550</v>
      </c>
      <c r="K146" s="114" t="e">
        <f t="shared" ca="1" si="43"/>
        <v>#NAME?</v>
      </c>
      <c r="L146" s="134" t="e">
        <f t="shared" ca="1" si="44"/>
        <v>#NAME?</v>
      </c>
      <c r="M146" s="114" t="e" cm="1">
        <f t="array" aca="1" ref="M146" ca="1">_xlfn.IFS(L146&gt;=70%,"Alta",L146&gt;20%,"Média",L146&lt;=20%,"Baixa")</f>
        <v>#NAME?</v>
      </c>
      <c r="N146" s="114"/>
      <c r="O146" s="145">
        <f t="shared" si="49"/>
        <v>8550</v>
      </c>
      <c r="P146" s="118">
        <v>0</v>
      </c>
      <c r="Q146" s="118">
        <v>8100</v>
      </c>
      <c r="R146" s="118">
        <v>9000</v>
      </c>
      <c r="S146" s="118">
        <v>0</v>
      </c>
      <c r="T146" s="118">
        <v>0</v>
      </c>
    </row>
    <row r="147" spans="2:20" ht="14.25" customHeight="1" x14ac:dyDescent="0.25">
      <c r="B147" s="200" t="s">
        <v>234</v>
      </c>
      <c r="C147" s="191" t="str">
        <f t="shared" ref="C147:C149" si="50">B147&amp; " " &amp;D147</f>
        <v>Product Owner Júnior</v>
      </c>
      <c r="D147" s="192" t="s">
        <v>99</v>
      </c>
      <c r="E147" s="213">
        <f t="shared" si="26"/>
        <v>3600</v>
      </c>
      <c r="F147" s="248">
        <v>4500</v>
      </c>
      <c r="G147" s="214">
        <f t="shared" si="31"/>
        <v>900</v>
      </c>
      <c r="H147" s="129">
        <f t="shared" ref="H147:H149" si="51">F147+(F147*IF(D147&lt;&gt;"",IF(D147&lt;&gt;"",VLOOKUP(D147,$D$3:$F$9,2,0)),""))</f>
        <v>5850</v>
      </c>
      <c r="I147" s="114" t="e">
        <f t="shared" ca="1" si="41"/>
        <v>#NAME?</v>
      </c>
      <c r="J147" s="114">
        <f t="shared" si="42"/>
        <v>4850</v>
      </c>
      <c r="K147" s="114" t="e">
        <f t="shared" ca="1" si="43"/>
        <v>#NAME?</v>
      </c>
      <c r="L147" s="134" t="e">
        <f t="shared" ca="1" si="44"/>
        <v>#NAME?</v>
      </c>
      <c r="M147" s="114" t="e" cm="1">
        <f t="array" aca="1" ref="M147" ca="1">_xlfn.IFS(L147&gt;=70%,"Alta",L147&gt;20%,"Média",L147&lt;=20%,"Baixa")</f>
        <v>#NAME?</v>
      </c>
      <c r="N147" s="212" t="s">
        <v>215</v>
      </c>
      <c r="O147" s="145">
        <f t="shared" si="49"/>
        <v>4850</v>
      </c>
      <c r="P147" s="118">
        <v>0</v>
      </c>
      <c r="Q147" s="118">
        <v>5700</v>
      </c>
      <c r="R147" s="118">
        <v>4000</v>
      </c>
      <c r="S147" s="118">
        <v>0</v>
      </c>
      <c r="T147" s="118">
        <v>0</v>
      </c>
    </row>
    <row r="148" spans="2:20" ht="14.25" customHeight="1" x14ac:dyDescent="0.25">
      <c r="B148" s="200" t="s">
        <v>234</v>
      </c>
      <c r="C148" s="191" t="str">
        <f t="shared" si="50"/>
        <v>Product Owner Pleno</v>
      </c>
      <c r="D148" s="192" t="s">
        <v>100</v>
      </c>
      <c r="E148" s="213">
        <f t="shared" si="26"/>
        <v>7600</v>
      </c>
      <c r="F148" s="248">
        <v>9500</v>
      </c>
      <c r="G148" s="214">
        <f t="shared" si="31"/>
        <v>1900</v>
      </c>
      <c r="H148" s="129">
        <f t="shared" si="51"/>
        <v>12350</v>
      </c>
      <c r="I148" s="114" t="e">
        <f t="shared" ca="1" si="41"/>
        <v>#NAME?</v>
      </c>
      <c r="J148" s="114">
        <f t="shared" si="42"/>
        <v>6955</v>
      </c>
      <c r="K148" s="114" t="e">
        <f t="shared" ca="1" si="43"/>
        <v>#NAME?</v>
      </c>
      <c r="L148" s="134" t="e">
        <f t="shared" ca="1" si="44"/>
        <v>#NAME?</v>
      </c>
      <c r="M148" s="114" t="e" cm="1">
        <f t="array" aca="1" ref="M148" ca="1">_xlfn.IFS(L148&gt;=70%,"Alta",L148&gt;20%,"Média",L148&lt;=20%,"Baixa")</f>
        <v>#NAME?</v>
      </c>
      <c r="N148" s="212" t="s">
        <v>215</v>
      </c>
      <c r="O148" s="145">
        <f t="shared" si="49"/>
        <v>6955</v>
      </c>
      <c r="P148" s="118">
        <v>0</v>
      </c>
      <c r="Q148" s="118">
        <v>7410</v>
      </c>
      <c r="R148" s="118">
        <v>6500</v>
      </c>
      <c r="S148" s="118">
        <v>0</v>
      </c>
      <c r="T148" s="118">
        <v>0</v>
      </c>
    </row>
    <row r="149" spans="2:20" ht="14.25" customHeight="1" x14ac:dyDescent="0.25">
      <c r="B149" s="200" t="s">
        <v>234</v>
      </c>
      <c r="C149" s="191" t="str">
        <f t="shared" si="50"/>
        <v>Product Owner Sênior</v>
      </c>
      <c r="D149" s="192" t="s">
        <v>101</v>
      </c>
      <c r="E149" s="213">
        <f t="shared" si="26"/>
        <v>8800</v>
      </c>
      <c r="F149" s="248">
        <v>11000</v>
      </c>
      <c r="G149" s="214">
        <f t="shared" si="31"/>
        <v>2200</v>
      </c>
      <c r="H149" s="129">
        <f t="shared" si="51"/>
        <v>14300</v>
      </c>
      <c r="I149" s="114" t="e">
        <f t="shared" ca="1" si="41"/>
        <v>#NAME?</v>
      </c>
      <c r="J149" s="114">
        <f t="shared" si="42"/>
        <v>8881.25</v>
      </c>
      <c r="K149" s="114" t="e">
        <f t="shared" ca="1" si="43"/>
        <v>#NAME?</v>
      </c>
      <c r="L149" s="134" t="e">
        <f t="shared" ca="1" si="44"/>
        <v>#NAME?</v>
      </c>
      <c r="M149" s="114" t="e" cm="1">
        <f t="array" aca="1" ref="M149" ca="1">_xlfn.IFS(L149&gt;=70%,"Alta",L149&gt;20%,"Média",L149&lt;=20%,"Baixa")</f>
        <v>#NAME?</v>
      </c>
      <c r="N149" s="212" t="s">
        <v>215</v>
      </c>
      <c r="O149" s="145">
        <f t="shared" si="49"/>
        <v>8881.25</v>
      </c>
      <c r="P149" s="118">
        <v>0</v>
      </c>
      <c r="Q149" s="118">
        <v>9262.5</v>
      </c>
      <c r="R149" s="118">
        <v>8500</v>
      </c>
      <c r="S149" s="118">
        <v>0</v>
      </c>
      <c r="T149" s="118">
        <v>0</v>
      </c>
    </row>
    <row r="150" spans="2:20" ht="14.25" hidden="1" customHeight="1" x14ac:dyDescent="0.25">
      <c r="B150" s="198" t="s">
        <v>201</v>
      </c>
      <c r="C150" s="199" t="str">
        <f t="shared" si="45"/>
        <v>QA AUT. Senior</v>
      </c>
      <c r="D150" s="192" t="s">
        <v>100</v>
      </c>
      <c r="E150" s="213">
        <f t="shared" ref="E150:E186" si="52">F150-G150</f>
        <v>7200</v>
      </c>
      <c r="F150" s="213">
        <v>9000</v>
      </c>
      <c r="G150" s="214">
        <f t="shared" si="31"/>
        <v>1800</v>
      </c>
      <c r="H150" s="129">
        <f t="shared" si="46"/>
        <v>9360</v>
      </c>
      <c r="I150" s="114" t="e">
        <f t="shared" ca="1" si="41"/>
        <v>#NAME?</v>
      </c>
      <c r="J150" s="114">
        <f t="shared" si="42"/>
        <v>8950</v>
      </c>
      <c r="K150" s="114" t="e">
        <f t="shared" ca="1" si="43"/>
        <v>#NAME?</v>
      </c>
      <c r="L150" s="134" t="e">
        <f t="shared" ca="1" si="44"/>
        <v>#NAME?</v>
      </c>
      <c r="M150" s="114" t="e" cm="1">
        <f t="array" aca="1" ref="M150" ca="1">_xlfn.IFS(L150&gt;=70%,"Alta",L150&gt;20%,"Média",L150&lt;=20%,"Baixa")</f>
        <v>#NAME?</v>
      </c>
      <c r="N150" s="114"/>
      <c r="O150" s="145">
        <v>8200</v>
      </c>
      <c r="P150" s="118">
        <v>0</v>
      </c>
      <c r="Q150" s="118">
        <v>8100</v>
      </c>
      <c r="R150" s="118">
        <v>9800</v>
      </c>
      <c r="S150" s="118">
        <v>0</v>
      </c>
      <c r="T150" s="118">
        <v>0</v>
      </c>
    </row>
    <row r="151" spans="2:20" ht="14.25" customHeight="1" x14ac:dyDescent="0.25">
      <c r="B151" s="200" t="s">
        <v>235</v>
      </c>
      <c r="C151" s="191" t="str">
        <f t="shared" ref="C151:C160" si="53">B151&amp; " " &amp;D151</f>
        <v>RPA Especialista</v>
      </c>
      <c r="D151" s="192" t="s">
        <v>103</v>
      </c>
      <c r="E151" s="213">
        <f t="shared" si="52"/>
        <v>9200</v>
      </c>
      <c r="F151" s="248">
        <v>11500</v>
      </c>
      <c r="G151" s="214">
        <f t="shared" si="31"/>
        <v>2300</v>
      </c>
      <c r="H151" s="129">
        <f t="shared" ref="H151:H160" si="54">F151+(F151*IF(D151&lt;&gt;"",IF(D151&lt;&gt;"",VLOOKUP(D151,$D$3:$F$9,2,0)),""))</f>
        <v>14950</v>
      </c>
      <c r="I151" s="114" t="e">
        <f t="shared" ca="1" si="41"/>
        <v>#NAME?</v>
      </c>
      <c r="J151" s="114">
        <f t="shared" si="42"/>
        <v>9555.3950000000004</v>
      </c>
      <c r="K151" s="114" t="e">
        <f t="shared" ca="1" si="43"/>
        <v>#NAME?</v>
      </c>
      <c r="L151" s="134" t="e">
        <f t="shared" ca="1" si="44"/>
        <v>#NAME?</v>
      </c>
      <c r="M151" s="114" t="e" cm="1">
        <f t="array" aca="1" ref="M151" ca="1">_xlfn.IFS(L151&gt;=70%,"Alta",L151&gt;20%,"Média",L151&lt;=20%,"Baixa")</f>
        <v>#NAME?</v>
      </c>
      <c r="N151" s="212" t="s">
        <v>215</v>
      </c>
      <c r="O151" s="145">
        <f t="shared" ref="O151:O176" si="55">J151</f>
        <v>9555.3950000000004</v>
      </c>
      <c r="P151" s="118">
        <v>0</v>
      </c>
      <c r="Q151" s="118">
        <v>9110.7900000000009</v>
      </c>
      <c r="R151" s="118">
        <v>10000</v>
      </c>
      <c r="S151" s="118">
        <v>0</v>
      </c>
      <c r="T151" s="118">
        <v>0</v>
      </c>
    </row>
    <row r="152" spans="2:20" ht="14.25" customHeight="1" x14ac:dyDescent="0.25">
      <c r="B152" s="200" t="s">
        <v>235</v>
      </c>
      <c r="C152" s="191" t="str">
        <f t="shared" si="53"/>
        <v>RPA Júnior</v>
      </c>
      <c r="D152" s="192" t="s">
        <v>99</v>
      </c>
      <c r="E152" s="213">
        <f t="shared" si="52"/>
        <v>3040</v>
      </c>
      <c r="F152" s="248">
        <v>3800</v>
      </c>
      <c r="G152" s="214">
        <f t="shared" si="31"/>
        <v>760</v>
      </c>
      <c r="H152" s="129">
        <f t="shared" si="54"/>
        <v>4940</v>
      </c>
      <c r="I152" s="114" t="e">
        <f t="shared" ref="I152:I176" ca="1" si="56">_xlfn.MINIFS(Q152:T152,Q152:T152,"&gt;0",Q152:T152,"&lt;&gt;"&amp;"")</f>
        <v>#NAME?</v>
      </c>
      <c r="J152" s="114">
        <f t="shared" ref="J152:J176" si="57">IF(SUM(Q152:T152)&gt;0,
AVERAGEIFS(Q152:T152, Q152:T152,"&gt;0",Q152:T152,"&lt;&gt;"&amp;""),
0)</f>
        <v>3996</v>
      </c>
      <c r="K152" s="114" t="e">
        <f t="shared" ref="K152:K176" ca="1" si="58">_xlfn.MAXIFS(Q152:T152,Q152:T152,"&gt;0",Q152:T152,"&lt;&gt;"&amp;"")</f>
        <v>#NAME?</v>
      </c>
      <c r="L152" s="134" t="e">
        <f t="shared" ref="L152:L176" ca="1" si="59">(K152-I152)/I152</f>
        <v>#NAME?</v>
      </c>
      <c r="M152" s="114" t="e" cm="1">
        <f t="array" aca="1" ref="M152" ca="1">_xlfn.IFS(L152&gt;=70%,"Alta",L152&gt;20%,"Média",L152&lt;=20%,"Baixa")</f>
        <v>#NAME?</v>
      </c>
      <c r="N152" s="212" t="s">
        <v>215</v>
      </c>
      <c r="O152" s="145">
        <f t="shared" si="55"/>
        <v>3996</v>
      </c>
      <c r="P152" s="118">
        <v>0</v>
      </c>
      <c r="Q152" s="118">
        <v>4792</v>
      </c>
      <c r="R152" s="118">
        <v>3200</v>
      </c>
      <c r="S152" s="118">
        <v>0</v>
      </c>
      <c r="T152" s="118">
        <v>0</v>
      </c>
    </row>
    <row r="153" spans="2:20" ht="14.25" customHeight="1" x14ac:dyDescent="0.25">
      <c r="B153" s="200" t="s">
        <v>235</v>
      </c>
      <c r="C153" s="191" t="str">
        <f t="shared" si="53"/>
        <v>RPA Pleno</v>
      </c>
      <c r="D153" s="192" t="s">
        <v>100</v>
      </c>
      <c r="E153" s="213">
        <f t="shared" si="52"/>
        <v>6000</v>
      </c>
      <c r="F153" s="248">
        <v>7500</v>
      </c>
      <c r="G153" s="214">
        <f t="shared" ref="G153:G218" si="60">F153*$G$9</f>
        <v>1500</v>
      </c>
      <c r="H153" s="129">
        <f t="shared" si="54"/>
        <v>9750</v>
      </c>
      <c r="I153" s="114" t="e">
        <f t="shared" ca="1" si="56"/>
        <v>#NAME?</v>
      </c>
      <c r="J153" s="114">
        <f t="shared" si="57"/>
        <v>5614.8</v>
      </c>
      <c r="K153" s="114" t="e">
        <f t="shared" ca="1" si="58"/>
        <v>#NAME?</v>
      </c>
      <c r="L153" s="134" t="e">
        <f t="shared" ca="1" si="59"/>
        <v>#NAME?</v>
      </c>
      <c r="M153" s="114" t="e" cm="1">
        <f t="array" aca="1" ref="M153" ca="1">_xlfn.IFS(L153&gt;=70%,"Alta",L153&gt;20%,"Média",L153&lt;=20%,"Baixa")</f>
        <v>#NAME?</v>
      </c>
      <c r="N153" s="212" t="s">
        <v>215</v>
      </c>
      <c r="O153" s="145">
        <f t="shared" si="55"/>
        <v>5614.8</v>
      </c>
      <c r="P153" s="118">
        <v>0</v>
      </c>
      <c r="Q153" s="118">
        <v>6229.6</v>
      </c>
      <c r="R153" s="118">
        <v>5000</v>
      </c>
      <c r="S153" s="118">
        <v>0</v>
      </c>
      <c r="T153" s="118">
        <v>0</v>
      </c>
    </row>
    <row r="154" spans="2:20" ht="14.25" customHeight="1" x14ac:dyDescent="0.25">
      <c r="B154" s="200" t="s">
        <v>235</v>
      </c>
      <c r="C154" s="191" t="str">
        <f t="shared" si="53"/>
        <v>RPA Sênior</v>
      </c>
      <c r="D154" s="192" t="s">
        <v>101</v>
      </c>
      <c r="E154" s="213">
        <f t="shared" si="52"/>
        <v>8000</v>
      </c>
      <c r="F154" s="248">
        <v>10000</v>
      </c>
      <c r="G154" s="214">
        <f t="shared" si="60"/>
        <v>2000</v>
      </c>
      <c r="H154" s="129">
        <f t="shared" si="54"/>
        <v>13000</v>
      </c>
      <c r="I154" s="114" t="e">
        <f t="shared" ca="1" si="56"/>
        <v>#NAME?</v>
      </c>
      <c r="J154" s="114">
        <f t="shared" si="57"/>
        <v>7493.5</v>
      </c>
      <c r="K154" s="114" t="e">
        <f t="shared" ca="1" si="58"/>
        <v>#NAME?</v>
      </c>
      <c r="L154" s="134" t="e">
        <f t="shared" ca="1" si="59"/>
        <v>#NAME?</v>
      </c>
      <c r="M154" s="114" t="e" cm="1">
        <f t="array" aca="1" ref="M154" ca="1">_xlfn.IFS(L154&gt;=70%,"Alta",L154&gt;20%,"Média",L154&lt;=20%,"Baixa")</f>
        <v>#NAME?</v>
      </c>
      <c r="N154" s="212" t="s">
        <v>215</v>
      </c>
      <c r="O154" s="145">
        <f t="shared" si="55"/>
        <v>7493.5</v>
      </c>
      <c r="P154" s="118">
        <v>0</v>
      </c>
      <c r="Q154" s="118">
        <v>7787</v>
      </c>
      <c r="R154" s="118">
        <v>7200</v>
      </c>
      <c r="S154" s="118">
        <v>0</v>
      </c>
      <c r="T154" s="118">
        <v>0</v>
      </c>
    </row>
    <row r="155" spans="2:20" ht="14.25" customHeight="1" x14ac:dyDescent="0.25">
      <c r="B155" s="200" t="s">
        <v>1445</v>
      </c>
      <c r="C155" s="191" t="str">
        <f t="shared" si="53"/>
        <v>Analista SAP Funcional Júnior</v>
      </c>
      <c r="D155" s="192" t="s">
        <v>99</v>
      </c>
      <c r="E155" s="213">
        <f t="shared" si="52"/>
        <v>4160</v>
      </c>
      <c r="F155" s="248">
        <v>5200</v>
      </c>
      <c r="G155" s="214">
        <f t="shared" si="60"/>
        <v>1040</v>
      </c>
      <c r="H155" s="129">
        <f t="shared" si="54"/>
        <v>6760</v>
      </c>
      <c r="I155" s="114" t="e">
        <f t="shared" ca="1" si="56"/>
        <v>#NAME?</v>
      </c>
      <c r="J155" s="114">
        <f t="shared" si="57"/>
        <v>4500</v>
      </c>
      <c r="K155" s="114" t="e">
        <f t="shared" ca="1" si="58"/>
        <v>#NAME?</v>
      </c>
      <c r="L155" s="134" t="e">
        <f t="shared" ca="1" si="59"/>
        <v>#NAME?</v>
      </c>
      <c r="M155" s="114" t="e" cm="1">
        <f t="array" aca="1" ref="M155" ca="1">_xlfn.IFS(L155&gt;=70%,"Alta",L155&gt;20%,"Média",L155&lt;=20%,"Baixa")</f>
        <v>#NAME?</v>
      </c>
      <c r="N155" s="212" t="s">
        <v>215</v>
      </c>
      <c r="O155" s="145">
        <f t="shared" si="55"/>
        <v>4500</v>
      </c>
      <c r="P155" s="118">
        <v>0</v>
      </c>
      <c r="Q155" s="118">
        <v>6000</v>
      </c>
      <c r="R155" s="118">
        <v>3000</v>
      </c>
      <c r="S155" s="118">
        <v>0</v>
      </c>
      <c r="T155" s="118">
        <v>0</v>
      </c>
    </row>
    <row r="156" spans="2:20" ht="14.25" customHeight="1" x14ac:dyDescent="0.25">
      <c r="B156" s="200" t="s">
        <v>1445</v>
      </c>
      <c r="C156" s="191" t="str">
        <f t="shared" si="53"/>
        <v>Analista SAP Funcional Pleno</v>
      </c>
      <c r="D156" s="192" t="s">
        <v>100</v>
      </c>
      <c r="E156" s="213">
        <f t="shared" si="52"/>
        <v>7280</v>
      </c>
      <c r="F156" s="248">
        <v>9100</v>
      </c>
      <c r="G156" s="214">
        <f t="shared" si="60"/>
        <v>1820</v>
      </c>
      <c r="H156" s="129">
        <f t="shared" si="54"/>
        <v>11830</v>
      </c>
      <c r="I156" s="114" t="e">
        <f t="shared" ca="1" si="56"/>
        <v>#NAME?</v>
      </c>
      <c r="J156" s="114">
        <f t="shared" si="57"/>
        <v>6150</v>
      </c>
      <c r="K156" s="114" t="e">
        <f t="shared" ca="1" si="58"/>
        <v>#NAME?</v>
      </c>
      <c r="L156" s="134" t="e">
        <f t="shared" ca="1" si="59"/>
        <v>#NAME?</v>
      </c>
      <c r="M156" s="114" t="e" cm="1">
        <f t="array" aca="1" ref="M156" ca="1">_xlfn.IFS(L156&gt;=70%,"Alta",L156&gt;20%,"Média",L156&lt;=20%,"Baixa")</f>
        <v>#NAME?</v>
      </c>
      <c r="N156" s="212" t="s">
        <v>215</v>
      </c>
      <c r="O156" s="145">
        <f t="shared" si="55"/>
        <v>6150</v>
      </c>
      <c r="P156" s="118">
        <v>0</v>
      </c>
      <c r="Q156" s="118">
        <v>7800</v>
      </c>
      <c r="R156" s="118">
        <v>4500</v>
      </c>
      <c r="S156" s="118">
        <v>0</v>
      </c>
      <c r="T156" s="118">
        <v>0</v>
      </c>
    </row>
    <row r="157" spans="2:20" ht="14.25" customHeight="1" x14ac:dyDescent="0.25">
      <c r="B157" s="200" t="s">
        <v>1445</v>
      </c>
      <c r="C157" s="191" t="str">
        <f t="shared" si="53"/>
        <v>Analista SAP Funcional Sênior</v>
      </c>
      <c r="D157" s="192" t="s">
        <v>101</v>
      </c>
      <c r="E157" s="213">
        <f t="shared" si="52"/>
        <v>9600</v>
      </c>
      <c r="F157" s="248">
        <v>12000</v>
      </c>
      <c r="G157" s="214">
        <f t="shared" si="60"/>
        <v>2400</v>
      </c>
      <c r="H157" s="129">
        <f t="shared" si="54"/>
        <v>15600</v>
      </c>
      <c r="I157" s="114" t="e">
        <f t="shared" ca="1" si="56"/>
        <v>#NAME?</v>
      </c>
      <c r="J157" s="114">
        <f t="shared" si="57"/>
        <v>8275</v>
      </c>
      <c r="K157" s="114" t="e">
        <f t="shared" ca="1" si="58"/>
        <v>#NAME?</v>
      </c>
      <c r="L157" s="134" t="e">
        <f t="shared" ca="1" si="59"/>
        <v>#NAME?</v>
      </c>
      <c r="M157" s="114" t="e" cm="1">
        <f t="array" aca="1" ref="M157" ca="1">_xlfn.IFS(L157&gt;=70%,"Alta",L157&gt;20%,"Média",L157&lt;=20%,"Baixa")</f>
        <v>#NAME?</v>
      </c>
      <c r="N157" s="212" t="s">
        <v>215</v>
      </c>
      <c r="O157" s="145">
        <f t="shared" si="55"/>
        <v>8275</v>
      </c>
      <c r="P157" s="118">
        <v>0</v>
      </c>
      <c r="Q157" s="118">
        <v>9750</v>
      </c>
      <c r="R157" s="118">
        <v>6800</v>
      </c>
      <c r="S157" s="118">
        <v>0</v>
      </c>
      <c r="T157" s="118">
        <v>0</v>
      </c>
    </row>
    <row r="158" spans="2:20" ht="14.25" customHeight="1" x14ac:dyDescent="0.25">
      <c r="B158" s="200" t="s">
        <v>236</v>
      </c>
      <c r="C158" s="191" t="str">
        <f t="shared" si="53"/>
        <v>Scrum Master Júnior</v>
      </c>
      <c r="D158" s="192" t="s">
        <v>99</v>
      </c>
      <c r="E158" s="213">
        <f t="shared" si="52"/>
        <v>3600</v>
      </c>
      <c r="F158" s="248">
        <v>4500</v>
      </c>
      <c r="G158" s="214">
        <f t="shared" si="60"/>
        <v>900</v>
      </c>
      <c r="H158" s="129">
        <f t="shared" si="54"/>
        <v>5850</v>
      </c>
      <c r="I158" s="114" t="e">
        <f t="shared" ca="1" si="56"/>
        <v>#NAME?</v>
      </c>
      <c r="J158" s="114">
        <f t="shared" si="57"/>
        <v>4725</v>
      </c>
      <c r="K158" s="114" t="e">
        <f t="shared" ca="1" si="58"/>
        <v>#NAME?</v>
      </c>
      <c r="L158" s="134" t="e">
        <f t="shared" ca="1" si="59"/>
        <v>#NAME?</v>
      </c>
      <c r="M158" s="114" t="e" cm="1">
        <f t="array" aca="1" ref="M158" ca="1">_xlfn.IFS(L158&gt;=70%,"Alta",L158&gt;20%,"Média",L158&lt;=20%,"Baixa")</f>
        <v>#NAME?</v>
      </c>
      <c r="N158" s="212" t="s">
        <v>215</v>
      </c>
      <c r="O158" s="145">
        <f t="shared" si="55"/>
        <v>4725</v>
      </c>
      <c r="P158" s="118">
        <v>0</v>
      </c>
      <c r="Q158" s="118">
        <v>5450</v>
      </c>
      <c r="R158" s="118">
        <v>4000</v>
      </c>
      <c r="S158" s="118">
        <v>0</v>
      </c>
      <c r="T158" s="118">
        <v>0</v>
      </c>
    </row>
    <row r="159" spans="2:20" ht="14.25" customHeight="1" x14ac:dyDescent="0.25">
      <c r="B159" s="200" t="s">
        <v>236</v>
      </c>
      <c r="C159" s="191" t="str">
        <f t="shared" si="53"/>
        <v>Scrum Master Pleno</v>
      </c>
      <c r="D159" s="192" t="s">
        <v>100</v>
      </c>
      <c r="E159" s="213">
        <f t="shared" si="52"/>
        <v>6400</v>
      </c>
      <c r="F159" s="248">
        <v>8000</v>
      </c>
      <c r="G159" s="214">
        <f t="shared" si="60"/>
        <v>1600</v>
      </c>
      <c r="H159" s="129">
        <f t="shared" si="54"/>
        <v>10400</v>
      </c>
      <c r="I159" s="114" t="e">
        <f t="shared" ca="1" si="56"/>
        <v>#NAME?</v>
      </c>
      <c r="J159" s="114">
        <f t="shared" si="57"/>
        <v>6792.5</v>
      </c>
      <c r="K159" s="114" t="e">
        <f t="shared" ca="1" si="58"/>
        <v>#NAME?</v>
      </c>
      <c r="L159" s="134" t="e">
        <f t="shared" ca="1" si="59"/>
        <v>#NAME?</v>
      </c>
      <c r="M159" s="114" t="e" cm="1">
        <f t="array" aca="1" ref="M159" ca="1">_xlfn.IFS(L159&gt;=70%,"Alta",L159&gt;20%,"Média",L159&lt;=20%,"Baixa")</f>
        <v>#NAME?</v>
      </c>
      <c r="N159" s="212" t="s">
        <v>215</v>
      </c>
      <c r="O159" s="145">
        <f t="shared" si="55"/>
        <v>6792.5</v>
      </c>
      <c r="P159" s="118">
        <v>0</v>
      </c>
      <c r="Q159" s="118">
        <v>7085</v>
      </c>
      <c r="R159" s="118">
        <v>6500</v>
      </c>
      <c r="S159" s="118">
        <v>0</v>
      </c>
      <c r="T159" s="118">
        <v>0</v>
      </c>
    </row>
    <row r="160" spans="2:20" ht="14.25" customHeight="1" x14ac:dyDescent="0.25">
      <c r="B160" s="200" t="s">
        <v>236</v>
      </c>
      <c r="C160" s="191" t="str">
        <f t="shared" si="53"/>
        <v>Scrum Master Sênior</v>
      </c>
      <c r="D160" s="192" t="s">
        <v>101</v>
      </c>
      <c r="E160" s="213">
        <f t="shared" si="52"/>
        <v>8400</v>
      </c>
      <c r="F160" s="248">
        <v>10500</v>
      </c>
      <c r="G160" s="214">
        <f t="shared" si="60"/>
        <v>2100</v>
      </c>
      <c r="H160" s="129">
        <f t="shared" si="54"/>
        <v>13650</v>
      </c>
      <c r="I160" s="114" t="e">
        <f t="shared" ca="1" si="56"/>
        <v>#NAME?</v>
      </c>
      <c r="J160" s="114">
        <f t="shared" si="57"/>
        <v>9428.125</v>
      </c>
      <c r="K160" s="114" t="e">
        <f t="shared" ca="1" si="58"/>
        <v>#NAME?</v>
      </c>
      <c r="L160" s="134" t="e">
        <f t="shared" ca="1" si="59"/>
        <v>#NAME?</v>
      </c>
      <c r="M160" s="114" t="e" cm="1">
        <f t="array" aca="1" ref="M160" ca="1">_xlfn.IFS(L160&gt;=70%,"Alta",L160&gt;20%,"Média",L160&lt;=20%,"Baixa")</f>
        <v>#NAME?</v>
      </c>
      <c r="N160" s="212" t="s">
        <v>215</v>
      </c>
      <c r="O160" s="145">
        <f t="shared" si="55"/>
        <v>9428.125</v>
      </c>
      <c r="P160" s="118">
        <v>0</v>
      </c>
      <c r="Q160" s="118">
        <v>8856.25</v>
      </c>
      <c r="R160" s="118">
        <v>10000</v>
      </c>
      <c r="S160" s="118">
        <v>0</v>
      </c>
      <c r="T160" s="118">
        <v>0</v>
      </c>
    </row>
    <row r="161" spans="2:20" ht="14.25" hidden="1" customHeight="1" x14ac:dyDescent="0.25">
      <c r="B161" s="200" t="s">
        <v>182</v>
      </c>
      <c r="C161" s="199" t="str">
        <f t="shared" ref="C161:C176" si="61">B161</f>
        <v>SER - Especialista</v>
      </c>
      <c r="D161" s="192" t="s">
        <v>100</v>
      </c>
      <c r="E161" s="213">
        <f t="shared" si="52"/>
        <v>6800</v>
      </c>
      <c r="F161" s="213">
        <v>8500</v>
      </c>
      <c r="G161" s="214">
        <f t="shared" si="60"/>
        <v>1700</v>
      </c>
      <c r="H161" s="129">
        <f t="shared" ref="H161:H176" si="62">E161+(E161*IF(D161&lt;&gt;"",IF(D161&lt;&gt;"",VLOOKUP(D161,$D$3:$E$9,2,0)),""))</f>
        <v>8840</v>
      </c>
      <c r="I161" s="114" t="e">
        <f t="shared" ca="1" si="56"/>
        <v>#NAME?</v>
      </c>
      <c r="J161" s="114">
        <f t="shared" si="57"/>
        <v>3782.0862500000003</v>
      </c>
      <c r="K161" s="114" t="e">
        <f t="shared" ca="1" si="58"/>
        <v>#NAME?</v>
      </c>
      <c r="L161" s="134" t="e">
        <f t="shared" ca="1" si="59"/>
        <v>#NAME?</v>
      </c>
      <c r="M161" s="114" t="e" cm="1">
        <f t="array" aca="1" ref="M161" ca="1">_xlfn.IFS(L161&gt;=70%,"Alta",L161&gt;20%,"Média",L161&lt;=20%,"Baixa")</f>
        <v>#NAME?</v>
      </c>
      <c r="N161" s="114"/>
      <c r="O161" s="145">
        <f t="shared" si="55"/>
        <v>3782.0862500000003</v>
      </c>
      <c r="P161" s="118">
        <v>0</v>
      </c>
      <c r="Q161" s="118">
        <v>7563.1725000000006</v>
      </c>
      <c r="R161" s="118">
        <v>1</v>
      </c>
      <c r="S161" s="118">
        <v>0</v>
      </c>
      <c r="T161" s="118">
        <v>0</v>
      </c>
    </row>
    <row r="162" spans="2:20" ht="14.25" hidden="1" customHeight="1" x14ac:dyDescent="0.25">
      <c r="B162" s="200" t="s">
        <v>179</v>
      </c>
      <c r="C162" s="199" t="str">
        <f t="shared" si="61"/>
        <v>SER - Junior</v>
      </c>
      <c r="D162" s="192" t="s">
        <v>100</v>
      </c>
      <c r="E162" s="213">
        <f t="shared" si="52"/>
        <v>3200</v>
      </c>
      <c r="F162" s="213">
        <v>4000</v>
      </c>
      <c r="G162" s="214">
        <f t="shared" si="60"/>
        <v>800</v>
      </c>
      <c r="H162" s="129">
        <f t="shared" si="62"/>
        <v>4160</v>
      </c>
      <c r="I162" s="114" t="e">
        <f t="shared" ca="1" si="56"/>
        <v>#NAME?</v>
      </c>
      <c r="J162" s="114">
        <f t="shared" si="57"/>
        <v>1989.5</v>
      </c>
      <c r="K162" s="114" t="e">
        <f t="shared" ca="1" si="58"/>
        <v>#NAME?</v>
      </c>
      <c r="L162" s="134" t="e">
        <f t="shared" ca="1" si="59"/>
        <v>#NAME?</v>
      </c>
      <c r="M162" s="114" t="e" cm="1">
        <f t="array" aca="1" ref="M162" ca="1">_xlfn.IFS(L162&gt;=70%,"Alta",L162&gt;20%,"Média",L162&lt;=20%,"Baixa")</f>
        <v>#NAME?</v>
      </c>
      <c r="N162" s="114"/>
      <c r="O162" s="145">
        <f t="shared" si="55"/>
        <v>1989.5</v>
      </c>
      <c r="P162" s="118">
        <v>0</v>
      </c>
      <c r="Q162" s="118">
        <v>3978</v>
      </c>
      <c r="R162" s="118">
        <v>1</v>
      </c>
      <c r="S162" s="118">
        <v>0</v>
      </c>
      <c r="T162" s="118">
        <v>0</v>
      </c>
    </row>
    <row r="163" spans="2:20" ht="14.25" hidden="1" customHeight="1" x14ac:dyDescent="0.25">
      <c r="B163" s="200" t="s">
        <v>180</v>
      </c>
      <c r="C163" s="199" t="str">
        <f t="shared" si="61"/>
        <v>SER - Pleno</v>
      </c>
      <c r="D163" s="192" t="s">
        <v>100</v>
      </c>
      <c r="E163" s="213">
        <f t="shared" si="52"/>
        <v>3920</v>
      </c>
      <c r="F163" s="213">
        <v>4900</v>
      </c>
      <c r="G163" s="214">
        <f t="shared" si="60"/>
        <v>980</v>
      </c>
      <c r="H163" s="129">
        <f t="shared" si="62"/>
        <v>5096</v>
      </c>
      <c r="I163" s="114" t="e">
        <f t="shared" ca="1" si="56"/>
        <v>#NAME?</v>
      </c>
      <c r="J163" s="114">
        <f t="shared" si="57"/>
        <v>2586.1999999999998</v>
      </c>
      <c r="K163" s="114" t="e">
        <f t="shared" ca="1" si="58"/>
        <v>#NAME?</v>
      </c>
      <c r="L163" s="134" t="e">
        <f t="shared" ca="1" si="59"/>
        <v>#NAME?</v>
      </c>
      <c r="M163" s="114" t="e" cm="1">
        <f t="array" aca="1" ref="M163" ca="1">_xlfn.IFS(L163&gt;=70%,"Alta",L163&gt;20%,"Média",L163&lt;=20%,"Baixa")</f>
        <v>#NAME?</v>
      </c>
      <c r="N163" s="114"/>
      <c r="O163" s="145">
        <f t="shared" si="55"/>
        <v>2586.1999999999998</v>
      </c>
      <c r="P163" s="118">
        <v>0</v>
      </c>
      <c r="Q163" s="118">
        <v>5171.3999999999996</v>
      </c>
      <c r="R163" s="118">
        <v>1</v>
      </c>
      <c r="S163" s="118">
        <v>0</v>
      </c>
      <c r="T163" s="118">
        <v>0</v>
      </c>
    </row>
    <row r="164" spans="2:20" ht="14.25" hidden="1" customHeight="1" x14ac:dyDescent="0.25">
      <c r="B164" s="200" t="s">
        <v>181</v>
      </c>
      <c r="C164" s="199" t="str">
        <f t="shared" si="61"/>
        <v>SER - Senior</v>
      </c>
      <c r="D164" s="192" t="s">
        <v>100</v>
      </c>
      <c r="E164" s="213">
        <f t="shared" si="52"/>
        <v>5200</v>
      </c>
      <c r="F164" s="213">
        <v>6500</v>
      </c>
      <c r="G164" s="214">
        <f t="shared" si="60"/>
        <v>1300</v>
      </c>
      <c r="H164" s="129">
        <f t="shared" si="62"/>
        <v>6760</v>
      </c>
      <c r="I164" s="114" t="e">
        <f t="shared" ca="1" si="56"/>
        <v>#NAME?</v>
      </c>
      <c r="J164" s="114">
        <f t="shared" si="57"/>
        <v>3232.625</v>
      </c>
      <c r="K164" s="114" t="e">
        <f t="shared" ca="1" si="58"/>
        <v>#NAME?</v>
      </c>
      <c r="L164" s="134" t="e">
        <f t="shared" ca="1" si="59"/>
        <v>#NAME?</v>
      </c>
      <c r="M164" s="114" t="e" cm="1">
        <f t="array" aca="1" ref="M164" ca="1">_xlfn.IFS(L164&gt;=70%,"Alta",L164&gt;20%,"Média",L164&lt;=20%,"Baixa")</f>
        <v>#NAME?</v>
      </c>
      <c r="N164" s="114"/>
      <c r="O164" s="145">
        <f t="shared" si="55"/>
        <v>3232.625</v>
      </c>
      <c r="P164" s="118">
        <v>0</v>
      </c>
      <c r="Q164" s="118">
        <v>6464.25</v>
      </c>
      <c r="R164" s="118">
        <v>1</v>
      </c>
      <c r="S164" s="118">
        <v>0</v>
      </c>
      <c r="T164" s="118">
        <v>0</v>
      </c>
    </row>
    <row r="165" spans="2:20" ht="14.25" customHeight="1" x14ac:dyDescent="0.25">
      <c r="B165" s="200" t="s">
        <v>351</v>
      </c>
      <c r="C165" s="191" t="str">
        <f t="shared" ref="C165:C168" si="63">B165&amp; " " &amp;D165</f>
        <v>SRE - Site Reliability Engenier Especialista</v>
      </c>
      <c r="D165" s="192" t="s">
        <v>103</v>
      </c>
      <c r="E165" s="213">
        <f t="shared" si="52"/>
        <v>12800</v>
      </c>
      <c r="F165" s="248">
        <v>16000</v>
      </c>
      <c r="G165" s="214">
        <f t="shared" si="60"/>
        <v>3200</v>
      </c>
      <c r="H165" s="129">
        <f t="shared" ref="H165:H168" si="64">F165+(F165*IF(D165&lt;&gt;"",IF(D165&lt;&gt;"",VLOOKUP(D165,$D$3:$F$9,2,0)),""))</f>
        <v>20800</v>
      </c>
      <c r="I165" s="114"/>
      <c r="J165" s="114"/>
      <c r="K165" s="114"/>
      <c r="L165" s="134"/>
      <c r="M165" s="114"/>
      <c r="N165" s="212" t="s">
        <v>215</v>
      </c>
      <c r="O165" s="145">
        <v>0</v>
      </c>
      <c r="P165" s="118"/>
      <c r="Q165" s="118">
        <v>0</v>
      </c>
      <c r="R165" s="118">
        <v>0</v>
      </c>
      <c r="S165" s="118"/>
      <c r="T165" s="118"/>
    </row>
    <row r="166" spans="2:20" ht="14.25" customHeight="1" x14ac:dyDescent="0.25">
      <c r="B166" s="200" t="s">
        <v>351</v>
      </c>
      <c r="C166" s="191" t="str">
        <f t="shared" si="63"/>
        <v>SRE - Site Reliability Engenier Júnior</v>
      </c>
      <c r="D166" s="192" t="s">
        <v>99</v>
      </c>
      <c r="E166" s="213">
        <f t="shared" si="52"/>
        <v>4800</v>
      </c>
      <c r="F166" s="248">
        <v>6000</v>
      </c>
      <c r="G166" s="214">
        <f t="shared" si="60"/>
        <v>1200</v>
      </c>
      <c r="H166" s="129">
        <f t="shared" si="64"/>
        <v>7800</v>
      </c>
      <c r="I166" s="114"/>
      <c r="J166" s="114"/>
      <c r="K166" s="114"/>
      <c r="L166" s="134"/>
      <c r="M166" s="114"/>
      <c r="N166" s="212" t="s">
        <v>215</v>
      </c>
      <c r="O166" s="145">
        <v>0</v>
      </c>
      <c r="P166" s="118"/>
      <c r="Q166" s="118">
        <v>0</v>
      </c>
      <c r="R166" s="118">
        <v>0</v>
      </c>
      <c r="S166" s="118"/>
      <c r="T166" s="118"/>
    </row>
    <row r="167" spans="2:20" ht="14.25" customHeight="1" x14ac:dyDescent="0.25">
      <c r="B167" s="200" t="s">
        <v>351</v>
      </c>
      <c r="C167" s="191" t="str">
        <f t="shared" si="63"/>
        <v>SRE - Site Reliability Engenier Pleno</v>
      </c>
      <c r="D167" s="192" t="s">
        <v>100</v>
      </c>
      <c r="E167" s="213">
        <f t="shared" si="52"/>
        <v>6800</v>
      </c>
      <c r="F167" s="248">
        <v>8500</v>
      </c>
      <c r="G167" s="214">
        <f t="shared" si="60"/>
        <v>1700</v>
      </c>
      <c r="H167" s="129">
        <f t="shared" si="64"/>
        <v>11050</v>
      </c>
      <c r="I167" s="114"/>
      <c r="J167" s="114"/>
      <c r="K167" s="114"/>
      <c r="L167" s="134"/>
      <c r="M167" s="114"/>
      <c r="N167" s="212" t="s">
        <v>215</v>
      </c>
      <c r="O167" s="145">
        <v>0</v>
      </c>
      <c r="P167" s="118"/>
      <c r="Q167" s="118">
        <v>0</v>
      </c>
      <c r="R167" s="118">
        <v>0</v>
      </c>
      <c r="S167" s="118"/>
      <c r="T167" s="118"/>
    </row>
    <row r="168" spans="2:20" ht="14.25" customHeight="1" x14ac:dyDescent="0.25">
      <c r="B168" s="200" t="s">
        <v>351</v>
      </c>
      <c r="C168" s="191" t="str">
        <f t="shared" si="63"/>
        <v>SRE - Site Reliability Engenier Sênior</v>
      </c>
      <c r="D168" s="192" t="s">
        <v>101</v>
      </c>
      <c r="E168" s="213">
        <f t="shared" si="52"/>
        <v>9600</v>
      </c>
      <c r="F168" s="248">
        <v>12000</v>
      </c>
      <c r="G168" s="214">
        <f t="shared" si="60"/>
        <v>2400</v>
      </c>
      <c r="H168" s="129">
        <f t="shared" si="64"/>
        <v>15600</v>
      </c>
      <c r="I168" s="114"/>
      <c r="J168" s="114"/>
      <c r="K168" s="114"/>
      <c r="L168" s="134"/>
      <c r="M168" s="114"/>
      <c r="N168" s="212" t="s">
        <v>215</v>
      </c>
      <c r="O168" s="145">
        <v>0</v>
      </c>
      <c r="P168" s="118"/>
      <c r="Q168" s="118">
        <v>0</v>
      </c>
      <c r="R168" s="118">
        <v>0</v>
      </c>
      <c r="S168" s="118"/>
      <c r="T168" s="118"/>
    </row>
    <row r="169" spans="2:20" ht="14.25" customHeight="1" x14ac:dyDescent="0.25">
      <c r="B169" s="200" t="s">
        <v>217</v>
      </c>
      <c r="C169" s="191" t="str">
        <f t="shared" ref="C169:C170" si="65">B169&amp; " " &amp;D169</f>
        <v>Tech Lead Especialista</v>
      </c>
      <c r="D169" s="192" t="s">
        <v>103</v>
      </c>
      <c r="E169" s="213">
        <f t="shared" si="52"/>
        <v>11600</v>
      </c>
      <c r="F169" s="248">
        <v>14500</v>
      </c>
      <c r="G169" s="214">
        <f t="shared" si="60"/>
        <v>2900</v>
      </c>
      <c r="H169" s="129">
        <f>F169+(F169*IF(D169&lt;&gt;"",IF(D169&lt;&gt;"",VLOOKUP(D169,$D$3:$F$9,2,0)),""))</f>
        <v>18850</v>
      </c>
      <c r="I169" s="114" t="e">
        <f t="shared" ca="1" si="56"/>
        <v>#NAME?</v>
      </c>
      <c r="J169" s="114">
        <f t="shared" si="57"/>
        <v>13964.25</v>
      </c>
      <c r="K169" s="114" t="e">
        <f t="shared" ca="1" si="58"/>
        <v>#NAME?</v>
      </c>
      <c r="L169" s="134" t="e">
        <f t="shared" ca="1" si="59"/>
        <v>#NAME?</v>
      </c>
      <c r="M169" s="114" t="e" cm="1">
        <f t="array" aca="1" ref="M169" ca="1">_xlfn.IFS(L169&gt;=70%,"Alta",L169&gt;20%,"Média",L169&lt;=20%,"Baixa")</f>
        <v>#NAME?</v>
      </c>
      <c r="N169" s="212" t="s">
        <v>215</v>
      </c>
      <c r="O169" s="145">
        <f t="shared" si="55"/>
        <v>13964.25</v>
      </c>
      <c r="P169" s="118">
        <v>0</v>
      </c>
      <c r="Q169" s="118">
        <v>12928.5</v>
      </c>
      <c r="R169" s="118">
        <v>15000</v>
      </c>
      <c r="S169" s="118">
        <v>0</v>
      </c>
      <c r="T169" s="118">
        <v>0</v>
      </c>
    </row>
    <row r="170" spans="2:20" ht="14.25" hidden="1" customHeight="1" x14ac:dyDescent="0.25">
      <c r="B170" s="200" t="s">
        <v>217</v>
      </c>
      <c r="C170" s="191" t="str">
        <f t="shared" si="65"/>
        <v>Tech Lead Júnior</v>
      </c>
      <c r="D170" s="192" t="s">
        <v>99</v>
      </c>
      <c r="E170" s="213">
        <f t="shared" si="52"/>
        <v>8000</v>
      </c>
      <c r="F170" s="213">
        <v>10000</v>
      </c>
      <c r="G170" s="214">
        <f t="shared" si="60"/>
        <v>2000</v>
      </c>
      <c r="H170" s="129">
        <f t="shared" si="62"/>
        <v>10400</v>
      </c>
      <c r="I170" s="114" t="e">
        <f t="shared" ca="1" si="56"/>
        <v>#NAME?</v>
      </c>
      <c r="J170" s="114">
        <f t="shared" si="57"/>
        <v>7400</v>
      </c>
      <c r="K170" s="114" t="e">
        <f t="shared" ca="1" si="58"/>
        <v>#NAME?</v>
      </c>
      <c r="L170" s="134" t="e">
        <f t="shared" ca="1" si="59"/>
        <v>#NAME?</v>
      </c>
      <c r="M170" s="114" t="e" cm="1">
        <f t="array" aca="1" ref="M170" ca="1">_xlfn.IFS(L170&gt;=70%,"Alta",L170&gt;20%,"Média",L170&lt;=20%,"Baixa")</f>
        <v>#NAME?</v>
      </c>
      <c r="N170" s="215"/>
      <c r="O170" s="145">
        <f t="shared" si="55"/>
        <v>7400</v>
      </c>
      <c r="P170" s="118">
        <v>0</v>
      </c>
      <c r="Q170" s="118">
        <v>6800</v>
      </c>
      <c r="R170" s="118">
        <v>8000</v>
      </c>
      <c r="S170" s="118">
        <v>0</v>
      </c>
      <c r="T170" s="118">
        <v>0</v>
      </c>
    </row>
    <row r="171" spans="2:20" ht="14.25" customHeight="1" x14ac:dyDescent="0.25">
      <c r="B171" s="200" t="s">
        <v>217</v>
      </c>
      <c r="C171" s="191" t="str">
        <f t="shared" ref="C171" si="66">B171&amp; " " &amp;D171</f>
        <v>Tech Lead Pleno</v>
      </c>
      <c r="D171" s="192" t="s">
        <v>100</v>
      </c>
      <c r="E171" s="213">
        <f t="shared" si="52"/>
        <v>8400</v>
      </c>
      <c r="F171" s="248">
        <v>10500</v>
      </c>
      <c r="G171" s="214">
        <f t="shared" si="60"/>
        <v>2100</v>
      </c>
      <c r="H171" s="129">
        <f t="shared" ref="H171:H172" si="67">F171+(F171*IF(D171&lt;&gt;"",IF(D171&lt;&gt;"",VLOOKUP(D171,$D$3:$F$9,2,0)),""))</f>
        <v>13650</v>
      </c>
      <c r="I171" s="114" t="e">
        <f t="shared" ca="1" si="56"/>
        <v>#NAME?</v>
      </c>
      <c r="J171" s="114">
        <f t="shared" si="57"/>
        <v>9020</v>
      </c>
      <c r="K171" s="114" t="e">
        <f t="shared" ca="1" si="58"/>
        <v>#NAME?</v>
      </c>
      <c r="L171" s="134" t="e">
        <f t="shared" ca="1" si="59"/>
        <v>#NAME?</v>
      </c>
      <c r="M171" s="114" t="e" cm="1">
        <f t="array" aca="1" ref="M171" ca="1">_xlfn.IFS(L171&gt;=70%,"Alta",L171&gt;20%,"Média",L171&lt;=20%,"Baixa")</f>
        <v>#NAME?</v>
      </c>
      <c r="N171" s="212" t="s">
        <v>215</v>
      </c>
      <c r="O171" s="145">
        <f t="shared" si="55"/>
        <v>9020</v>
      </c>
      <c r="P171" s="118">
        <v>0</v>
      </c>
      <c r="Q171" s="118">
        <v>8840</v>
      </c>
      <c r="R171" s="118">
        <v>9200</v>
      </c>
      <c r="S171" s="118">
        <v>0</v>
      </c>
      <c r="T171" s="118">
        <v>0</v>
      </c>
    </row>
    <row r="172" spans="2:20" ht="14.25" customHeight="1" x14ac:dyDescent="0.25">
      <c r="B172" s="200" t="s">
        <v>217</v>
      </c>
      <c r="C172" s="191" t="str">
        <f t="shared" ref="C172" si="68">B172&amp; " " &amp;D172</f>
        <v>Tech Lead Sênior</v>
      </c>
      <c r="D172" s="192" t="s">
        <v>101</v>
      </c>
      <c r="E172" s="213">
        <f t="shared" si="52"/>
        <v>10400</v>
      </c>
      <c r="F172" s="248">
        <v>13000</v>
      </c>
      <c r="G172" s="214">
        <f t="shared" si="60"/>
        <v>2600</v>
      </c>
      <c r="H172" s="129">
        <f t="shared" si="67"/>
        <v>16900</v>
      </c>
      <c r="I172" s="114" t="e">
        <f t="shared" ca="1" si="56"/>
        <v>#NAME?</v>
      </c>
      <c r="J172" s="114">
        <f t="shared" si="57"/>
        <v>11775</v>
      </c>
      <c r="K172" s="114" t="e">
        <f t="shared" ca="1" si="58"/>
        <v>#NAME?</v>
      </c>
      <c r="L172" s="134" t="e">
        <f t="shared" ca="1" si="59"/>
        <v>#NAME?</v>
      </c>
      <c r="M172" s="114" t="e" cm="1">
        <f t="array" aca="1" ref="M172" ca="1">_xlfn.IFS(L172&gt;=70%,"Alta",L172&gt;20%,"Média",L172&lt;=20%,"Baixa")</f>
        <v>#NAME?</v>
      </c>
      <c r="N172" s="212" t="s">
        <v>215</v>
      </c>
      <c r="O172" s="145">
        <f t="shared" si="55"/>
        <v>11775</v>
      </c>
      <c r="P172" s="118">
        <v>0</v>
      </c>
      <c r="Q172" s="118">
        <v>11050</v>
      </c>
      <c r="R172" s="118">
        <v>12500</v>
      </c>
      <c r="S172" s="118">
        <v>0</v>
      </c>
      <c r="T172" s="118">
        <v>0</v>
      </c>
    </row>
    <row r="173" spans="2:20" ht="14.25" hidden="1" customHeight="1" x14ac:dyDescent="0.25">
      <c r="B173" s="200" t="s">
        <v>186</v>
      </c>
      <c r="C173" s="199" t="str">
        <f t="shared" si="61"/>
        <v>UX Research - Especialista</v>
      </c>
      <c r="D173" s="192" t="s">
        <v>100</v>
      </c>
      <c r="E173" s="213">
        <f t="shared" si="52"/>
        <v>8800</v>
      </c>
      <c r="F173" s="213">
        <v>11000</v>
      </c>
      <c r="G173" s="214">
        <f t="shared" si="60"/>
        <v>2200</v>
      </c>
      <c r="H173" s="129">
        <f t="shared" si="62"/>
        <v>11440</v>
      </c>
      <c r="I173" s="114" t="e">
        <f t="shared" ca="1" si="56"/>
        <v>#NAME?</v>
      </c>
      <c r="J173" s="114">
        <f t="shared" si="57"/>
        <v>10693.25</v>
      </c>
      <c r="K173" s="114" t="e">
        <f t="shared" ca="1" si="58"/>
        <v>#NAME?</v>
      </c>
      <c r="L173" s="134" t="e">
        <f t="shared" ca="1" si="59"/>
        <v>#NAME?</v>
      </c>
      <c r="M173" s="114" t="e" cm="1">
        <f t="array" aca="1" ref="M173" ca="1">_xlfn.IFS(L173&gt;=70%,"Alta",L173&gt;20%,"Média",L173&lt;=20%,"Baixa")</f>
        <v>#NAME?</v>
      </c>
      <c r="N173" s="114"/>
      <c r="O173" s="145">
        <f t="shared" si="55"/>
        <v>10693.25</v>
      </c>
      <c r="P173" s="118">
        <v>0</v>
      </c>
      <c r="Q173" s="118">
        <v>9886.5</v>
      </c>
      <c r="R173" s="118">
        <v>11500</v>
      </c>
      <c r="S173" s="118">
        <v>0</v>
      </c>
      <c r="T173" s="118">
        <v>0</v>
      </c>
    </row>
    <row r="174" spans="2:20" ht="14.25" hidden="1" customHeight="1" x14ac:dyDescent="0.25">
      <c r="B174" s="200" t="s">
        <v>183</v>
      </c>
      <c r="C174" s="199" t="str">
        <f t="shared" si="61"/>
        <v>UX Research - Junior</v>
      </c>
      <c r="D174" s="192" t="s">
        <v>100</v>
      </c>
      <c r="E174" s="213">
        <f t="shared" si="52"/>
        <v>3200</v>
      </c>
      <c r="F174" s="213">
        <v>4000</v>
      </c>
      <c r="G174" s="214">
        <f t="shared" si="60"/>
        <v>800</v>
      </c>
      <c r="H174" s="129">
        <f t="shared" si="62"/>
        <v>4160</v>
      </c>
      <c r="I174" s="114" t="e">
        <f t="shared" ca="1" si="56"/>
        <v>#NAME?</v>
      </c>
      <c r="J174" s="114">
        <f t="shared" si="57"/>
        <v>4350</v>
      </c>
      <c r="K174" s="114" t="e">
        <f t="shared" ca="1" si="58"/>
        <v>#NAME?</v>
      </c>
      <c r="L174" s="134" t="e">
        <f t="shared" ca="1" si="59"/>
        <v>#NAME?</v>
      </c>
      <c r="M174" s="114" t="e" cm="1">
        <f t="array" aca="1" ref="M174" ca="1">_xlfn.IFS(L174&gt;=70%,"Alta",L174&gt;20%,"Média",L174&lt;=20%,"Baixa")</f>
        <v>#NAME?</v>
      </c>
      <c r="N174" s="114"/>
      <c r="O174" s="145">
        <f t="shared" si="55"/>
        <v>4350</v>
      </c>
      <c r="P174" s="118">
        <v>0</v>
      </c>
      <c r="Q174" s="118">
        <v>5200</v>
      </c>
      <c r="R174" s="118">
        <v>3500</v>
      </c>
      <c r="S174" s="118">
        <v>0</v>
      </c>
      <c r="T174" s="118">
        <v>0</v>
      </c>
    </row>
    <row r="175" spans="2:20" ht="14.25" hidden="1" customHeight="1" x14ac:dyDescent="0.25">
      <c r="B175" s="200" t="s">
        <v>184</v>
      </c>
      <c r="C175" s="199" t="str">
        <f t="shared" si="61"/>
        <v>UX Research - Pleno</v>
      </c>
      <c r="D175" s="192" t="s">
        <v>100</v>
      </c>
      <c r="E175" s="213">
        <f t="shared" si="52"/>
        <v>5600</v>
      </c>
      <c r="F175" s="213">
        <v>7000</v>
      </c>
      <c r="G175" s="214">
        <f t="shared" si="60"/>
        <v>1400</v>
      </c>
      <c r="H175" s="129">
        <f t="shared" si="62"/>
        <v>7280</v>
      </c>
      <c r="I175" s="114" t="e">
        <f t="shared" ca="1" si="56"/>
        <v>#NAME?</v>
      </c>
      <c r="J175" s="114">
        <f t="shared" si="57"/>
        <v>6630</v>
      </c>
      <c r="K175" s="114" t="e">
        <f t="shared" ca="1" si="58"/>
        <v>#NAME?</v>
      </c>
      <c r="L175" s="134" t="e">
        <f t="shared" ca="1" si="59"/>
        <v>#NAME?</v>
      </c>
      <c r="M175" s="114" t="e" cm="1">
        <f t="array" aca="1" ref="M175" ca="1">_xlfn.IFS(L175&gt;=70%,"Alta",L175&gt;20%,"Média",L175&lt;=20%,"Baixa")</f>
        <v>#NAME?</v>
      </c>
      <c r="N175" s="114"/>
      <c r="O175" s="145">
        <f t="shared" si="55"/>
        <v>6630</v>
      </c>
      <c r="P175" s="118">
        <v>0</v>
      </c>
      <c r="Q175" s="118">
        <v>6760</v>
      </c>
      <c r="R175" s="118">
        <v>6500</v>
      </c>
      <c r="S175" s="118">
        <v>0</v>
      </c>
      <c r="T175" s="118">
        <v>0</v>
      </c>
    </row>
    <row r="176" spans="2:20" ht="14.25" hidden="1" customHeight="1" x14ac:dyDescent="0.25">
      <c r="B176" s="200" t="s">
        <v>185</v>
      </c>
      <c r="C176" s="199" t="str">
        <f t="shared" si="61"/>
        <v>UX Research - Senior</v>
      </c>
      <c r="D176" s="192" t="s">
        <v>100</v>
      </c>
      <c r="E176" s="213">
        <f t="shared" si="52"/>
        <v>7600</v>
      </c>
      <c r="F176" s="213">
        <v>9500</v>
      </c>
      <c r="G176" s="214">
        <f t="shared" si="60"/>
        <v>1900</v>
      </c>
      <c r="H176" s="195">
        <f t="shared" si="62"/>
        <v>9880</v>
      </c>
      <c r="I176" s="114" t="e">
        <f t="shared" ca="1" si="56"/>
        <v>#NAME?</v>
      </c>
      <c r="J176" s="114">
        <f t="shared" si="57"/>
        <v>8675</v>
      </c>
      <c r="K176" s="114" t="e">
        <f t="shared" ca="1" si="58"/>
        <v>#NAME?</v>
      </c>
      <c r="L176" s="134" t="e">
        <f t="shared" ca="1" si="59"/>
        <v>#NAME?</v>
      </c>
      <c r="M176" s="114" t="e" cm="1">
        <f t="array" aca="1" ref="M176" ca="1">_xlfn.IFS(L176&gt;=70%,"Alta",L176&gt;20%,"Média",L176&lt;=20%,"Baixa")</f>
        <v>#NAME?</v>
      </c>
      <c r="N176" s="114"/>
      <c r="O176" s="145">
        <f t="shared" si="55"/>
        <v>8675</v>
      </c>
      <c r="P176" s="118">
        <v>0</v>
      </c>
      <c r="Q176" s="118">
        <v>8450</v>
      </c>
      <c r="R176" s="118">
        <v>8900</v>
      </c>
      <c r="S176" s="118">
        <v>0</v>
      </c>
      <c r="T176" s="118">
        <v>0</v>
      </c>
    </row>
    <row r="177" spans="2:18" ht="14.25" customHeight="1" x14ac:dyDescent="0.25">
      <c r="B177" s="143" t="s">
        <v>243</v>
      </c>
      <c r="C177" s="191" t="str">
        <f t="shared" ref="C177:C221" si="69">B177&amp; " " &amp;D177</f>
        <v>Analista de SI – Gestão de Acessos/ Identidade Júnior</v>
      </c>
      <c r="D177" s="192" t="s">
        <v>99</v>
      </c>
      <c r="E177" s="213">
        <f t="shared" si="52"/>
        <v>2800</v>
      </c>
      <c r="F177" s="249">
        <v>3500</v>
      </c>
      <c r="G177" s="214">
        <f t="shared" si="60"/>
        <v>700</v>
      </c>
      <c r="H177" s="129">
        <f t="shared" ref="H177:H182" si="70">F177+(F177*IF(D177&lt;&gt;"",IF(D177&lt;&gt;"",VLOOKUP(D177,$D$3:$F$9,2,0)),""))</f>
        <v>4550</v>
      </c>
      <c r="I177" s="193" t="e">
        <f t="shared" ref="I177" ca="1" si="71">_xlfn.MINIFS(Q177:T177,Q177:T177,"&gt;0",Q177:T177,"&lt;&gt;"&amp;"")</f>
        <v>#NAME?</v>
      </c>
      <c r="J177" s="114">
        <v>0</v>
      </c>
      <c r="K177" s="114" t="e">
        <f t="shared" ref="K177" ca="1" si="72">_xlfn.MAXIFS(Q177:T177,Q177:T177,"&gt;0",Q177:T177,"&lt;&gt;"&amp;"")</f>
        <v>#NAME?</v>
      </c>
      <c r="L177" s="134" t="e">
        <f t="shared" ref="L177" ca="1" si="73">(K177-I177)/I177</f>
        <v>#NAME?</v>
      </c>
      <c r="M177" s="114" t="e" cm="1">
        <f t="array" aca="1" ref="M177" ca="1">_xlfn.IFS(L177&gt;=70%,"Alta",L177&gt;20%,"Média",L177&lt;=20%,"Baixa")</f>
        <v>#NAME?</v>
      </c>
      <c r="N177" s="212" t="s">
        <v>215</v>
      </c>
      <c r="O177" s="145">
        <f t="shared" ref="O177" si="74">J177</f>
        <v>0</v>
      </c>
      <c r="P177" s="118">
        <v>0</v>
      </c>
      <c r="Q177" s="118"/>
      <c r="R177" s="118">
        <v>0</v>
      </c>
    </row>
    <row r="178" spans="2:18" ht="14.25" customHeight="1" x14ac:dyDescent="0.25">
      <c r="B178" s="143" t="s">
        <v>243</v>
      </c>
      <c r="C178" s="191" t="str">
        <f t="shared" si="69"/>
        <v>Analista de SI – Gestão de Acessos/ Identidade Pleno</v>
      </c>
      <c r="D178" s="192" t="s">
        <v>100</v>
      </c>
      <c r="E178" s="213">
        <f t="shared" si="52"/>
        <v>3840</v>
      </c>
      <c r="F178" s="249">
        <v>4800</v>
      </c>
      <c r="G178" s="214">
        <f t="shared" si="60"/>
        <v>960</v>
      </c>
      <c r="H178" s="129">
        <f t="shared" si="70"/>
        <v>6240</v>
      </c>
      <c r="I178" s="194"/>
      <c r="J178" s="14"/>
      <c r="K178" s="14"/>
      <c r="L178" s="135"/>
      <c r="M178" s="14"/>
      <c r="N178" s="212" t="s">
        <v>215</v>
      </c>
      <c r="O178" s="14"/>
    </row>
    <row r="179" spans="2:18" ht="14.25" customHeight="1" x14ac:dyDescent="0.25">
      <c r="B179" s="143" t="s">
        <v>243</v>
      </c>
      <c r="C179" s="191" t="str">
        <f t="shared" si="69"/>
        <v>Analista de SI – Gestão de Acessos/ Identidade Sênior</v>
      </c>
      <c r="D179" s="192" t="s">
        <v>101</v>
      </c>
      <c r="E179" s="213">
        <f t="shared" si="52"/>
        <v>6400</v>
      </c>
      <c r="F179" s="249">
        <v>8000</v>
      </c>
      <c r="G179" s="214">
        <f t="shared" si="60"/>
        <v>1600</v>
      </c>
      <c r="H179" s="129">
        <f t="shared" si="70"/>
        <v>10400</v>
      </c>
      <c r="I179" s="194"/>
      <c r="J179" s="14"/>
      <c r="K179" s="14"/>
      <c r="L179" s="135"/>
      <c r="M179" s="14"/>
      <c r="N179" s="212" t="s">
        <v>215</v>
      </c>
      <c r="O179" s="14"/>
    </row>
    <row r="180" spans="2:18" ht="14.25" customHeight="1" x14ac:dyDescent="0.25">
      <c r="B180" s="143" t="s">
        <v>242</v>
      </c>
      <c r="C180" s="191" t="str">
        <f t="shared" si="69"/>
        <v>Analista de Segurança da Informação Especialista</v>
      </c>
      <c r="D180" s="192" t="s">
        <v>103</v>
      </c>
      <c r="E180" s="213">
        <f>F180-G180</f>
        <v>11600</v>
      </c>
      <c r="F180" s="249">
        <v>14500</v>
      </c>
      <c r="G180" s="214">
        <f>F180*$G$9</f>
        <v>2900</v>
      </c>
      <c r="H180" s="129">
        <f t="shared" si="70"/>
        <v>18850</v>
      </c>
      <c r="I180" s="194"/>
      <c r="J180" s="14"/>
      <c r="K180" s="14"/>
      <c r="L180" s="135"/>
      <c r="M180" s="14"/>
      <c r="N180" s="212" t="s">
        <v>215</v>
      </c>
      <c r="O180" s="14"/>
    </row>
    <row r="181" spans="2:18" ht="14.25" customHeight="1" x14ac:dyDescent="0.25">
      <c r="B181" s="143" t="s">
        <v>242</v>
      </c>
      <c r="C181" s="191" t="str">
        <f t="shared" si="69"/>
        <v>Analista de Segurança da Informação Júnior</v>
      </c>
      <c r="D181" s="192" t="s">
        <v>99</v>
      </c>
      <c r="E181" s="213">
        <f t="shared" si="52"/>
        <v>4400</v>
      </c>
      <c r="F181" s="249">
        <v>5500</v>
      </c>
      <c r="G181" s="214">
        <f t="shared" si="60"/>
        <v>1100</v>
      </c>
      <c r="H181" s="129">
        <f t="shared" si="70"/>
        <v>7150</v>
      </c>
      <c r="I181" s="194"/>
      <c r="J181" s="14"/>
      <c r="K181" s="14"/>
      <c r="L181" s="135"/>
      <c r="M181" s="14"/>
      <c r="N181" s="212" t="s">
        <v>215</v>
      </c>
      <c r="O181" s="14"/>
    </row>
    <row r="182" spans="2:18" ht="14.25" customHeight="1" x14ac:dyDescent="0.25">
      <c r="B182" s="143" t="s">
        <v>242</v>
      </c>
      <c r="C182" s="191" t="str">
        <f t="shared" si="69"/>
        <v>Analista de Segurança da Informação Pleno</v>
      </c>
      <c r="D182" s="192" t="s">
        <v>100</v>
      </c>
      <c r="E182" s="213">
        <f t="shared" si="52"/>
        <v>6800</v>
      </c>
      <c r="F182" s="249">
        <v>8500</v>
      </c>
      <c r="G182" s="214">
        <f t="shared" si="60"/>
        <v>1700</v>
      </c>
      <c r="H182" s="129">
        <f t="shared" si="70"/>
        <v>11050</v>
      </c>
      <c r="I182" s="194"/>
      <c r="J182" s="14"/>
      <c r="K182" s="14"/>
      <c r="L182" s="135"/>
      <c r="M182" s="14"/>
      <c r="N182" s="212" t="s">
        <v>215</v>
      </c>
      <c r="O182" s="14"/>
    </row>
    <row r="183" spans="2:18" ht="14.25" customHeight="1" x14ac:dyDescent="0.25">
      <c r="B183" s="143" t="s">
        <v>242</v>
      </c>
      <c r="C183" s="191" t="str">
        <f t="shared" si="69"/>
        <v>Analista de Segurança da Informação Sênior</v>
      </c>
      <c r="D183" s="192" t="s">
        <v>101</v>
      </c>
      <c r="E183" s="213">
        <f>F183-G183</f>
        <v>10400</v>
      </c>
      <c r="F183" s="249">
        <v>13000</v>
      </c>
      <c r="G183" s="214">
        <f t="shared" si="60"/>
        <v>2600</v>
      </c>
      <c r="H183" s="129">
        <f>F183+(F183*IF(D183&lt;&gt;"",IF(D183&lt;&gt;"",VLOOKUP(D183,$D$3:$F$9,2,0)),""))</f>
        <v>16900</v>
      </c>
      <c r="I183" s="194"/>
      <c r="J183" s="14"/>
      <c r="K183" s="14"/>
      <c r="L183" s="135"/>
      <c r="M183" s="14"/>
      <c r="N183" s="212" t="s">
        <v>215</v>
      </c>
      <c r="O183" s="14"/>
    </row>
    <row r="184" spans="2:18" ht="14.25" customHeight="1" x14ac:dyDescent="0.25">
      <c r="B184" s="143" t="s">
        <v>369</v>
      </c>
      <c r="C184" s="191" t="str">
        <f t="shared" si="69"/>
        <v>Coordenador de T.I. Sênior</v>
      </c>
      <c r="D184" s="192" t="s">
        <v>101</v>
      </c>
      <c r="E184" s="213">
        <f>F184-G184</f>
        <v>12000</v>
      </c>
      <c r="F184" s="249">
        <v>15000</v>
      </c>
      <c r="G184" s="214">
        <f t="shared" si="60"/>
        <v>3000</v>
      </c>
      <c r="H184" s="129">
        <f>F184+(F184*IF(D184&lt;&gt;"",IF(D184&lt;&gt;"",VLOOKUP(D184,$D$3:$F$9,2,0)),""))</f>
        <v>19500</v>
      </c>
      <c r="I184" s="14"/>
      <c r="J184" s="14"/>
      <c r="K184" s="14"/>
      <c r="L184" s="135"/>
      <c r="M184" s="14"/>
      <c r="N184" s="212" t="s">
        <v>215</v>
      </c>
      <c r="O184" s="14"/>
    </row>
    <row r="185" spans="2:18" ht="14.25" hidden="1" customHeight="1" x14ac:dyDescent="0.25">
      <c r="B185" s="143" t="s">
        <v>212</v>
      </c>
      <c r="C185" s="191" t="str">
        <f t="shared" si="69"/>
        <v>Analista de privacidade Júnior</v>
      </c>
      <c r="D185" s="192" t="s">
        <v>99</v>
      </c>
      <c r="E185" s="213">
        <f t="shared" si="52"/>
        <v>4400</v>
      </c>
      <c r="F185" s="214">
        <v>5500</v>
      </c>
      <c r="G185" s="214">
        <f t="shared" si="60"/>
        <v>1100</v>
      </c>
      <c r="H185" s="196">
        <f t="shared" ref="H185:H186" si="75">E185+(E185*IF(D185&lt;&gt;"",IF(D185&lt;&gt;"",VLOOKUP(D185,$D$3:$E$9,2,0)),""))</f>
        <v>5720</v>
      </c>
      <c r="I185" s="14"/>
      <c r="J185" s="14"/>
      <c r="K185" s="14"/>
      <c r="L185" s="135"/>
      <c r="M185" s="14"/>
      <c r="N185" s="14"/>
      <c r="O185" s="14"/>
    </row>
    <row r="186" spans="2:18" ht="21" hidden="1" customHeight="1" x14ac:dyDescent="0.25">
      <c r="B186" s="143" t="s">
        <v>213</v>
      </c>
      <c r="C186" s="191" t="str">
        <f t="shared" si="69"/>
        <v>Analista de continuidade de negócios Júnior</v>
      </c>
      <c r="D186" s="192" t="s">
        <v>99</v>
      </c>
      <c r="E186" s="213">
        <f t="shared" si="52"/>
        <v>4400</v>
      </c>
      <c r="F186" s="214">
        <v>5500</v>
      </c>
      <c r="G186" s="214">
        <f t="shared" si="60"/>
        <v>1100</v>
      </c>
      <c r="H186" s="196">
        <f t="shared" si="75"/>
        <v>5720</v>
      </c>
      <c r="I186" s="14"/>
      <c r="J186" s="14"/>
      <c r="K186" s="14"/>
      <c r="L186" s="135"/>
      <c r="M186" s="14"/>
      <c r="N186" s="14"/>
      <c r="O186" s="14"/>
    </row>
    <row r="187" spans="2:18" ht="14.25" customHeight="1" x14ac:dyDescent="0.25">
      <c r="B187" s="200" t="s">
        <v>1425</v>
      </c>
      <c r="C187" s="191" t="str">
        <f t="shared" si="69"/>
        <v>Consultor SAP SuccessFactors / Ariba Especialista</v>
      </c>
      <c r="D187" s="192" t="s">
        <v>103</v>
      </c>
      <c r="E187" s="213">
        <f t="shared" ref="E187:E198" si="76">F187-G187</f>
        <v>20000</v>
      </c>
      <c r="F187" s="248">
        <v>25000</v>
      </c>
      <c r="G187" s="214">
        <f t="shared" si="60"/>
        <v>5000</v>
      </c>
      <c r="H187" s="129">
        <f t="shared" ref="H187:H198" si="77">F187+(F187*IF(D187&lt;&gt;"",IF(D187&lt;&gt;"",VLOOKUP(D187,$D$3:$F$9,2,0)),""))</f>
        <v>32500</v>
      </c>
      <c r="I187" s="212" t="s">
        <v>215</v>
      </c>
      <c r="J187" s="14"/>
      <c r="K187" s="14"/>
      <c r="L187" s="135"/>
      <c r="M187" s="14"/>
      <c r="N187" s="212" t="s">
        <v>215</v>
      </c>
      <c r="O187" s="14"/>
    </row>
    <row r="188" spans="2:18" ht="14.25" customHeight="1" x14ac:dyDescent="0.25">
      <c r="B188" s="200" t="s">
        <v>1425</v>
      </c>
      <c r="C188" s="191" t="str">
        <f t="shared" si="69"/>
        <v>Consultor SAP SuccessFactors / Ariba Júnior</v>
      </c>
      <c r="D188" s="192" t="s">
        <v>99</v>
      </c>
      <c r="E188" s="213">
        <f t="shared" si="76"/>
        <v>6400</v>
      </c>
      <c r="F188" s="248">
        <v>8000</v>
      </c>
      <c r="G188" s="214">
        <f t="shared" si="60"/>
        <v>1600</v>
      </c>
      <c r="H188" s="129">
        <f t="shared" si="77"/>
        <v>10400</v>
      </c>
      <c r="I188" s="212" t="s">
        <v>215</v>
      </c>
      <c r="J188" s="14"/>
      <c r="K188" s="14"/>
      <c r="L188" s="135"/>
      <c r="M188" s="14"/>
      <c r="N188" s="212" t="s">
        <v>215</v>
      </c>
      <c r="O188" s="14"/>
    </row>
    <row r="189" spans="2:18" ht="14.25" customHeight="1" x14ac:dyDescent="0.25">
      <c r="B189" s="200" t="s">
        <v>1425</v>
      </c>
      <c r="C189" s="191" t="str">
        <f t="shared" si="69"/>
        <v>Consultor SAP SuccessFactors / Ariba Pleno</v>
      </c>
      <c r="D189" s="192" t="s">
        <v>100</v>
      </c>
      <c r="E189" s="213">
        <f t="shared" si="76"/>
        <v>11200</v>
      </c>
      <c r="F189" s="248">
        <v>14000</v>
      </c>
      <c r="G189" s="214">
        <f t="shared" si="60"/>
        <v>2800</v>
      </c>
      <c r="H189" s="129">
        <f t="shared" si="77"/>
        <v>18200</v>
      </c>
      <c r="I189" s="212" t="s">
        <v>215</v>
      </c>
      <c r="J189" s="14"/>
      <c r="K189" s="14"/>
      <c r="L189" s="135"/>
      <c r="M189" s="14"/>
      <c r="N189" s="212" t="s">
        <v>215</v>
      </c>
      <c r="O189" s="14"/>
    </row>
    <row r="190" spans="2:18" ht="14.25" customHeight="1" x14ac:dyDescent="0.25">
      <c r="B190" s="240" t="s">
        <v>1425</v>
      </c>
      <c r="C190" s="241" t="str">
        <f t="shared" si="69"/>
        <v>Consultor SAP SuccessFactors / Ariba Sênior</v>
      </c>
      <c r="D190" s="197" t="s">
        <v>101</v>
      </c>
      <c r="E190" s="213">
        <f t="shared" si="76"/>
        <v>16400</v>
      </c>
      <c r="F190" s="248">
        <v>20500</v>
      </c>
      <c r="G190" s="214">
        <f t="shared" si="60"/>
        <v>4100</v>
      </c>
      <c r="H190" s="129">
        <f t="shared" si="77"/>
        <v>26650</v>
      </c>
      <c r="I190" s="212" t="s">
        <v>215</v>
      </c>
      <c r="J190" s="14"/>
      <c r="K190" s="14"/>
      <c r="L190" s="135"/>
      <c r="M190" s="14"/>
      <c r="N190" s="212" t="s">
        <v>215</v>
      </c>
      <c r="O190" s="14"/>
    </row>
    <row r="191" spans="2:18" ht="14.25" customHeight="1" x14ac:dyDescent="0.25">
      <c r="B191" s="242" t="s">
        <v>1426</v>
      </c>
      <c r="C191" s="243" t="str">
        <f t="shared" si="69"/>
        <v>Consultor SAP MM/SD Especialista</v>
      </c>
      <c r="D191" s="244" t="s">
        <v>103</v>
      </c>
      <c r="E191" s="213">
        <f t="shared" si="76"/>
        <v>20000</v>
      </c>
      <c r="F191" s="248">
        <v>25000</v>
      </c>
      <c r="G191" s="214">
        <f t="shared" si="60"/>
        <v>5000</v>
      </c>
      <c r="H191" s="129">
        <f t="shared" si="77"/>
        <v>32500</v>
      </c>
      <c r="I191" s="14"/>
      <c r="J191" s="14"/>
      <c r="K191" s="14"/>
      <c r="L191" s="135"/>
      <c r="M191" s="14"/>
      <c r="N191" s="212" t="s">
        <v>215</v>
      </c>
      <c r="O191" s="14"/>
    </row>
    <row r="192" spans="2:18" ht="14.25" customHeight="1" x14ac:dyDescent="0.25">
      <c r="B192" s="242" t="s">
        <v>1426</v>
      </c>
      <c r="C192" s="243" t="str">
        <f t="shared" si="69"/>
        <v>Consultor SAP MM/SD Júnior</v>
      </c>
      <c r="D192" s="244" t="s">
        <v>99</v>
      </c>
      <c r="E192" s="213">
        <f t="shared" si="76"/>
        <v>6560</v>
      </c>
      <c r="F192" s="248">
        <v>8200</v>
      </c>
      <c r="G192" s="214">
        <f t="shared" si="60"/>
        <v>1640</v>
      </c>
      <c r="H192" s="129">
        <f t="shared" si="77"/>
        <v>10660</v>
      </c>
      <c r="I192" s="14"/>
      <c r="J192" s="14"/>
      <c r="K192" s="14"/>
      <c r="L192" s="135"/>
      <c r="M192" s="14"/>
      <c r="N192" s="212" t="s">
        <v>215</v>
      </c>
      <c r="O192" s="14"/>
    </row>
    <row r="193" spans="2:15" ht="14.25" customHeight="1" x14ac:dyDescent="0.25">
      <c r="B193" s="242" t="s">
        <v>1426</v>
      </c>
      <c r="C193" s="243" t="str">
        <f t="shared" si="69"/>
        <v>Consultor SAP MM/SD Pleno</v>
      </c>
      <c r="D193" s="244" t="s">
        <v>100</v>
      </c>
      <c r="E193" s="213">
        <f t="shared" si="76"/>
        <v>11200</v>
      </c>
      <c r="F193" s="248">
        <v>14000</v>
      </c>
      <c r="G193" s="214">
        <f t="shared" si="60"/>
        <v>2800</v>
      </c>
      <c r="H193" s="129">
        <f t="shared" si="77"/>
        <v>18200</v>
      </c>
      <c r="I193" s="14"/>
      <c r="J193" s="14"/>
      <c r="K193" s="14"/>
      <c r="L193" s="135"/>
      <c r="M193" s="14"/>
      <c r="N193" s="212" t="s">
        <v>215</v>
      </c>
      <c r="O193" s="14"/>
    </row>
    <row r="194" spans="2:15" ht="14.25" customHeight="1" x14ac:dyDescent="0.25">
      <c r="B194" s="242" t="s">
        <v>1426</v>
      </c>
      <c r="C194" s="243" t="str">
        <f t="shared" si="69"/>
        <v>Consultor SAP MM/SD Sênior</v>
      </c>
      <c r="D194" s="244" t="s">
        <v>101</v>
      </c>
      <c r="E194" s="213">
        <f t="shared" si="76"/>
        <v>16400</v>
      </c>
      <c r="F194" s="248">
        <v>20500</v>
      </c>
      <c r="G194" s="214">
        <f t="shared" si="60"/>
        <v>4100</v>
      </c>
      <c r="H194" s="129">
        <f t="shared" si="77"/>
        <v>26650</v>
      </c>
      <c r="I194" s="14"/>
      <c r="J194" s="14"/>
      <c r="K194" s="14"/>
      <c r="L194" s="135"/>
      <c r="M194" s="14"/>
      <c r="N194" s="212" t="s">
        <v>215</v>
      </c>
      <c r="O194" s="14"/>
    </row>
    <row r="195" spans="2:15" ht="14.25" customHeight="1" x14ac:dyDescent="0.25">
      <c r="B195" s="242" t="s">
        <v>1427</v>
      </c>
      <c r="C195" s="243" t="str">
        <f t="shared" si="69"/>
        <v>Consultor SAP FI/CO Especialista</v>
      </c>
      <c r="D195" s="244" t="s">
        <v>103</v>
      </c>
      <c r="E195" s="213">
        <f t="shared" si="76"/>
        <v>23200</v>
      </c>
      <c r="F195" s="248">
        <v>29000</v>
      </c>
      <c r="G195" s="214">
        <f t="shared" si="60"/>
        <v>5800</v>
      </c>
      <c r="H195" s="129">
        <f t="shared" si="77"/>
        <v>37700</v>
      </c>
      <c r="I195" s="212" t="s">
        <v>215</v>
      </c>
      <c r="J195" s="14"/>
      <c r="K195" s="14"/>
      <c r="L195" s="135"/>
      <c r="M195" s="14"/>
      <c r="N195" s="212" t="s">
        <v>215</v>
      </c>
      <c r="O195" s="14"/>
    </row>
    <row r="196" spans="2:15" ht="14.25" customHeight="1" x14ac:dyDescent="0.25">
      <c r="B196" s="242" t="s">
        <v>1427</v>
      </c>
      <c r="C196" s="243" t="str">
        <f t="shared" si="69"/>
        <v>Consultor SAP FI/CO Júnior</v>
      </c>
      <c r="D196" s="244" t="s">
        <v>99</v>
      </c>
      <c r="E196" s="213">
        <f t="shared" si="76"/>
        <v>7040</v>
      </c>
      <c r="F196" s="248">
        <v>8800</v>
      </c>
      <c r="G196" s="214">
        <f t="shared" si="60"/>
        <v>1760</v>
      </c>
      <c r="H196" s="129">
        <f t="shared" si="77"/>
        <v>11440</v>
      </c>
      <c r="I196" s="212" t="s">
        <v>215</v>
      </c>
      <c r="J196" s="14"/>
      <c r="K196" s="14"/>
      <c r="L196" s="135"/>
      <c r="M196" s="14"/>
      <c r="N196" s="212" t="s">
        <v>215</v>
      </c>
      <c r="O196" s="14"/>
    </row>
    <row r="197" spans="2:15" ht="14.25" customHeight="1" x14ac:dyDescent="0.25">
      <c r="B197" s="242" t="s">
        <v>1427</v>
      </c>
      <c r="C197" s="243" t="str">
        <f t="shared" si="69"/>
        <v>Consultor SAP FI/CO Pleno</v>
      </c>
      <c r="D197" s="244" t="s">
        <v>100</v>
      </c>
      <c r="E197" s="213">
        <f t="shared" si="76"/>
        <v>12400</v>
      </c>
      <c r="F197" s="248">
        <v>15500</v>
      </c>
      <c r="G197" s="214">
        <f t="shared" si="60"/>
        <v>3100</v>
      </c>
      <c r="H197" s="129">
        <f t="shared" si="77"/>
        <v>20150</v>
      </c>
      <c r="I197" s="212" t="s">
        <v>215</v>
      </c>
      <c r="J197" s="14"/>
      <c r="K197" s="14"/>
      <c r="L197" s="135"/>
      <c r="M197" s="14"/>
      <c r="N197" s="212" t="s">
        <v>215</v>
      </c>
      <c r="O197" s="14"/>
    </row>
    <row r="198" spans="2:15" ht="14.25" customHeight="1" x14ac:dyDescent="0.25">
      <c r="B198" s="242" t="s">
        <v>1427</v>
      </c>
      <c r="C198" s="243" t="str">
        <f t="shared" si="69"/>
        <v>Consultor SAP FI/CO Sênior</v>
      </c>
      <c r="D198" s="244" t="s">
        <v>101</v>
      </c>
      <c r="E198" s="213">
        <f t="shared" si="76"/>
        <v>16800</v>
      </c>
      <c r="F198" s="248">
        <v>21000</v>
      </c>
      <c r="G198" s="214">
        <f t="shared" si="60"/>
        <v>4200</v>
      </c>
      <c r="H198" s="129">
        <f t="shared" si="77"/>
        <v>27300</v>
      </c>
      <c r="I198" s="212" t="s">
        <v>215</v>
      </c>
      <c r="J198" s="14"/>
      <c r="K198" s="14"/>
      <c r="L198" s="135"/>
      <c r="M198" s="14"/>
      <c r="N198" s="212" t="s">
        <v>215</v>
      </c>
      <c r="O198" s="14"/>
    </row>
    <row r="199" spans="2:15" ht="14.25" customHeight="1" x14ac:dyDescent="0.25">
      <c r="B199" s="242" t="s">
        <v>1428</v>
      </c>
      <c r="C199" s="243" t="str">
        <f t="shared" si="69"/>
        <v>Consultor SAP ABAP Especialista</v>
      </c>
      <c r="D199" s="244" t="s">
        <v>103</v>
      </c>
      <c r="E199" s="213">
        <f t="shared" ref="E199:E221" si="78">F199-G199</f>
        <v>22400</v>
      </c>
      <c r="F199" s="248">
        <v>28000</v>
      </c>
      <c r="G199" s="214">
        <f t="shared" si="60"/>
        <v>5600</v>
      </c>
      <c r="H199" s="129">
        <f t="shared" ref="H199:H221" si="79">F199+(F199*IF(D199&lt;&gt;"",IF(D199&lt;&gt;"",VLOOKUP(D199,$D$3:$F$9,2,0)),""))</f>
        <v>36400</v>
      </c>
      <c r="I199" s="14"/>
      <c r="J199" s="14"/>
      <c r="K199" s="14"/>
      <c r="L199" s="135"/>
      <c r="M199" s="14"/>
      <c r="N199" s="212" t="s">
        <v>215</v>
      </c>
      <c r="O199" s="14"/>
    </row>
    <row r="200" spans="2:15" ht="14.25" customHeight="1" x14ac:dyDescent="0.25">
      <c r="B200" s="242" t="s">
        <v>1428</v>
      </c>
      <c r="C200" s="243" t="str">
        <f t="shared" si="69"/>
        <v>Consultor SAP ABAP Júnior</v>
      </c>
      <c r="D200" s="244" t="s">
        <v>99</v>
      </c>
      <c r="E200" s="213">
        <f t="shared" si="78"/>
        <v>6800</v>
      </c>
      <c r="F200" s="248">
        <v>8500</v>
      </c>
      <c r="G200" s="214">
        <f t="shared" si="60"/>
        <v>1700</v>
      </c>
      <c r="H200" s="129">
        <f t="shared" si="79"/>
        <v>11050</v>
      </c>
      <c r="I200" s="14"/>
      <c r="J200" s="14"/>
      <c r="K200" s="14"/>
      <c r="L200" s="135"/>
      <c r="M200" s="14"/>
      <c r="N200" s="212" t="s">
        <v>215</v>
      </c>
      <c r="O200" s="14"/>
    </row>
    <row r="201" spans="2:15" ht="14.25" customHeight="1" x14ac:dyDescent="0.25">
      <c r="B201" s="242" t="s">
        <v>1428</v>
      </c>
      <c r="C201" s="243" t="str">
        <f t="shared" si="69"/>
        <v>Consultor SAP ABAP Pleno</v>
      </c>
      <c r="D201" s="244" t="s">
        <v>100</v>
      </c>
      <c r="E201" s="213">
        <f t="shared" si="78"/>
        <v>12000</v>
      </c>
      <c r="F201" s="248">
        <v>15000</v>
      </c>
      <c r="G201" s="214">
        <f t="shared" si="60"/>
        <v>3000</v>
      </c>
      <c r="H201" s="129">
        <f t="shared" si="79"/>
        <v>19500</v>
      </c>
      <c r="I201" s="14"/>
      <c r="J201" s="14"/>
      <c r="K201" s="14"/>
      <c r="L201" s="135"/>
      <c r="M201" s="14"/>
      <c r="N201" s="212" t="s">
        <v>215</v>
      </c>
      <c r="O201" s="14"/>
    </row>
    <row r="202" spans="2:15" ht="14.25" customHeight="1" x14ac:dyDescent="0.25">
      <c r="B202" s="242" t="s">
        <v>1428</v>
      </c>
      <c r="C202" s="243" t="str">
        <f t="shared" si="69"/>
        <v>Consultor SAP ABAP Sênior</v>
      </c>
      <c r="D202" s="244" t="s">
        <v>101</v>
      </c>
      <c r="E202" s="213">
        <f t="shared" si="78"/>
        <v>16800</v>
      </c>
      <c r="F202" s="248">
        <v>21000</v>
      </c>
      <c r="G202" s="214">
        <f t="shared" si="60"/>
        <v>4200</v>
      </c>
      <c r="H202" s="129">
        <f t="shared" si="79"/>
        <v>27300</v>
      </c>
      <c r="I202" s="14"/>
      <c r="J202" s="14"/>
      <c r="K202" s="14"/>
      <c r="L202" s="135"/>
      <c r="M202" s="14"/>
      <c r="N202" s="212" t="s">
        <v>215</v>
      </c>
      <c r="O202" s="14"/>
    </row>
    <row r="203" spans="2:15" ht="14.25" customHeight="1" x14ac:dyDescent="0.25">
      <c r="B203" s="242" t="s">
        <v>1449</v>
      </c>
      <c r="C203" s="243" t="str">
        <f t="shared" si="69"/>
        <v>Consultor SAP EWM Especialista</v>
      </c>
      <c r="D203" s="244" t="s">
        <v>103</v>
      </c>
      <c r="E203" s="213">
        <f t="shared" si="78"/>
        <v>22400</v>
      </c>
      <c r="F203" s="248">
        <v>28000</v>
      </c>
      <c r="G203" s="214">
        <f t="shared" si="60"/>
        <v>5600</v>
      </c>
      <c r="H203" s="129">
        <f t="shared" si="79"/>
        <v>36400</v>
      </c>
      <c r="I203" s="14"/>
      <c r="J203" s="14"/>
      <c r="K203" s="14"/>
      <c r="L203" s="135"/>
      <c r="M203" s="14"/>
      <c r="N203" s="212" t="s">
        <v>215</v>
      </c>
      <c r="O203" s="14"/>
    </row>
    <row r="204" spans="2:15" ht="14.25" customHeight="1" x14ac:dyDescent="0.25">
      <c r="B204" s="242" t="s">
        <v>1449</v>
      </c>
      <c r="C204" s="243" t="str">
        <f t="shared" si="69"/>
        <v>Consultor SAP EWM Júnior</v>
      </c>
      <c r="D204" s="244" t="s">
        <v>99</v>
      </c>
      <c r="E204" s="213">
        <f t="shared" si="78"/>
        <v>7200</v>
      </c>
      <c r="F204" s="248">
        <v>9000</v>
      </c>
      <c r="G204" s="214">
        <f t="shared" si="60"/>
        <v>1800</v>
      </c>
      <c r="H204" s="129">
        <f t="shared" si="79"/>
        <v>11700</v>
      </c>
      <c r="I204" s="14"/>
      <c r="J204" s="14"/>
      <c r="K204" s="14"/>
      <c r="L204" s="135"/>
      <c r="M204" s="14"/>
      <c r="N204" s="212" t="s">
        <v>215</v>
      </c>
      <c r="O204" s="14"/>
    </row>
    <row r="205" spans="2:15" ht="14.25" customHeight="1" x14ac:dyDescent="0.25">
      <c r="B205" s="242" t="s">
        <v>1449</v>
      </c>
      <c r="C205" s="243" t="str">
        <f t="shared" si="69"/>
        <v>Consultor SAP EWM Pleno</v>
      </c>
      <c r="D205" s="244" t="s">
        <v>100</v>
      </c>
      <c r="E205" s="213">
        <f t="shared" si="78"/>
        <v>13280</v>
      </c>
      <c r="F205" s="248">
        <v>16600</v>
      </c>
      <c r="G205" s="214">
        <f t="shared" si="60"/>
        <v>3320</v>
      </c>
      <c r="H205" s="129">
        <f t="shared" si="79"/>
        <v>21580</v>
      </c>
      <c r="I205" s="14"/>
      <c r="J205" s="14"/>
      <c r="K205" s="14"/>
      <c r="L205" s="135"/>
      <c r="M205" s="14"/>
      <c r="N205" s="212" t="s">
        <v>215</v>
      </c>
      <c r="O205" s="14"/>
    </row>
    <row r="206" spans="2:15" ht="14.25" customHeight="1" x14ac:dyDescent="0.25">
      <c r="B206" s="242" t="s">
        <v>1449</v>
      </c>
      <c r="C206" s="243" t="str">
        <f t="shared" si="69"/>
        <v>Consultor SAP EWM Sênior</v>
      </c>
      <c r="D206" s="244" t="s">
        <v>101</v>
      </c>
      <c r="E206" s="213">
        <f t="shared" si="78"/>
        <v>17440</v>
      </c>
      <c r="F206" s="248">
        <v>21800</v>
      </c>
      <c r="G206" s="214">
        <f t="shared" si="60"/>
        <v>4360</v>
      </c>
      <c r="H206" s="129">
        <f t="shared" si="79"/>
        <v>28340</v>
      </c>
      <c r="I206" s="14"/>
      <c r="J206" s="14"/>
      <c r="K206" s="14"/>
      <c r="L206" s="135"/>
      <c r="M206" s="14"/>
      <c r="N206" s="212" t="s">
        <v>215</v>
      </c>
      <c r="O206" s="14"/>
    </row>
    <row r="207" spans="2:15" ht="14.25" customHeight="1" x14ac:dyDescent="0.25">
      <c r="B207" s="242" t="s">
        <v>1455</v>
      </c>
      <c r="C207" s="243" t="str">
        <f t="shared" si="69"/>
        <v>Consultor Oracle Netsuite Especialista</v>
      </c>
      <c r="D207" s="244" t="s">
        <v>103</v>
      </c>
      <c r="E207" s="213">
        <f t="shared" si="78"/>
        <v>19200</v>
      </c>
      <c r="F207" s="248">
        <v>24000</v>
      </c>
      <c r="G207" s="214">
        <f t="shared" si="60"/>
        <v>4800</v>
      </c>
      <c r="H207" s="129">
        <f t="shared" si="79"/>
        <v>31200</v>
      </c>
      <c r="I207" s="14"/>
      <c r="J207" s="14"/>
      <c r="K207" s="14"/>
      <c r="L207" s="135"/>
      <c r="M207" s="14"/>
      <c r="N207" s="212" t="s">
        <v>215</v>
      </c>
      <c r="O207" s="14"/>
    </row>
    <row r="208" spans="2:15" ht="14.25" customHeight="1" x14ac:dyDescent="0.25">
      <c r="B208" s="242" t="s">
        <v>1455</v>
      </c>
      <c r="C208" s="243" t="str">
        <f t="shared" si="69"/>
        <v>Consultor Oracle Netsuite Júnior</v>
      </c>
      <c r="D208" s="244" t="s">
        <v>99</v>
      </c>
      <c r="E208" s="213">
        <f t="shared" si="78"/>
        <v>4480</v>
      </c>
      <c r="F208" s="248">
        <v>5600</v>
      </c>
      <c r="G208" s="214">
        <f t="shared" si="60"/>
        <v>1120</v>
      </c>
      <c r="H208" s="129">
        <f t="shared" si="79"/>
        <v>7280</v>
      </c>
      <c r="I208" s="14"/>
      <c r="J208" s="14"/>
      <c r="K208" s="14"/>
      <c r="L208" s="135"/>
      <c r="M208" s="14"/>
      <c r="N208" s="212" t="s">
        <v>215</v>
      </c>
      <c r="O208" s="14"/>
    </row>
    <row r="209" spans="2:15" ht="14.25" customHeight="1" x14ac:dyDescent="0.25">
      <c r="B209" s="242" t="s">
        <v>1455</v>
      </c>
      <c r="C209" s="243" t="str">
        <f t="shared" si="69"/>
        <v>Consultor Oracle Netsuite Pleno</v>
      </c>
      <c r="D209" s="244" t="s">
        <v>100</v>
      </c>
      <c r="E209" s="213">
        <f t="shared" si="78"/>
        <v>8800</v>
      </c>
      <c r="F209" s="248">
        <v>11000</v>
      </c>
      <c r="G209" s="214">
        <f t="shared" si="60"/>
        <v>2200</v>
      </c>
      <c r="H209" s="129">
        <f t="shared" si="79"/>
        <v>14300</v>
      </c>
      <c r="I209" s="14"/>
      <c r="J209" s="14"/>
      <c r="K209" s="14"/>
      <c r="L209" s="135"/>
      <c r="M209" s="14"/>
      <c r="N209" s="212" t="s">
        <v>215</v>
      </c>
      <c r="O209" s="14"/>
    </row>
    <row r="210" spans="2:15" ht="14.25" customHeight="1" x14ac:dyDescent="0.25">
      <c r="B210" s="242" t="s">
        <v>1455</v>
      </c>
      <c r="C210" s="243" t="str">
        <f t="shared" si="69"/>
        <v>Consultor Oracle Netsuite Sênior</v>
      </c>
      <c r="D210" s="244" t="s">
        <v>101</v>
      </c>
      <c r="E210" s="213">
        <f t="shared" si="78"/>
        <v>16000</v>
      </c>
      <c r="F210" s="248">
        <v>20000</v>
      </c>
      <c r="G210" s="214">
        <f t="shared" si="60"/>
        <v>4000</v>
      </c>
      <c r="H210" s="129">
        <f t="shared" si="79"/>
        <v>26000</v>
      </c>
      <c r="I210" s="14"/>
      <c r="J210" s="14"/>
      <c r="K210" s="14"/>
      <c r="L210" s="135"/>
      <c r="M210" s="14"/>
      <c r="N210" s="212" t="s">
        <v>215</v>
      </c>
      <c r="O210" s="14"/>
    </row>
    <row r="211" spans="2:15" ht="14.25" customHeight="1" x14ac:dyDescent="0.25">
      <c r="B211" s="242" t="s">
        <v>1460</v>
      </c>
      <c r="C211" s="243" t="str">
        <f t="shared" si="69"/>
        <v>Analista Oracle Netsuíte Funcional Júnior</v>
      </c>
      <c r="D211" s="244" t="s">
        <v>99</v>
      </c>
      <c r="E211" s="213">
        <f t="shared" si="78"/>
        <v>3440</v>
      </c>
      <c r="F211" s="248">
        <v>4300</v>
      </c>
      <c r="G211" s="214">
        <f t="shared" si="60"/>
        <v>860</v>
      </c>
      <c r="H211" s="129">
        <f t="shared" si="79"/>
        <v>5590</v>
      </c>
      <c r="I211" s="14"/>
      <c r="J211" s="14"/>
      <c r="K211" s="14"/>
      <c r="L211" s="135"/>
      <c r="M211" s="14"/>
      <c r="N211" s="212" t="s">
        <v>215</v>
      </c>
      <c r="O211" s="14"/>
    </row>
    <row r="212" spans="2:15" ht="14.25" customHeight="1" x14ac:dyDescent="0.25">
      <c r="B212" s="242" t="s">
        <v>1460</v>
      </c>
      <c r="C212" s="243" t="str">
        <f t="shared" si="69"/>
        <v>Analista Oracle Netsuíte Funcional Pleno</v>
      </c>
      <c r="D212" s="244" t="s">
        <v>100</v>
      </c>
      <c r="E212" s="213">
        <f t="shared" si="78"/>
        <v>6400</v>
      </c>
      <c r="F212" s="248">
        <v>8000</v>
      </c>
      <c r="G212" s="214">
        <f t="shared" si="60"/>
        <v>1600</v>
      </c>
      <c r="H212" s="129">
        <f t="shared" si="79"/>
        <v>10400</v>
      </c>
      <c r="I212" s="14"/>
      <c r="J212" s="14"/>
      <c r="K212" s="14"/>
      <c r="L212" s="135"/>
      <c r="M212" s="14"/>
      <c r="N212" s="212" t="s">
        <v>215</v>
      </c>
      <c r="O212" s="14"/>
    </row>
    <row r="213" spans="2:15" ht="14.25" customHeight="1" x14ac:dyDescent="0.25">
      <c r="B213" s="242" t="s">
        <v>1460</v>
      </c>
      <c r="C213" s="243" t="str">
        <f t="shared" si="69"/>
        <v>Analista Oracle Netsuíte Funcional Sênior</v>
      </c>
      <c r="D213" s="244" t="s">
        <v>101</v>
      </c>
      <c r="E213" s="213">
        <f t="shared" si="78"/>
        <v>8800</v>
      </c>
      <c r="F213" s="248">
        <v>11000</v>
      </c>
      <c r="G213" s="214">
        <f t="shared" si="60"/>
        <v>2200</v>
      </c>
      <c r="H213" s="129">
        <f t="shared" si="79"/>
        <v>14300</v>
      </c>
      <c r="I213" s="14"/>
      <c r="J213" s="14"/>
      <c r="K213" s="14"/>
      <c r="L213" s="135"/>
      <c r="M213" s="14"/>
      <c r="N213" s="212" t="s">
        <v>215</v>
      </c>
      <c r="O213" s="14"/>
    </row>
    <row r="214" spans="2:15" ht="14.25" customHeight="1" x14ac:dyDescent="0.25">
      <c r="B214" s="242" t="s">
        <v>1461</v>
      </c>
      <c r="C214" s="243" t="str">
        <f t="shared" si="69"/>
        <v>Analista de Qualidade Automatizador Especialista</v>
      </c>
      <c r="D214" s="244" t="s">
        <v>103</v>
      </c>
      <c r="E214" s="213">
        <f t="shared" si="78"/>
        <v>9600</v>
      </c>
      <c r="F214" s="248">
        <v>12000</v>
      </c>
      <c r="G214" s="214">
        <f t="shared" si="60"/>
        <v>2400</v>
      </c>
      <c r="H214" s="129">
        <f t="shared" si="79"/>
        <v>15600</v>
      </c>
      <c r="I214" s="14"/>
      <c r="J214" s="14"/>
      <c r="K214" s="14"/>
      <c r="L214" s="135"/>
      <c r="M214" s="14"/>
      <c r="N214" s="212" t="s">
        <v>215</v>
      </c>
      <c r="O214" s="14"/>
    </row>
    <row r="215" spans="2:15" ht="14.25" customHeight="1" x14ac:dyDescent="0.25">
      <c r="B215" s="242" t="s">
        <v>1461</v>
      </c>
      <c r="C215" s="243" t="str">
        <f t="shared" si="69"/>
        <v>Analista de Qualidade Automatizador Júnior</v>
      </c>
      <c r="D215" s="244" t="s">
        <v>99</v>
      </c>
      <c r="E215" s="213">
        <f t="shared" si="78"/>
        <v>3360</v>
      </c>
      <c r="F215" s="248">
        <v>4200</v>
      </c>
      <c r="G215" s="214">
        <f t="shared" si="60"/>
        <v>840</v>
      </c>
      <c r="H215" s="129">
        <f t="shared" si="79"/>
        <v>5460</v>
      </c>
      <c r="I215" s="14"/>
      <c r="J215" s="14"/>
      <c r="K215" s="14"/>
      <c r="L215" s="135"/>
      <c r="M215" s="14"/>
      <c r="N215" s="212" t="s">
        <v>215</v>
      </c>
      <c r="O215" s="14"/>
    </row>
    <row r="216" spans="2:15" ht="14.25" customHeight="1" x14ac:dyDescent="0.25">
      <c r="B216" s="242" t="s">
        <v>1461</v>
      </c>
      <c r="C216" s="243" t="str">
        <f t="shared" si="69"/>
        <v>Analista de Qualidade Automatizador Pleno</v>
      </c>
      <c r="D216" s="244" t="s">
        <v>100</v>
      </c>
      <c r="E216" s="213">
        <f t="shared" si="78"/>
        <v>6000</v>
      </c>
      <c r="F216" s="248">
        <v>7500</v>
      </c>
      <c r="G216" s="214">
        <f t="shared" si="60"/>
        <v>1500</v>
      </c>
      <c r="H216" s="129">
        <f t="shared" si="79"/>
        <v>9750</v>
      </c>
      <c r="I216" s="14"/>
      <c r="J216" s="14"/>
      <c r="K216" s="14"/>
      <c r="L216" s="135"/>
      <c r="M216" s="14"/>
      <c r="N216" s="212" t="s">
        <v>215</v>
      </c>
      <c r="O216" s="14"/>
    </row>
    <row r="217" spans="2:15" ht="14.25" customHeight="1" x14ac:dyDescent="0.25">
      <c r="B217" s="242" t="s">
        <v>1461</v>
      </c>
      <c r="C217" s="243" t="str">
        <f t="shared" si="69"/>
        <v>Analista de Qualidade Automatizador Sênior</v>
      </c>
      <c r="D217" s="244" t="s">
        <v>101</v>
      </c>
      <c r="E217" s="213">
        <f t="shared" si="78"/>
        <v>8000</v>
      </c>
      <c r="F217" s="248">
        <v>10000</v>
      </c>
      <c r="G217" s="214">
        <f t="shared" si="60"/>
        <v>2000</v>
      </c>
      <c r="H217" s="129">
        <f t="shared" si="79"/>
        <v>13000</v>
      </c>
      <c r="I217" s="14"/>
      <c r="J217" s="14"/>
      <c r="K217" s="14"/>
      <c r="L217" s="135"/>
      <c r="M217" s="14"/>
      <c r="N217" s="212" t="s">
        <v>215</v>
      </c>
      <c r="O217" s="14"/>
    </row>
    <row r="218" spans="2:15" ht="14.25" customHeight="1" x14ac:dyDescent="0.25">
      <c r="B218" s="242" t="s">
        <v>1468</v>
      </c>
      <c r="C218" s="243" t="str">
        <f t="shared" si="69"/>
        <v>Especialista LTMC (Líder Técnico) Especialista</v>
      </c>
      <c r="D218" s="244" t="s">
        <v>103</v>
      </c>
      <c r="E218" s="213">
        <f t="shared" si="78"/>
        <v>19200</v>
      </c>
      <c r="F218" s="248">
        <v>24000</v>
      </c>
      <c r="G218" s="214">
        <f t="shared" si="60"/>
        <v>4800</v>
      </c>
      <c r="H218" s="129">
        <f t="shared" si="79"/>
        <v>31200</v>
      </c>
      <c r="I218" s="14"/>
      <c r="J218" s="14"/>
      <c r="K218" s="14"/>
      <c r="L218" s="135"/>
      <c r="M218" s="14"/>
      <c r="N218" s="212" t="s">
        <v>215</v>
      </c>
      <c r="O218" s="14"/>
    </row>
    <row r="219" spans="2:15" ht="14.25" customHeight="1" x14ac:dyDescent="0.25">
      <c r="B219" s="242" t="s">
        <v>1469</v>
      </c>
      <c r="C219" s="243" t="str">
        <f t="shared" si="69"/>
        <v>Especialista LTMC Especialista</v>
      </c>
      <c r="D219" s="244" t="s">
        <v>103</v>
      </c>
      <c r="E219" s="213">
        <f t="shared" si="78"/>
        <v>17600</v>
      </c>
      <c r="F219" s="248">
        <v>22000</v>
      </c>
      <c r="G219" s="214">
        <f t="shared" ref="G219:G221" si="80">F219*$G$9</f>
        <v>4400</v>
      </c>
      <c r="H219" s="129">
        <f t="shared" si="79"/>
        <v>28600</v>
      </c>
      <c r="I219" s="14"/>
      <c r="J219" s="14"/>
      <c r="K219" s="14"/>
      <c r="L219" s="135"/>
      <c r="M219" s="14"/>
      <c r="N219" s="212" t="s">
        <v>215</v>
      </c>
      <c r="O219" s="14"/>
    </row>
    <row r="220" spans="2:15" ht="14.25" customHeight="1" x14ac:dyDescent="0.25">
      <c r="B220" s="242" t="s">
        <v>1470</v>
      </c>
      <c r="C220" s="243" t="str">
        <f t="shared" si="69"/>
        <v>Especialista ETL / Oracle EBS Especialista</v>
      </c>
      <c r="D220" s="244" t="s">
        <v>103</v>
      </c>
      <c r="E220" s="213">
        <f t="shared" si="78"/>
        <v>16000</v>
      </c>
      <c r="F220" s="248">
        <v>20000</v>
      </c>
      <c r="G220" s="214">
        <f t="shared" si="80"/>
        <v>4000</v>
      </c>
      <c r="H220" s="129">
        <f t="shared" si="79"/>
        <v>26000</v>
      </c>
      <c r="I220" s="14"/>
      <c r="J220" s="14"/>
      <c r="K220" s="14"/>
      <c r="L220" s="135"/>
      <c r="M220" s="14"/>
      <c r="N220" s="212" t="s">
        <v>215</v>
      </c>
      <c r="O220" s="14"/>
    </row>
    <row r="221" spans="2:15" ht="14.25" customHeight="1" x14ac:dyDescent="0.25">
      <c r="B221" s="242" t="s">
        <v>1471</v>
      </c>
      <c r="C221" s="243" t="str">
        <f t="shared" si="69"/>
        <v>Especialista DQ / DQA Especialista</v>
      </c>
      <c r="D221" s="244" t="s">
        <v>103</v>
      </c>
      <c r="E221" s="213">
        <f t="shared" si="78"/>
        <v>19200</v>
      </c>
      <c r="F221" s="248">
        <v>24000</v>
      </c>
      <c r="G221" s="214">
        <f t="shared" si="80"/>
        <v>4800</v>
      </c>
      <c r="H221" s="129">
        <f t="shared" si="79"/>
        <v>31200</v>
      </c>
      <c r="I221" s="14"/>
      <c r="J221" s="14"/>
      <c r="K221" s="14"/>
      <c r="L221" s="135"/>
      <c r="M221" s="14"/>
      <c r="N221" s="212" t="s">
        <v>215</v>
      </c>
      <c r="O221" s="14"/>
    </row>
    <row r="222" spans="2:15" ht="14.25" customHeight="1" x14ac:dyDescent="0.25">
      <c r="D222" s="14"/>
      <c r="E222" s="14"/>
      <c r="F222" s="14"/>
      <c r="G222" s="14"/>
      <c r="H222" s="14"/>
      <c r="I222" s="14"/>
      <c r="J222" s="14"/>
      <c r="K222" s="14"/>
      <c r="L222" s="135"/>
      <c r="M222" s="14"/>
      <c r="N222" s="14"/>
      <c r="O222" s="14"/>
    </row>
    <row r="223" spans="2:15" ht="14.25" customHeight="1" x14ac:dyDescent="0.25">
      <c r="D223" s="14"/>
      <c r="E223" s="14"/>
      <c r="F223" s="14"/>
      <c r="G223" s="14"/>
      <c r="H223" s="14"/>
      <c r="I223" s="14"/>
      <c r="J223" s="14"/>
      <c r="K223" s="14"/>
      <c r="L223" s="135"/>
      <c r="M223" s="14"/>
      <c r="N223" s="14"/>
      <c r="O223" s="14"/>
    </row>
    <row r="224" spans="2:15" ht="14.25" customHeight="1" x14ac:dyDescent="0.25">
      <c r="D224" s="14"/>
      <c r="E224" s="14"/>
      <c r="F224" s="14"/>
      <c r="G224" s="14"/>
      <c r="H224" s="14"/>
      <c r="I224" s="14"/>
      <c r="J224" s="14"/>
      <c r="K224" s="14"/>
      <c r="L224" s="135"/>
      <c r="M224" s="14"/>
      <c r="N224" s="14"/>
      <c r="O224" s="14"/>
    </row>
    <row r="225" spans="4:15" ht="14.25" customHeight="1" x14ac:dyDescent="0.25">
      <c r="D225" s="14"/>
      <c r="E225" s="14"/>
      <c r="F225" s="14"/>
      <c r="G225" s="14"/>
      <c r="H225" s="14"/>
      <c r="I225" s="14"/>
      <c r="J225" s="14"/>
      <c r="K225" s="14"/>
      <c r="L225" s="135"/>
      <c r="M225" s="14"/>
      <c r="N225" s="14"/>
      <c r="O225" s="14"/>
    </row>
    <row r="226" spans="4:15" ht="14.25" customHeight="1" x14ac:dyDescent="0.25">
      <c r="D226" s="14"/>
      <c r="E226" s="14"/>
      <c r="F226" s="14"/>
      <c r="G226" s="14"/>
      <c r="H226" s="14"/>
      <c r="I226" s="14"/>
      <c r="J226" s="14"/>
      <c r="K226" s="14"/>
      <c r="L226" s="135"/>
      <c r="M226" s="14"/>
      <c r="N226" s="14"/>
      <c r="O226" s="14"/>
    </row>
    <row r="227" spans="4:15" ht="14.25" customHeight="1" x14ac:dyDescent="0.25">
      <c r="D227" s="14"/>
      <c r="E227" s="14"/>
      <c r="F227" s="14"/>
      <c r="G227" s="14"/>
      <c r="H227" s="14"/>
      <c r="I227" s="14"/>
      <c r="J227" s="14"/>
      <c r="K227" s="14"/>
      <c r="L227" s="135"/>
      <c r="M227" s="14"/>
      <c r="N227" s="14"/>
      <c r="O227" s="14"/>
    </row>
    <row r="228" spans="4:15" ht="14.25" customHeight="1" x14ac:dyDescent="0.25">
      <c r="D228" s="14"/>
      <c r="E228" s="14"/>
      <c r="F228" s="14"/>
      <c r="G228" s="14"/>
      <c r="H228" s="14"/>
      <c r="I228" s="14"/>
      <c r="J228" s="14"/>
      <c r="K228" s="14"/>
      <c r="L228" s="135"/>
      <c r="M228" s="14"/>
      <c r="N228" s="14"/>
      <c r="O228" s="14"/>
    </row>
    <row r="229" spans="4:15" ht="14.25" customHeight="1" x14ac:dyDescent="0.25">
      <c r="D229" s="14"/>
      <c r="E229" s="14"/>
      <c r="F229" s="14"/>
      <c r="G229" s="14"/>
      <c r="H229" s="14"/>
      <c r="I229" s="14"/>
      <c r="J229" s="14"/>
      <c r="K229" s="14"/>
      <c r="L229" s="135"/>
      <c r="M229" s="14"/>
      <c r="N229" s="14"/>
      <c r="O229" s="14"/>
    </row>
    <row r="230" spans="4:15" ht="14.25" customHeight="1" x14ac:dyDescent="0.25">
      <c r="D230" s="14"/>
      <c r="E230" s="14"/>
      <c r="F230" s="14"/>
      <c r="G230" s="14"/>
      <c r="H230" s="14"/>
      <c r="I230" s="14"/>
      <c r="J230" s="14"/>
      <c r="K230" s="14"/>
      <c r="L230" s="135"/>
      <c r="M230" s="14"/>
      <c r="N230" s="14"/>
      <c r="O230" s="14"/>
    </row>
    <row r="231" spans="4:15" ht="14.25" customHeight="1" x14ac:dyDescent="0.25">
      <c r="D231" s="14"/>
      <c r="E231" s="14"/>
      <c r="F231" s="14"/>
      <c r="G231" s="14"/>
      <c r="H231" s="14"/>
      <c r="I231" s="14"/>
      <c r="J231" s="14"/>
      <c r="K231" s="14"/>
      <c r="L231" s="135"/>
      <c r="M231" s="14"/>
      <c r="N231" s="14"/>
      <c r="O231" s="14"/>
    </row>
    <row r="232" spans="4:15" ht="14.25" customHeight="1" x14ac:dyDescent="0.25">
      <c r="D232" s="14"/>
      <c r="E232" s="14"/>
      <c r="F232" s="14"/>
      <c r="G232" s="14"/>
      <c r="H232" s="14"/>
      <c r="I232" s="14"/>
      <c r="J232" s="14"/>
      <c r="K232" s="14"/>
      <c r="L232" s="135"/>
      <c r="M232" s="14"/>
      <c r="N232" s="14"/>
      <c r="O232" s="14"/>
    </row>
    <row r="233" spans="4:15" ht="14.25" customHeight="1" x14ac:dyDescent="0.25">
      <c r="D233" s="14"/>
      <c r="E233" s="14"/>
      <c r="F233" s="14"/>
      <c r="G233" s="14"/>
      <c r="H233" s="14"/>
      <c r="I233" s="14"/>
      <c r="J233" s="14"/>
      <c r="K233" s="14"/>
      <c r="L233" s="135"/>
      <c r="M233" s="14"/>
      <c r="N233" s="14"/>
      <c r="O233" s="14"/>
    </row>
    <row r="234" spans="4:15" ht="14.25" customHeight="1" x14ac:dyDescent="0.25">
      <c r="D234" s="14"/>
      <c r="E234" s="14"/>
      <c r="F234" s="14"/>
      <c r="G234" s="14"/>
      <c r="H234" s="14"/>
      <c r="I234" s="14"/>
      <c r="J234" s="14"/>
      <c r="K234" s="14"/>
      <c r="L234" s="135"/>
      <c r="M234" s="14"/>
      <c r="N234" s="14"/>
      <c r="O234" s="14"/>
    </row>
    <row r="235" spans="4:15" ht="14.25" customHeight="1" x14ac:dyDescent="0.25">
      <c r="D235" s="14"/>
      <c r="E235" s="14"/>
      <c r="F235" s="14"/>
      <c r="G235" s="14"/>
      <c r="H235" s="14"/>
      <c r="I235" s="14"/>
      <c r="J235" s="14"/>
      <c r="K235" s="14"/>
      <c r="L235" s="135"/>
      <c r="M235" s="14"/>
      <c r="N235" s="14"/>
      <c r="O235" s="14"/>
    </row>
    <row r="236" spans="4:15" ht="14.25" customHeight="1" x14ac:dyDescent="0.25">
      <c r="D236" s="14"/>
      <c r="E236" s="14"/>
      <c r="F236" s="14"/>
      <c r="G236" s="14"/>
      <c r="H236" s="14"/>
      <c r="I236" s="14"/>
      <c r="J236" s="14"/>
      <c r="K236" s="14"/>
      <c r="L236" s="135"/>
      <c r="M236" s="14"/>
      <c r="N236" s="14"/>
      <c r="O236" s="14"/>
    </row>
    <row r="237" spans="4:15" ht="14.25" customHeight="1" x14ac:dyDescent="0.25">
      <c r="D237" s="14"/>
      <c r="E237" s="14"/>
      <c r="F237" s="14"/>
      <c r="G237" s="14"/>
      <c r="H237" s="14"/>
      <c r="I237" s="14"/>
      <c r="J237" s="14"/>
      <c r="K237" s="14"/>
      <c r="L237" s="135"/>
      <c r="M237" s="14"/>
      <c r="N237" s="14"/>
      <c r="O237" s="14"/>
    </row>
    <row r="238" spans="4:15" ht="14.25" customHeight="1" x14ac:dyDescent="0.25">
      <c r="D238" s="14"/>
      <c r="E238" s="14"/>
      <c r="F238" s="14"/>
      <c r="G238" s="14"/>
      <c r="H238" s="14"/>
      <c r="I238" s="14"/>
      <c r="J238" s="14"/>
      <c r="K238" s="14"/>
      <c r="L238" s="135"/>
      <c r="M238" s="14"/>
      <c r="N238" s="14"/>
      <c r="O238" s="14"/>
    </row>
    <row r="239" spans="4:15" ht="14.25" customHeight="1" x14ac:dyDescent="0.25">
      <c r="D239" s="14"/>
      <c r="E239" s="14"/>
      <c r="F239" s="14"/>
      <c r="G239" s="14"/>
      <c r="H239" s="14"/>
      <c r="I239" s="14"/>
      <c r="J239" s="14"/>
      <c r="K239" s="14"/>
      <c r="L239" s="135"/>
      <c r="M239" s="14"/>
      <c r="N239" s="14"/>
      <c r="O239" s="14"/>
    </row>
    <row r="240" spans="4:15" ht="14.25" customHeight="1" x14ac:dyDescent="0.25">
      <c r="D240" s="14"/>
      <c r="E240" s="14"/>
      <c r="F240" s="14"/>
      <c r="G240" s="14"/>
      <c r="H240" s="14"/>
      <c r="I240" s="14"/>
      <c r="J240" s="14"/>
      <c r="K240" s="14"/>
      <c r="L240" s="135"/>
      <c r="M240" s="14"/>
      <c r="N240" s="14"/>
      <c r="O240" s="14"/>
    </row>
    <row r="241" spans="4:15" ht="14.25" customHeight="1" x14ac:dyDescent="0.25">
      <c r="D241" s="14"/>
      <c r="E241" s="14"/>
      <c r="F241" s="14"/>
      <c r="G241" s="14"/>
      <c r="H241" s="14"/>
      <c r="I241" s="14"/>
      <c r="J241" s="14"/>
      <c r="K241" s="14"/>
      <c r="L241" s="135"/>
      <c r="M241" s="14"/>
      <c r="N241" s="14"/>
      <c r="O241" s="14"/>
    </row>
    <row r="242" spans="4:15" ht="14.25" customHeight="1" x14ac:dyDescent="0.25">
      <c r="D242" s="14"/>
      <c r="E242" s="14"/>
      <c r="F242" s="14"/>
      <c r="G242" s="14"/>
      <c r="H242" s="14"/>
      <c r="I242" s="14"/>
      <c r="J242" s="14"/>
      <c r="K242" s="14"/>
      <c r="L242" s="135"/>
      <c r="M242" s="14"/>
      <c r="N242" s="14"/>
      <c r="O242" s="14"/>
    </row>
    <row r="243" spans="4:15" ht="14.25" customHeight="1" x14ac:dyDescent="0.25">
      <c r="D243" s="14"/>
      <c r="E243" s="14"/>
      <c r="F243" s="14"/>
      <c r="G243" s="14"/>
      <c r="H243" s="14"/>
      <c r="I243" s="14"/>
      <c r="J243" s="14"/>
      <c r="K243" s="14"/>
      <c r="L243" s="135"/>
      <c r="M243" s="14"/>
      <c r="N243" s="14"/>
      <c r="O243" s="14"/>
    </row>
    <row r="244" spans="4:15" ht="14.25" customHeight="1" x14ac:dyDescent="0.25">
      <c r="D244" s="14"/>
      <c r="E244" s="14"/>
      <c r="F244" s="14"/>
      <c r="G244" s="14"/>
      <c r="H244" s="14"/>
      <c r="I244" s="14"/>
      <c r="J244" s="14"/>
      <c r="K244" s="14"/>
      <c r="L244" s="135"/>
      <c r="M244" s="14"/>
      <c r="N244" s="14"/>
      <c r="O244" s="14"/>
    </row>
    <row r="245" spans="4:15" ht="14.25" customHeight="1" x14ac:dyDescent="0.25">
      <c r="D245" s="14"/>
      <c r="E245" s="14"/>
      <c r="F245" s="14"/>
      <c r="G245" s="14"/>
      <c r="H245" s="14"/>
      <c r="I245" s="14"/>
      <c r="J245" s="14"/>
      <c r="K245" s="14"/>
      <c r="L245" s="135"/>
      <c r="M245" s="14"/>
      <c r="N245" s="14"/>
      <c r="O245" s="14"/>
    </row>
    <row r="246" spans="4:15" ht="14.25" customHeight="1" x14ac:dyDescent="0.25">
      <c r="D246" s="14"/>
      <c r="E246" s="14"/>
      <c r="F246" s="14"/>
      <c r="G246" s="14"/>
      <c r="H246" s="14"/>
      <c r="I246" s="14"/>
      <c r="J246" s="14"/>
      <c r="K246" s="14"/>
      <c r="L246" s="135"/>
      <c r="M246" s="14"/>
      <c r="N246" s="14"/>
      <c r="O246" s="14"/>
    </row>
    <row r="247" spans="4:15" ht="14.25" customHeight="1" x14ac:dyDescent="0.25">
      <c r="D247" s="14"/>
      <c r="E247" s="14"/>
      <c r="F247" s="14"/>
      <c r="G247" s="14"/>
      <c r="H247" s="14"/>
      <c r="I247" s="14"/>
      <c r="J247" s="14"/>
      <c r="K247" s="14"/>
      <c r="L247" s="135"/>
      <c r="M247" s="14"/>
      <c r="N247" s="14"/>
      <c r="O247" s="14"/>
    </row>
    <row r="248" spans="4:15" ht="14.25" customHeight="1" x14ac:dyDescent="0.25">
      <c r="D248" s="14"/>
      <c r="E248" s="14"/>
      <c r="F248" s="14"/>
      <c r="G248" s="14"/>
      <c r="H248" s="14"/>
      <c r="I248" s="14"/>
      <c r="J248" s="14"/>
      <c r="K248" s="14"/>
      <c r="L248" s="135"/>
      <c r="M248" s="14"/>
      <c r="N248" s="14"/>
      <c r="O248" s="14"/>
    </row>
    <row r="249" spans="4:15" ht="14.25" customHeight="1" x14ac:dyDescent="0.25">
      <c r="D249" s="14"/>
      <c r="E249" s="14"/>
      <c r="F249" s="14"/>
      <c r="G249" s="14"/>
      <c r="H249" s="14"/>
      <c r="I249" s="14"/>
      <c r="J249" s="14"/>
      <c r="K249" s="14"/>
      <c r="L249" s="135"/>
      <c r="M249" s="14"/>
      <c r="N249" s="14"/>
      <c r="O249" s="14"/>
    </row>
    <row r="250" spans="4:15" ht="14.25" customHeight="1" x14ac:dyDescent="0.25">
      <c r="D250" s="14"/>
      <c r="E250" s="14"/>
      <c r="F250" s="14"/>
      <c r="G250" s="14"/>
      <c r="H250" s="14"/>
      <c r="I250" s="14"/>
      <c r="J250" s="14"/>
      <c r="K250" s="14"/>
      <c r="L250" s="135"/>
      <c r="M250" s="14"/>
      <c r="N250" s="14"/>
      <c r="O250" s="14"/>
    </row>
    <row r="251" spans="4:15" ht="14.25" customHeight="1" x14ac:dyDescent="0.25">
      <c r="D251" s="14"/>
      <c r="E251" s="14"/>
      <c r="F251" s="14"/>
      <c r="G251" s="14"/>
      <c r="H251" s="14"/>
      <c r="I251" s="14"/>
      <c r="J251" s="14"/>
      <c r="K251" s="14"/>
      <c r="L251" s="135"/>
      <c r="M251" s="14"/>
      <c r="N251" s="14"/>
      <c r="O251" s="14"/>
    </row>
    <row r="252" spans="4:15" ht="14.25" customHeight="1" x14ac:dyDescent="0.25">
      <c r="D252" s="14"/>
      <c r="E252" s="14"/>
      <c r="F252" s="14"/>
      <c r="G252" s="14"/>
      <c r="H252" s="14"/>
      <c r="I252" s="14"/>
      <c r="J252" s="14"/>
      <c r="K252" s="14"/>
      <c r="L252" s="135"/>
      <c r="M252" s="14"/>
      <c r="N252" s="14"/>
      <c r="O252" s="14"/>
    </row>
    <row r="253" spans="4:15" ht="14.25" customHeight="1" x14ac:dyDescent="0.25">
      <c r="D253" s="14"/>
      <c r="E253" s="14"/>
      <c r="F253" s="14"/>
      <c r="G253" s="14"/>
      <c r="H253" s="14"/>
      <c r="I253" s="14"/>
      <c r="J253" s="14"/>
      <c r="K253" s="14"/>
      <c r="L253" s="135"/>
      <c r="M253" s="14"/>
      <c r="N253" s="14"/>
      <c r="O253" s="14"/>
    </row>
    <row r="254" spans="4:15" ht="14.25" customHeight="1" x14ac:dyDescent="0.25">
      <c r="D254" s="14"/>
      <c r="E254" s="14"/>
      <c r="F254" s="14"/>
      <c r="G254" s="14"/>
      <c r="H254" s="14"/>
      <c r="I254" s="14"/>
      <c r="J254" s="14"/>
      <c r="K254" s="14"/>
      <c r="L254" s="135"/>
      <c r="M254" s="14"/>
      <c r="N254" s="14"/>
      <c r="O254" s="14"/>
    </row>
    <row r="255" spans="4:15" ht="14.25" customHeight="1" x14ac:dyDescent="0.25">
      <c r="D255" s="14"/>
      <c r="E255" s="14"/>
      <c r="F255" s="14"/>
      <c r="G255" s="14"/>
      <c r="H255" s="14"/>
      <c r="I255" s="14"/>
      <c r="J255" s="14"/>
      <c r="K255" s="14"/>
      <c r="L255" s="135"/>
      <c r="M255" s="14"/>
      <c r="N255" s="14"/>
      <c r="O255" s="14"/>
    </row>
    <row r="256" spans="4:15" ht="14.25" customHeight="1" x14ac:dyDescent="0.25">
      <c r="D256" s="14"/>
      <c r="E256" s="14"/>
      <c r="F256" s="14"/>
      <c r="G256" s="14"/>
      <c r="H256" s="14"/>
      <c r="I256" s="14"/>
      <c r="J256" s="14"/>
      <c r="K256" s="14"/>
      <c r="L256" s="135"/>
      <c r="M256" s="14"/>
      <c r="N256" s="14"/>
      <c r="O256" s="14"/>
    </row>
    <row r="257" spans="4:15" ht="14.25" customHeight="1" x14ac:dyDescent="0.25">
      <c r="D257" s="14"/>
      <c r="E257" s="14"/>
      <c r="F257" s="14"/>
      <c r="G257" s="14"/>
      <c r="H257" s="14"/>
      <c r="I257" s="14"/>
      <c r="J257" s="14"/>
      <c r="K257" s="14"/>
      <c r="L257" s="135"/>
      <c r="M257" s="14"/>
      <c r="N257" s="14"/>
      <c r="O257" s="14"/>
    </row>
    <row r="258" spans="4:15" ht="14.25" customHeight="1" x14ac:dyDescent="0.25">
      <c r="D258" s="14"/>
      <c r="E258" s="14"/>
      <c r="F258" s="14"/>
      <c r="G258" s="14"/>
      <c r="H258" s="14"/>
      <c r="I258" s="14"/>
      <c r="J258" s="14"/>
      <c r="K258" s="14"/>
      <c r="L258" s="135"/>
      <c r="M258" s="14"/>
      <c r="N258" s="14"/>
      <c r="O258" s="14"/>
    </row>
    <row r="259" spans="4:15" ht="14.25" customHeight="1" x14ac:dyDescent="0.25">
      <c r="D259" s="31"/>
      <c r="E259" s="14"/>
      <c r="F259" s="14"/>
      <c r="G259" s="14"/>
      <c r="H259" s="14"/>
      <c r="I259" s="14"/>
      <c r="J259" s="14"/>
      <c r="K259" s="14"/>
      <c r="L259" s="135"/>
      <c r="M259" s="14"/>
      <c r="N259" s="14"/>
      <c r="O259" s="14"/>
    </row>
    <row r="260" spans="4:15" ht="14.25" customHeight="1" x14ac:dyDescent="0.25">
      <c r="D260" s="31"/>
      <c r="E260" s="14"/>
      <c r="F260" s="14"/>
      <c r="G260" s="14"/>
      <c r="H260" s="14"/>
      <c r="I260" s="14"/>
      <c r="J260" s="14"/>
      <c r="K260" s="14"/>
      <c r="L260" s="135"/>
      <c r="M260" s="14"/>
      <c r="N260" s="14"/>
      <c r="O260" s="14"/>
    </row>
    <row r="261" spans="4:15" ht="14.25" customHeight="1" x14ac:dyDescent="0.25">
      <c r="D261" s="31"/>
      <c r="E261" s="14"/>
      <c r="F261" s="14"/>
      <c r="G261" s="14"/>
      <c r="H261" s="14"/>
      <c r="I261" s="14"/>
      <c r="J261" s="14"/>
      <c r="K261" s="14"/>
      <c r="L261" s="135"/>
      <c r="M261" s="14"/>
      <c r="N261" s="14"/>
      <c r="O261" s="14"/>
    </row>
    <row r="262" spans="4:15" ht="14.25" customHeight="1" x14ac:dyDescent="0.25">
      <c r="D262" s="31"/>
      <c r="E262" s="14"/>
      <c r="F262" s="14"/>
      <c r="G262" s="14"/>
      <c r="H262" s="14"/>
      <c r="I262" s="14"/>
      <c r="J262" s="14"/>
      <c r="K262" s="14"/>
      <c r="L262" s="135"/>
      <c r="M262" s="14"/>
      <c r="N262" s="14"/>
      <c r="O262" s="14"/>
    </row>
    <row r="263" spans="4:15" ht="14.25" customHeight="1" x14ac:dyDescent="0.25">
      <c r="D263" s="31"/>
      <c r="E263" s="14"/>
      <c r="F263" s="14"/>
      <c r="G263" s="14"/>
      <c r="H263" s="14"/>
      <c r="I263" s="14"/>
      <c r="J263" s="14"/>
      <c r="K263" s="14"/>
      <c r="L263" s="135"/>
      <c r="M263" s="14"/>
      <c r="N263" s="14"/>
      <c r="O263" s="14"/>
    </row>
    <row r="264" spans="4:15" ht="14.25" customHeight="1" x14ac:dyDescent="0.25">
      <c r="D264" s="31"/>
      <c r="E264" s="14"/>
      <c r="F264" s="14"/>
      <c r="G264" s="14"/>
      <c r="H264" s="14"/>
      <c r="I264" s="14"/>
      <c r="J264" s="14"/>
      <c r="K264" s="14"/>
      <c r="L264" s="135"/>
      <c r="M264" s="14"/>
      <c r="N264" s="14"/>
      <c r="O264" s="14"/>
    </row>
    <row r="265" spans="4:15" ht="14.25" customHeight="1" x14ac:dyDescent="0.25">
      <c r="D265" s="31"/>
      <c r="E265" s="14"/>
      <c r="F265" s="14"/>
      <c r="G265" s="14"/>
      <c r="H265" s="14"/>
      <c r="I265" s="14"/>
      <c r="J265" s="14"/>
      <c r="K265" s="14"/>
      <c r="L265" s="135"/>
      <c r="M265" s="14"/>
      <c r="N265" s="14"/>
      <c r="O265" s="14"/>
    </row>
    <row r="266" spans="4:15" ht="14.25" customHeight="1" x14ac:dyDescent="0.25">
      <c r="D266" s="31"/>
      <c r="E266" s="14"/>
      <c r="F266" s="14"/>
      <c r="G266" s="14"/>
      <c r="H266" s="14"/>
      <c r="I266" s="14"/>
      <c r="J266" s="14"/>
      <c r="K266" s="14"/>
      <c r="L266" s="135"/>
      <c r="M266" s="14"/>
      <c r="N266" s="14"/>
      <c r="O266" s="14"/>
    </row>
    <row r="267" spans="4:15" ht="14.25" customHeight="1" x14ac:dyDescent="0.25">
      <c r="D267" s="31"/>
      <c r="E267" s="14"/>
      <c r="F267" s="14"/>
      <c r="G267" s="14"/>
      <c r="H267" s="14"/>
      <c r="I267" s="14"/>
      <c r="J267" s="14"/>
      <c r="K267" s="14"/>
      <c r="L267" s="135"/>
      <c r="M267" s="14"/>
      <c r="N267" s="14"/>
      <c r="O267" s="14"/>
    </row>
    <row r="268" spans="4:15" ht="14.25" customHeight="1" x14ac:dyDescent="0.25">
      <c r="D268" s="31"/>
      <c r="E268" s="14"/>
      <c r="F268" s="14"/>
      <c r="G268" s="14"/>
      <c r="H268" s="14"/>
      <c r="I268" s="14"/>
      <c r="J268" s="14"/>
      <c r="K268" s="14"/>
      <c r="L268" s="135"/>
      <c r="M268" s="14"/>
      <c r="N268" s="14"/>
      <c r="O268" s="14"/>
    </row>
    <row r="269" spans="4:15" ht="14.25" customHeight="1" x14ac:dyDescent="0.25">
      <c r="D269" s="31"/>
      <c r="E269" s="14"/>
      <c r="F269" s="14"/>
      <c r="G269" s="14"/>
      <c r="H269" s="14"/>
      <c r="I269" s="14"/>
      <c r="J269" s="14"/>
      <c r="K269" s="14"/>
      <c r="L269" s="135"/>
      <c r="M269" s="14"/>
      <c r="N269" s="14"/>
      <c r="O269" s="14"/>
    </row>
    <row r="270" spans="4:15" ht="14.25" customHeight="1" x14ac:dyDescent="0.25">
      <c r="D270" s="31"/>
      <c r="E270" s="14"/>
      <c r="F270" s="14"/>
      <c r="G270" s="14"/>
      <c r="H270" s="14"/>
      <c r="I270" s="14"/>
      <c r="J270" s="14"/>
      <c r="K270" s="14"/>
      <c r="L270" s="135"/>
      <c r="M270" s="14"/>
      <c r="N270" s="14"/>
      <c r="O270" s="14"/>
    </row>
    <row r="271" spans="4:15" ht="14.25" customHeight="1" x14ac:dyDescent="0.25">
      <c r="D271" s="31"/>
      <c r="E271" s="14"/>
      <c r="F271" s="14"/>
      <c r="G271" s="14"/>
      <c r="H271" s="14"/>
      <c r="I271" s="14"/>
      <c r="J271" s="14"/>
      <c r="K271" s="14"/>
      <c r="L271" s="135"/>
      <c r="M271" s="14"/>
      <c r="N271" s="14"/>
      <c r="O271" s="14"/>
    </row>
    <row r="272" spans="4:15" ht="14.25" customHeight="1" x14ac:dyDescent="0.25">
      <c r="D272" s="31"/>
      <c r="E272" s="14"/>
      <c r="F272" s="14"/>
      <c r="G272" s="14"/>
      <c r="H272" s="14"/>
      <c r="I272" s="14"/>
      <c r="J272" s="14"/>
      <c r="K272" s="14"/>
      <c r="L272" s="135"/>
      <c r="M272" s="14"/>
      <c r="N272" s="14"/>
      <c r="O272" s="14"/>
    </row>
    <row r="273" spans="4:15" ht="14.25" customHeight="1" x14ac:dyDescent="0.25">
      <c r="D273" s="31"/>
      <c r="E273" s="14"/>
      <c r="F273" s="14"/>
      <c r="G273" s="14"/>
      <c r="H273" s="14"/>
      <c r="I273" s="14"/>
      <c r="J273" s="14"/>
      <c r="K273" s="14"/>
      <c r="L273" s="135"/>
      <c r="M273" s="14"/>
      <c r="N273" s="14"/>
      <c r="O273" s="14"/>
    </row>
    <row r="274" spans="4:15" ht="14.25" customHeight="1" x14ac:dyDescent="0.25">
      <c r="D274" s="31"/>
      <c r="E274" s="14"/>
      <c r="F274" s="14"/>
      <c r="G274" s="14"/>
      <c r="H274" s="14"/>
      <c r="I274" s="14"/>
      <c r="J274" s="14"/>
      <c r="K274" s="14"/>
      <c r="L274" s="135"/>
      <c r="M274" s="14"/>
      <c r="N274" s="14"/>
      <c r="O274" s="14"/>
    </row>
    <row r="275" spans="4:15" ht="14.25" customHeight="1" x14ac:dyDescent="0.25">
      <c r="D275" s="31"/>
      <c r="E275" s="14"/>
      <c r="F275" s="14"/>
      <c r="G275" s="14"/>
      <c r="H275" s="14"/>
      <c r="I275" s="14"/>
      <c r="J275" s="14"/>
      <c r="K275" s="14"/>
      <c r="L275" s="135"/>
      <c r="M275" s="14"/>
      <c r="N275" s="14"/>
      <c r="O275" s="14"/>
    </row>
    <row r="276" spans="4:15" ht="14.25" customHeight="1" x14ac:dyDescent="0.25">
      <c r="D276" s="31"/>
      <c r="E276" s="14"/>
      <c r="F276" s="14"/>
      <c r="G276" s="14"/>
      <c r="H276" s="14"/>
      <c r="I276" s="14"/>
      <c r="J276" s="14"/>
      <c r="K276" s="14"/>
      <c r="L276" s="135"/>
      <c r="M276" s="14"/>
      <c r="N276" s="14"/>
      <c r="O276" s="14"/>
    </row>
    <row r="277" spans="4:15" ht="14.25" customHeight="1" x14ac:dyDescent="0.25">
      <c r="D277" s="31"/>
      <c r="E277" s="14"/>
      <c r="F277" s="14"/>
      <c r="G277" s="14"/>
      <c r="H277" s="14"/>
      <c r="I277" s="14"/>
      <c r="J277" s="14"/>
      <c r="K277" s="14"/>
      <c r="L277" s="135"/>
      <c r="M277" s="14"/>
      <c r="N277" s="14"/>
      <c r="O277" s="14"/>
    </row>
    <row r="278" spans="4:15" ht="14.25" customHeight="1" x14ac:dyDescent="0.25">
      <c r="D278" s="31"/>
      <c r="E278" s="14"/>
      <c r="F278" s="14"/>
      <c r="G278" s="14"/>
      <c r="H278" s="14"/>
      <c r="I278" s="14"/>
      <c r="J278" s="14"/>
      <c r="K278" s="14"/>
      <c r="L278" s="135"/>
      <c r="M278" s="14"/>
      <c r="N278" s="14"/>
      <c r="O278" s="14"/>
    </row>
    <row r="279" spans="4:15" ht="14.25" customHeight="1" x14ac:dyDescent="0.25">
      <c r="D279" s="31"/>
      <c r="E279" s="14"/>
      <c r="F279" s="14"/>
      <c r="G279" s="14"/>
      <c r="H279" s="14"/>
      <c r="I279" s="14"/>
      <c r="J279" s="14"/>
      <c r="K279" s="14"/>
      <c r="L279" s="135"/>
      <c r="M279" s="14"/>
      <c r="N279" s="14"/>
      <c r="O279" s="14"/>
    </row>
    <row r="280" spans="4:15" ht="14.25" customHeight="1" x14ac:dyDescent="0.25">
      <c r="D280" s="31"/>
      <c r="E280" s="14"/>
      <c r="F280" s="14"/>
      <c r="G280" s="14"/>
      <c r="H280" s="14"/>
      <c r="I280" s="14"/>
      <c r="J280" s="14"/>
      <c r="K280" s="14"/>
      <c r="L280" s="135"/>
      <c r="M280" s="14"/>
      <c r="N280" s="14"/>
      <c r="O280" s="14"/>
    </row>
    <row r="281" spans="4:15" ht="14.25" customHeight="1" x14ac:dyDescent="0.25">
      <c r="D281" s="31"/>
      <c r="E281" s="14"/>
      <c r="F281" s="14"/>
      <c r="G281" s="14"/>
      <c r="H281" s="14"/>
      <c r="I281" s="14"/>
      <c r="J281" s="14"/>
      <c r="K281" s="14"/>
      <c r="L281" s="135"/>
      <c r="M281" s="14"/>
      <c r="N281" s="14"/>
      <c r="O281" s="14"/>
    </row>
    <row r="282" spans="4:15" ht="14.25" customHeight="1" x14ac:dyDescent="0.25">
      <c r="D282" s="31"/>
      <c r="E282" s="14"/>
      <c r="F282" s="14"/>
      <c r="G282" s="14"/>
      <c r="H282" s="14"/>
      <c r="I282" s="14"/>
      <c r="J282" s="14"/>
      <c r="K282" s="14"/>
      <c r="L282" s="135"/>
      <c r="M282" s="14"/>
      <c r="N282" s="14"/>
      <c r="O282" s="14"/>
    </row>
    <row r="283" spans="4:15" ht="14.25" customHeight="1" x14ac:dyDescent="0.25">
      <c r="D283" s="31"/>
      <c r="E283" s="14"/>
      <c r="F283" s="14"/>
      <c r="G283" s="14"/>
      <c r="H283" s="14"/>
      <c r="I283" s="14"/>
      <c r="J283" s="14"/>
      <c r="K283" s="14"/>
      <c r="L283" s="135"/>
      <c r="M283" s="14"/>
      <c r="N283" s="14"/>
      <c r="O283" s="14"/>
    </row>
    <row r="284" spans="4:15" ht="14.25" customHeight="1" x14ac:dyDescent="0.25">
      <c r="D284" s="31"/>
      <c r="E284" s="14"/>
      <c r="F284" s="14"/>
      <c r="G284" s="14"/>
      <c r="H284" s="14"/>
      <c r="I284" s="14"/>
      <c r="J284" s="14"/>
      <c r="K284" s="14"/>
      <c r="L284" s="135"/>
      <c r="M284" s="14"/>
      <c r="N284" s="14"/>
      <c r="O284" s="14"/>
    </row>
    <row r="285" spans="4:15" ht="14.25" customHeight="1" x14ac:dyDescent="0.25">
      <c r="D285" s="31"/>
      <c r="E285" s="14"/>
      <c r="F285" s="14"/>
      <c r="G285" s="14"/>
      <c r="H285" s="14"/>
      <c r="I285" s="14"/>
      <c r="J285" s="14"/>
      <c r="K285" s="14"/>
      <c r="L285" s="135"/>
      <c r="M285" s="14"/>
      <c r="N285" s="14"/>
      <c r="O285" s="14"/>
    </row>
    <row r="286" spans="4:15" ht="14.25" customHeight="1" x14ac:dyDescent="0.25">
      <c r="D286" s="31"/>
      <c r="E286" s="14"/>
      <c r="F286" s="14"/>
      <c r="G286" s="14"/>
      <c r="H286" s="14"/>
      <c r="I286" s="14"/>
      <c r="J286" s="14"/>
      <c r="K286" s="14"/>
      <c r="L286" s="135"/>
      <c r="M286" s="14"/>
      <c r="N286" s="14"/>
      <c r="O286" s="14"/>
    </row>
    <row r="287" spans="4:15" ht="14.25" customHeight="1" x14ac:dyDescent="0.25">
      <c r="D287" s="31"/>
      <c r="E287" s="14"/>
      <c r="F287" s="14"/>
      <c r="G287" s="14"/>
      <c r="H287" s="14"/>
      <c r="I287" s="14"/>
      <c r="J287" s="14"/>
      <c r="K287" s="14"/>
      <c r="L287" s="135"/>
      <c r="M287" s="14"/>
      <c r="N287" s="14"/>
      <c r="O287" s="14"/>
    </row>
    <row r="288" spans="4:15" ht="14.25" customHeight="1" x14ac:dyDescent="0.25">
      <c r="D288" s="31"/>
      <c r="E288" s="14"/>
      <c r="F288" s="14"/>
      <c r="G288" s="14"/>
      <c r="H288" s="14"/>
      <c r="I288" s="14"/>
      <c r="J288" s="14"/>
      <c r="K288" s="14"/>
      <c r="L288" s="135"/>
      <c r="M288" s="14"/>
      <c r="N288" s="14"/>
      <c r="O288" s="14"/>
    </row>
    <row r="289" spans="4:15" ht="14.25" customHeight="1" x14ac:dyDescent="0.25">
      <c r="D289" s="31"/>
      <c r="E289" s="14"/>
      <c r="F289" s="14"/>
      <c r="G289" s="14"/>
      <c r="H289" s="14"/>
      <c r="I289" s="14"/>
      <c r="J289" s="14"/>
      <c r="K289" s="14"/>
      <c r="L289" s="135"/>
      <c r="M289" s="14"/>
      <c r="N289" s="14"/>
      <c r="O289" s="14"/>
    </row>
    <row r="290" spans="4:15" ht="14.25" customHeight="1" x14ac:dyDescent="0.25">
      <c r="D290" s="31"/>
      <c r="E290" s="14"/>
      <c r="F290" s="14"/>
      <c r="G290" s="14"/>
      <c r="H290" s="14"/>
      <c r="I290" s="14"/>
      <c r="J290" s="14"/>
      <c r="K290" s="14"/>
      <c r="L290" s="135"/>
      <c r="M290" s="14"/>
      <c r="N290" s="14"/>
      <c r="O290" s="14"/>
    </row>
    <row r="291" spans="4:15" ht="14.25" customHeight="1" x14ac:dyDescent="0.25">
      <c r="D291" s="31"/>
      <c r="E291" s="14"/>
      <c r="F291" s="14"/>
      <c r="G291" s="14"/>
      <c r="H291" s="14"/>
      <c r="I291" s="14"/>
      <c r="J291" s="14"/>
      <c r="K291" s="14"/>
      <c r="L291" s="135"/>
      <c r="M291" s="14"/>
      <c r="N291" s="14"/>
      <c r="O291" s="14"/>
    </row>
    <row r="292" spans="4:15" ht="14.25" customHeight="1" x14ac:dyDescent="0.25">
      <c r="D292" s="31"/>
      <c r="E292" s="14"/>
      <c r="F292" s="14"/>
      <c r="G292" s="14"/>
      <c r="H292" s="14"/>
      <c r="I292" s="14"/>
      <c r="J292" s="14"/>
      <c r="K292" s="14"/>
      <c r="L292" s="135"/>
      <c r="M292" s="14"/>
      <c r="N292" s="14"/>
      <c r="O292" s="14"/>
    </row>
    <row r="293" spans="4:15" ht="14.25" customHeight="1" x14ac:dyDescent="0.25">
      <c r="D293" s="31"/>
      <c r="E293" s="14"/>
      <c r="F293" s="14"/>
      <c r="G293" s="14"/>
      <c r="H293" s="14"/>
      <c r="I293" s="14"/>
      <c r="J293" s="14"/>
      <c r="K293" s="14"/>
      <c r="L293" s="135"/>
      <c r="M293" s="14"/>
      <c r="N293" s="14"/>
      <c r="O293" s="14"/>
    </row>
    <row r="294" spans="4:15" ht="14.25" customHeight="1" x14ac:dyDescent="0.25">
      <c r="D294" s="31"/>
      <c r="E294" s="14"/>
      <c r="F294" s="14"/>
      <c r="G294" s="14"/>
      <c r="H294" s="14"/>
      <c r="I294" s="14"/>
      <c r="J294" s="14"/>
      <c r="K294" s="14"/>
      <c r="L294" s="135"/>
      <c r="M294" s="14"/>
      <c r="N294" s="14"/>
      <c r="O294" s="14"/>
    </row>
    <row r="295" spans="4:15" ht="14.25" customHeight="1" x14ac:dyDescent="0.25">
      <c r="D295" s="31"/>
      <c r="E295" s="14"/>
      <c r="F295" s="14"/>
      <c r="G295" s="14"/>
      <c r="H295" s="14"/>
      <c r="I295" s="14"/>
      <c r="J295" s="14"/>
      <c r="K295" s="14"/>
      <c r="L295" s="135"/>
      <c r="M295" s="14"/>
      <c r="N295" s="14"/>
      <c r="O295" s="14"/>
    </row>
    <row r="296" spans="4:15" ht="14.25" customHeight="1" x14ac:dyDescent="0.25">
      <c r="D296" s="31"/>
      <c r="E296" s="14"/>
      <c r="F296" s="14"/>
      <c r="G296" s="14"/>
      <c r="H296" s="14"/>
      <c r="I296" s="14"/>
      <c r="J296" s="14"/>
      <c r="K296" s="14"/>
      <c r="L296" s="135"/>
      <c r="M296" s="14"/>
      <c r="N296" s="14"/>
      <c r="O296" s="14"/>
    </row>
    <row r="297" spans="4:15" ht="14.25" customHeight="1" x14ac:dyDescent="0.25">
      <c r="D297" s="31"/>
      <c r="E297" s="14"/>
      <c r="F297" s="14"/>
      <c r="G297" s="14"/>
      <c r="H297" s="14"/>
      <c r="I297" s="14"/>
      <c r="J297" s="14"/>
      <c r="K297" s="14"/>
      <c r="L297" s="135"/>
      <c r="M297" s="14"/>
      <c r="N297" s="14"/>
      <c r="O297" s="14"/>
    </row>
    <row r="298" spans="4:15" ht="14.25" customHeight="1" x14ac:dyDescent="0.25">
      <c r="D298" s="31"/>
      <c r="E298" s="14"/>
      <c r="F298" s="14"/>
      <c r="G298" s="14"/>
      <c r="H298" s="14"/>
      <c r="I298" s="14"/>
      <c r="J298" s="14"/>
      <c r="K298" s="14"/>
      <c r="L298" s="135"/>
      <c r="M298" s="14"/>
      <c r="N298" s="14"/>
      <c r="O298" s="14"/>
    </row>
    <row r="299" spans="4:15" ht="14.25" customHeight="1" x14ac:dyDescent="0.25">
      <c r="D299" s="31"/>
      <c r="E299" s="14"/>
      <c r="F299" s="14"/>
      <c r="G299" s="14"/>
      <c r="H299" s="14"/>
      <c r="I299" s="14"/>
      <c r="J299" s="14"/>
      <c r="K299" s="14"/>
      <c r="L299" s="135"/>
      <c r="M299" s="14"/>
      <c r="N299" s="14"/>
      <c r="O299" s="14"/>
    </row>
    <row r="300" spans="4:15" ht="14.25" customHeight="1" x14ac:dyDescent="0.25">
      <c r="D300" s="31"/>
      <c r="E300" s="14"/>
      <c r="F300" s="14"/>
      <c r="G300" s="14"/>
      <c r="H300" s="14"/>
      <c r="I300" s="14"/>
      <c r="J300" s="14"/>
      <c r="K300" s="14"/>
      <c r="L300" s="135"/>
      <c r="M300" s="14"/>
      <c r="N300" s="14"/>
      <c r="O300" s="14"/>
    </row>
    <row r="301" spans="4:15" ht="14.25" customHeight="1" x14ac:dyDescent="0.25">
      <c r="D301" s="31"/>
      <c r="E301" s="14"/>
      <c r="F301" s="14"/>
      <c r="G301" s="14"/>
      <c r="H301" s="14"/>
      <c r="I301" s="14"/>
      <c r="J301" s="14"/>
      <c r="K301" s="14"/>
      <c r="L301" s="135"/>
      <c r="M301" s="14"/>
      <c r="N301" s="14"/>
      <c r="O301" s="14"/>
    </row>
    <row r="302" spans="4:15" ht="14.25" customHeight="1" x14ac:dyDescent="0.25">
      <c r="D302" s="31"/>
      <c r="E302" s="14"/>
      <c r="F302" s="14"/>
      <c r="G302" s="14"/>
      <c r="H302" s="14"/>
      <c r="I302" s="14"/>
      <c r="J302" s="14"/>
      <c r="K302" s="14"/>
      <c r="L302" s="135"/>
      <c r="M302" s="14"/>
      <c r="N302" s="14"/>
      <c r="O302" s="14"/>
    </row>
    <row r="303" spans="4:15" ht="14.25" customHeight="1" x14ac:dyDescent="0.25">
      <c r="D303" s="31"/>
      <c r="E303" s="14"/>
      <c r="F303" s="14"/>
      <c r="G303" s="14"/>
      <c r="H303" s="14"/>
      <c r="I303" s="14"/>
      <c r="J303" s="14"/>
      <c r="K303" s="14"/>
      <c r="L303" s="135"/>
      <c r="M303" s="14"/>
      <c r="N303" s="14"/>
      <c r="O303" s="14"/>
    </row>
    <row r="304" spans="4:15" ht="14.25" customHeight="1" x14ac:dyDescent="0.25">
      <c r="D304" s="31"/>
      <c r="E304" s="14"/>
      <c r="F304" s="14"/>
      <c r="G304" s="14"/>
      <c r="H304" s="14"/>
      <c r="I304" s="14"/>
      <c r="J304" s="14"/>
      <c r="K304" s="14"/>
      <c r="L304" s="135"/>
      <c r="M304" s="14"/>
      <c r="N304" s="14"/>
      <c r="O304" s="14"/>
    </row>
    <row r="305" spans="4:15" ht="14.25" customHeight="1" x14ac:dyDescent="0.25">
      <c r="D305" s="31"/>
      <c r="E305" s="14"/>
      <c r="F305" s="14"/>
      <c r="G305" s="14"/>
      <c r="H305" s="14"/>
      <c r="I305" s="14"/>
      <c r="J305" s="14"/>
      <c r="K305" s="14"/>
      <c r="L305" s="135"/>
      <c r="M305" s="14"/>
      <c r="N305" s="14"/>
      <c r="O305" s="14"/>
    </row>
    <row r="306" spans="4:15" ht="14.25" customHeight="1" x14ac:dyDescent="0.25">
      <c r="D306" s="31"/>
      <c r="E306" s="14"/>
      <c r="F306" s="14"/>
      <c r="G306" s="14"/>
      <c r="H306" s="14"/>
      <c r="I306" s="14"/>
      <c r="J306" s="14"/>
      <c r="K306" s="14"/>
      <c r="L306" s="135"/>
      <c r="M306" s="14"/>
      <c r="N306" s="14"/>
      <c r="O306" s="14"/>
    </row>
    <row r="307" spans="4:15" ht="14.25" customHeight="1" x14ac:dyDescent="0.25">
      <c r="D307" s="31"/>
      <c r="E307" s="14"/>
      <c r="F307" s="14"/>
      <c r="G307" s="14"/>
      <c r="H307" s="14"/>
      <c r="I307" s="14"/>
      <c r="J307" s="14"/>
      <c r="K307" s="14"/>
      <c r="L307" s="135"/>
      <c r="M307" s="14"/>
      <c r="N307" s="14"/>
      <c r="O307" s="14"/>
    </row>
    <row r="308" spans="4:15" ht="14.25" customHeight="1" x14ac:dyDescent="0.25">
      <c r="D308" s="31"/>
      <c r="E308" s="14"/>
      <c r="F308" s="14"/>
      <c r="G308" s="14"/>
      <c r="H308" s="14"/>
      <c r="I308" s="14"/>
      <c r="J308" s="14"/>
      <c r="K308" s="14"/>
      <c r="L308" s="135"/>
      <c r="M308" s="14"/>
      <c r="N308" s="14"/>
      <c r="O308" s="14"/>
    </row>
    <row r="309" spans="4:15" ht="14.25" customHeight="1" x14ac:dyDescent="0.25">
      <c r="D309" s="31"/>
      <c r="E309" s="14"/>
      <c r="F309" s="14"/>
      <c r="G309" s="14"/>
      <c r="H309" s="14"/>
      <c r="I309" s="14"/>
      <c r="J309" s="14"/>
      <c r="K309" s="14"/>
      <c r="L309" s="135"/>
      <c r="M309" s="14"/>
      <c r="N309" s="14"/>
      <c r="O309" s="14"/>
    </row>
    <row r="310" spans="4:15" ht="14.25" customHeight="1" x14ac:dyDescent="0.25">
      <c r="D310" s="31"/>
      <c r="E310" s="14"/>
      <c r="F310" s="14"/>
      <c r="G310" s="14"/>
      <c r="H310" s="14"/>
      <c r="I310" s="14"/>
      <c r="J310" s="14"/>
      <c r="K310" s="14"/>
      <c r="L310" s="135"/>
      <c r="M310" s="14"/>
      <c r="N310" s="14"/>
      <c r="O310" s="14"/>
    </row>
    <row r="311" spans="4:15" ht="14.25" customHeight="1" x14ac:dyDescent="0.25">
      <c r="D311" s="31"/>
      <c r="E311" s="14"/>
      <c r="F311" s="14"/>
      <c r="G311" s="14"/>
      <c r="H311" s="14"/>
      <c r="I311" s="14"/>
      <c r="J311" s="14"/>
      <c r="K311" s="14"/>
      <c r="L311" s="135"/>
      <c r="M311" s="14"/>
      <c r="N311" s="14"/>
      <c r="O311" s="14"/>
    </row>
    <row r="312" spans="4:15" ht="14.25" customHeight="1" x14ac:dyDescent="0.25">
      <c r="D312" s="31"/>
      <c r="E312" s="14"/>
      <c r="F312" s="14"/>
      <c r="G312" s="14"/>
      <c r="H312" s="14"/>
      <c r="I312" s="14"/>
      <c r="J312" s="14"/>
      <c r="K312" s="14"/>
      <c r="L312" s="135"/>
      <c r="M312" s="14"/>
      <c r="N312" s="14"/>
      <c r="O312" s="14"/>
    </row>
    <row r="313" spans="4:15" ht="14.25" customHeight="1" x14ac:dyDescent="0.25">
      <c r="D313" s="31"/>
      <c r="E313" s="14"/>
      <c r="F313" s="14"/>
      <c r="G313" s="14"/>
      <c r="H313" s="14"/>
      <c r="I313" s="14"/>
      <c r="J313" s="14"/>
      <c r="K313" s="14"/>
      <c r="L313" s="135"/>
      <c r="M313" s="14"/>
      <c r="N313" s="14"/>
      <c r="O313" s="14"/>
    </row>
    <row r="314" spans="4:15" ht="14.25" customHeight="1" x14ac:dyDescent="0.25">
      <c r="D314" s="31"/>
      <c r="E314" s="14"/>
      <c r="F314" s="14"/>
      <c r="G314" s="14"/>
      <c r="H314" s="14"/>
      <c r="I314" s="14"/>
      <c r="J314" s="14"/>
      <c r="K314" s="14"/>
      <c r="L314" s="135"/>
      <c r="M314" s="14"/>
      <c r="N314" s="14"/>
      <c r="O314" s="14"/>
    </row>
    <row r="315" spans="4:15" ht="14.25" customHeight="1" x14ac:dyDescent="0.25">
      <c r="D315" s="31"/>
      <c r="E315" s="14"/>
      <c r="F315" s="14"/>
      <c r="G315" s="14"/>
      <c r="H315" s="14"/>
      <c r="I315" s="14"/>
      <c r="J315" s="14"/>
      <c r="K315" s="14"/>
      <c r="L315" s="135"/>
      <c r="M315" s="14"/>
      <c r="N315" s="14"/>
      <c r="O315" s="14"/>
    </row>
    <row r="316" spans="4:15" ht="14.25" customHeight="1" x14ac:dyDescent="0.25">
      <c r="D316" s="31"/>
      <c r="E316" s="14"/>
      <c r="F316" s="14"/>
      <c r="G316" s="14"/>
      <c r="H316" s="14"/>
      <c r="I316" s="14"/>
      <c r="J316" s="14"/>
      <c r="K316" s="14"/>
      <c r="L316" s="135"/>
      <c r="M316" s="14"/>
      <c r="N316" s="14"/>
      <c r="O316" s="14"/>
    </row>
    <row r="317" spans="4:15" ht="14.25" customHeight="1" x14ac:dyDescent="0.25">
      <c r="D317" s="31"/>
      <c r="E317" s="14"/>
      <c r="F317" s="14"/>
      <c r="G317" s="14"/>
      <c r="H317" s="14"/>
      <c r="I317" s="14"/>
      <c r="J317" s="14"/>
      <c r="K317" s="14"/>
      <c r="L317" s="135"/>
      <c r="M317" s="14"/>
      <c r="N317" s="14"/>
      <c r="O317" s="14"/>
    </row>
    <row r="318" spans="4:15" ht="14.25" customHeight="1" x14ac:dyDescent="0.25">
      <c r="D318" s="31"/>
      <c r="E318" s="14"/>
      <c r="F318" s="14"/>
      <c r="G318" s="14"/>
      <c r="H318" s="14"/>
      <c r="I318" s="14"/>
      <c r="J318" s="14"/>
      <c r="K318" s="14"/>
      <c r="L318" s="135"/>
      <c r="M318" s="14"/>
      <c r="N318" s="14"/>
      <c r="O318" s="14"/>
    </row>
    <row r="319" spans="4:15" ht="14.25" customHeight="1" x14ac:dyDescent="0.25">
      <c r="D319" s="31"/>
      <c r="E319" s="14"/>
      <c r="F319" s="14"/>
      <c r="G319" s="14"/>
      <c r="H319" s="14"/>
      <c r="I319" s="14"/>
      <c r="J319" s="14"/>
      <c r="K319" s="14"/>
      <c r="L319" s="135"/>
      <c r="M319" s="14"/>
      <c r="N319" s="14"/>
      <c r="O319" s="14"/>
    </row>
    <row r="320" spans="4:15" ht="14.25" customHeight="1" x14ac:dyDescent="0.25">
      <c r="D320" s="31"/>
      <c r="E320" s="14"/>
      <c r="F320" s="14"/>
      <c r="G320" s="14"/>
      <c r="H320" s="14"/>
      <c r="I320" s="14"/>
      <c r="J320" s="14"/>
      <c r="K320" s="14"/>
      <c r="L320" s="135"/>
      <c r="M320" s="14"/>
      <c r="N320" s="14"/>
      <c r="O320" s="14"/>
    </row>
    <row r="321" spans="4:15" ht="14.25" customHeight="1" x14ac:dyDescent="0.25">
      <c r="D321" s="31"/>
      <c r="E321" s="14"/>
      <c r="F321" s="14"/>
      <c r="G321" s="14"/>
      <c r="H321" s="14"/>
      <c r="I321" s="14"/>
      <c r="J321" s="14"/>
      <c r="K321" s="14"/>
      <c r="L321" s="135"/>
      <c r="M321" s="14"/>
      <c r="N321" s="14"/>
      <c r="O321" s="14"/>
    </row>
    <row r="322" spans="4:15" ht="14.25" customHeight="1" x14ac:dyDescent="0.25">
      <c r="D322" s="31"/>
      <c r="E322" s="14"/>
      <c r="F322" s="14"/>
      <c r="G322" s="14"/>
      <c r="H322" s="14"/>
      <c r="I322" s="14"/>
      <c r="J322" s="14"/>
      <c r="K322" s="14"/>
      <c r="L322" s="135"/>
      <c r="M322" s="14"/>
      <c r="N322" s="14"/>
      <c r="O322" s="14"/>
    </row>
    <row r="323" spans="4:15" ht="14.25" customHeight="1" x14ac:dyDescent="0.25">
      <c r="D323" s="31"/>
      <c r="E323" s="14"/>
      <c r="F323" s="14"/>
      <c r="G323" s="14"/>
      <c r="H323" s="14"/>
      <c r="I323" s="14"/>
      <c r="J323" s="14"/>
      <c r="K323" s="14"/>
      <c r="L323" s="135"/>
      <c r="M323" s="14"/>
      <c r="N323" s="14"/>
      <c r="O323" s="14"/>
    </row>
    <row r="324" spans="4:15" ht="14.25" customHeight="1" x14ac:dyDescent="0.25">
      <c r="D324" s="31"/>
      <c r="E324" s="14"/>
      <c r="F324" s="14"/>
      <c r="G324" s="14"/>
      <c r="H324" s="14"/>
      <c r="I324" s="14"/>
      <c r="J324" s="14"/>
      <c r="K324" s="14"/>
      <c r="L324" s="135"/>
      <c r="M324" s="14"/>
      <c r="N324" s="14"/>
      <c r="O324" s="14"/>
    </row>
    <row r="325" spans="4:15" ht="14.25" customHeight="1" x14ac:dyDescent="0.25">
      <c r="D325" s="31"/>
      <c r="E325" s="14"/>
      <c r="F325" s="14"/>
      <c r="G325" s="14"/>
      <c r="H325" s="14"/>
      <c r="I325" s="14"/>
      <c r="J325" s="14"/>
      <c r="K325" s="14"/>
      <c r="L325" s="135"/>
      <c r="M325" s="14"/>
      <c r="N325" s="14"/>
      <c r="O325" s="14"/>
    </row>
    <row r="326" spans="4:15" ht="14.25" customHeight="1" x14ac:dyDescent="0.25">
      <c r="D326" s="31"/>
      <c r="E326" s="14"/>
      <c r="F326" s="14"/>
      <c r="G326" s="14"/>
      <c r="H326" s="14"/>
      <c r="I326" s="14"/>
      <c r="J326" s="14"/>
      <c r="K326" s="14"/>
      <c r="L326" s="135"/>
      <c r="M326" s="14"/>
      <c r="N326" s="14"/>
      <c r="O326" s="14"/>
    </row>
    <row r="327" spans="4:15" ht="14.25" customHeight="1" x14ac:dyDescent="0.25">
      <c r="D327" s="31"/>
      <c r="E327" s="14"/>
      <c r="F327" s="14"/>
      <c r="G327" s="14"/>
      <c r="H327" s="14"/>
      <c r="I327" s="14"/>
      <c r="J327" s="14"/>
      <c r="K327" s="14"/>
      <c r="L327" s="135"/>
      <c r="M327" s="14"/>
      <c r="N327" s="14"/>
      <c r="O327" s="14"/>
    </row>
    <row r="328" spans="4:15" ht="14.25" customHeight="1" x14ac:dyDescent="0.25">
      <c r="D328" s="31"/>
      <c r="E328" s="14"/>
      <c r="F328" s="14"/>
      <c r="G328" s="14"/>
      <c r="H328" s="14"/>
      <c r="I328" s="14"/>
      <c r="J328" s="14"/>
      <c r="K328" s="14"/>
      <c r="L328" s="135"/>
      <c r="M328" s="14"/>
      <c r="N328" s="14"/>
      <c r="O328" s="14"/>
    </row>
    <row r="329" spans="4:15" ht="14.25" customHeight="1" x14ac:dyDescent="0.25">
      <c r="D329" s="31"/>
      <c r="E329" s="14"/>
      <c r="F329" s="14"/>
      <c r="G329" s="14"/>
      <c r="H329" s="14"/>
      <c r="I329" s="14"/>
      <c r="J329" s="14"/>
      <c r="K329" s="14"/>
      <c r="L329" s="135"/>
      <c r="M329" s="14"/>
      <c r="N329" s="14"/>
      <c r="O329" s="14"/>
    </row>
    <row r="330" spans="4:15" ht="14.25" customHeight="1" x14ac:dyDescent="0.25">
      <c r="D330" s="31"/>
      <c r="E330" s="14"/>
      <c r="F330" s="14"/>
      <c r="G330" s="14"/>
      <c r="H330" s="14"/>
      <c r="I330" s="14"/>
      <c r="J330" s="14"/>
      <c r="K330" s="14"/>
      <c r="L330" s="135"/>
      <c r="M330" s="14"/>
      <c r="N330" s="14"/>
      <c r="O330" s="14"/>
    </row>
    <row r="331" spans="4:15" ht="14.25" customHeight="1" x14ac:dyDescent="0.25">
      <c r="D331" s="31"/>
      <c r="E331" s="14"/>
      <c r="F331" s="14"/>
      <c r="G331" s="14"/>
      <c r="H331" s="14"/>
      <c r="I331" s="14"/>
      <c r="J331" s="14"/>
      <c r="K331" s="14"/>
      <c r="L331" s="135"/>
      <c r="M331" s="14"/>
      <c r="N331" s="14"/>
      <c r="O331" s="14"/>
    </row>
    <row r="332" spans="4:15" ht="14.25" customHeight="1" x14ac:dyDescent="0.25">
      <c r="D332" s="31"/>
      <c r="E332" s="14"/>
      <c r="F332" s="14"/>
      <c r="G332" s="14"/>
      <c r="H332" s="14"/>
      <c r="I332" s="14"/>
      <c r="J332" s="14"/>
      <c r="K332" s="14"/>
      <c r="L332" s="135"/>
      <c r="M332" s="14"/>
      <c r="N332" s="14"/>
      <c r="O332" s="14"/>
    </row>
    <row r="333" spans="4:15" ht="14.25" customHeight="1" x14ac:dyDescent="0.25">
      <c r="D333" s="31"/>
      <c r="E333" s="14"/>
      <c r="F333" s="14"/>
      <c r="G333" s="14"/>
      <c r="H333" s="14"/>
      <c r="I333" s="14"/>
      <c r="J333" s="14"/>
      <c r="K333" s="14"/>
      <c r="L333" s="135"/>
      <c r="M333" s="14"/>
      <c r="N333" s="14"/>
      <c r="O333" s="14"/>
    </row>
    <row r="334" spans="4:15" ht="14.25" customHeight="1" x14ac:dyDescent="0.25">
      <c r="D334" s="31"/>
      <c r="E334" s="14"/>
      <c r="F334" s="14"/>
      <c r="G334" s="14"/>
      <c r="H334" s="14"/>
      <c r="I334" s="14"/>
      <c r="J334" s="14"/>
      <c r="K334" s="14"/>
      <c r="L334" s="135"/>
      <c r="M334" s="14"/>
      <c r="N334" s="14"/>
      <c r="O334" s="14"/>
    </row>
    <row r="335" spans="4:15" ht="14.25" customHeight="1" x14ac:dyDescent="0.25">
      <c r="D335" s="31"/>
      <c r="E335" s="14"/>
      <c r="F335" s="14"/>
      <c r="G335" s="14"/>
      <c r="H335" s="14"/>
      <c r="I335" s="14"/>
      <c r="J335" s="14"/>
      <c r="K335" s="14"/>
      <c r="L335" s="135"/>
      <c r="M335" s="14"/>
      <c r="N335" s="14"/>
      <c r="O335" s="14"/>
    </row>
    <row r="336" spans="4:15" ht="14.25" customHeight="1" x14ac:dyDescent="0.25">
      <c r="D336" s="31"/>
      <c r="E336" s="14"/>
      <c r="F336" s="14"/>
      <c r="G336" s="14"/>
      <c r="H336" s="14"/>
      <c r="I336" s="14"/>
      <c r="J336" s="14"/>
      <c r="K336" s="14"/>
      <c r="L336" s="135"/>
      <c r="M336" s="14"/>
      <c r="N336" s="14"/>
      <c r="O336" s="14"/>
    </row>
    <row r="337" spans="4:15" ht="14.25" customHeight="1" x14ac:dyDescent="0.25">
      <c r="D337" s="31"/>
      <c r="E337" s="14"/>
      <c r="F337" s="14"/>
      <c r="G337" s="14"/>
      <c r="H337" s="14"/>
      <c r="I337" s="14"/>
      <c r="J337" s="14"/>
      <c r="K337" s="14"/>
      <c r="L337" s="135"/>
      <c r="M337" s="14"/>
      <c r="N337" s="14"/>
      <c r="O337" s="14"/>
    </row>
    <row r="338" spans="4:15" ht="14.25" customHeight="1" x14ac:dyDescent="0.25">
      <c r="D338" s="31"/>
      <c r="E338" s="14"/>
      <c r="F338" s="14"/>
      <c r="G338" s="14"/>
      <c r="H338" s="14"/>
      <c r="I338" s="14"/>
      <c r="J338" s="14"/>
      <c r="K338" s="14"/>
      <c r="L338" s="135"/>
      <c r="M338" s="14"/>
      <c r="N338" s="14"/>
      <c r="O338" s="14"/>
    </row>
    <row r="339" spans="4:15" ht="14.25" customHeight="1" x14ac:dyDescent="0.25">
      <c r="D339" s="31"/>
      <c r="E339" s="14"/>
      <c r="F339" s="14"/>
      <c r="G339" s="14"/>
      <c r="H339" s="14"/>
      <c r="I339" s="14"/>
      <c r="J339" s="14"/>
      <c r="K339" s="14"/>
      <c r="L339" s="135"/>
      <c r="M339" s="14"/>
      <c r="N339" s="14"/>
      <c r="O339" s="14"/>
    </row>
    <row r="340" spans="4:15" ht="14.25" customHeight="1" x14ac:dyDescent="0.25">
      <c r="D340" s="31"/>
      <c r="E340" s="14"/>
      <c r="F340" s="14"/>
      <c r="G340" s="14"/>
      <c r="H340" s="14"/>
      <c r="I340" s="14"/>
      <c r="J340" s="14"/>
      <c r="K340" s="14"/>
      <c r="L340" s="135"/>
      <c r="M340" s="14"/>
      <c r="N340" s="14"/>
      <c r="O340" s="14"/>
    </row>
    <row r="341" spans="4:15" ht="14.25" customHeight="1" x14ac:dyDescent="0.25">
      <c r="D341" s="31"/>
      <c r="E341" s="14"/>
      <c r="F341" s="14"/>
      <c r="G341" s="14"/>
      <c r="H341" s="14"/>
      <c r="I341" s="14"/>
      <c r="J341" s="14"/>
      <c r="K341" s="14"/>
      <c r="L341" s="135"/>
      <c r="M341" s="14"/>
      <c r="N341" s="14"/>
      <c r="O341" s="14"/>
    </row>
    <row r="342" spans="4:15" ht="14.25" customHeight="1" x14ac:dyDescent="0.25">
      <c r="D342" s="31"/>
      <c r="E342" s="14"/>
      <c r="F342" s="14"/>
      <c r="G342" s="14"/>
      <c r="H342" s="14"/>
      <c r="I342" s="14"/>
      <c r="J342" s="14"/>
      <c r="K342" s="14"/>
      <c r="L342" s="135"/>
      <c r="M342" s="14"/>
      <c r="N342" s="14"/>
      <c r="O342" s="14"/>
    </row>
    <row r="343" spans="4:15" ht="14.25" customHeight="1" x14ac:dyDescent="0.25">
      <c r="D343" s="31"/>
      <c r="E343" s="14"/>
      <c r="F343" s="14"/>
      <c r="G343" s="14"/>
      <c r="H343" s="14"/>
      <c r="I343" s="14"/>
      <c r="J343" s="14"/>
      <c r="K343" s="14"/>
      <c r="L343" s="135"/>
      <c r="M343" s="14"/>
      <c r="N343" s="14"/>
      <c r="O343" s="14"/>
    </row>
    <row r="344" spans="4:15" ht="14.25" customHeight="1" x14ac:dyDescent="0.25">
      <c r="D344" s="31"/>
      <c r="E344" s="14"/>
      <c r="F344" s="14"/>
      <c r="G344" s="14"/>
      <c r="H344" s="14"/>
      <c r="I344" s="14"/>
      <c r="J344" s="14"/>
      <c r="K344" s="14"/>
      <c r="L344" s="135"/>
      <c r="M344" s="14"/>
      <c r="N344" s="14"/>
      <c r="O344" s="14"/>
    </row>
    <row r="345" spans="4:15" ht="14.25" customHeight="1" x14ac:dyDescent="0.25">
      <c r="D345" s="31"/>
      <c r="E345" s="14"/>
      <c r="F345" s="14"/>
      <c r="G345" s="14"/>
      <c r="H345" s="14"/>
      <c r="I345" s="14"/>
      <c r="J345" s="14"/>
      <c r="K345" s="14"/>
      <c r="L345" s="135"/>
      <c r="M345" s="14"/>
      <c r="N345" s="14"/>
      <c r="O345" s="14"/>
    </row>
    <row r="346" spans="4:15" ht="14.25" customHeight="1" x14ac:dyDescent="0.25">
      <c r="D346" s="31"/>
      <c r="E346" s="14"/>
      <c r="F346" s="14"/>
      <c r="G346" s="14"/>
      <c r="H346" s="14"/>
      <c r="I346" s="14"/>
      <c r="J346" s="14"/>
      <c r="K346" s="14"/>
      <c r="L346" s="135"/>
      <c r="M346" s="14"/>
      <c r="N346" s="14"/>
      <c r="O346" s="14"/>
    </row>
    <row r="347" spans="4:15" ht="14.25" customHeight="1" x14ac:dyDescent="0.25">
      <c r="D347" s="31"/>
      <c r="E347" s="14"/>
      <c r="F347" s="14"/>
      <c r="G347" s="14"/>
      <c r="H347" s="14"/>
      <c r="I347" s="14"/>
      <c r="J347" s="14"/>
      <c r="K347" s="14"/>
      <c r="L347" s="135"/>
      <c r="M347" s="14"/>
      <c r="N347" s="14"/>
      <c r="O347" s="14"/>
    </row>
    <row r="348" spans="4:15" ht="14.25" customHeight="1" x14ac:dyDescent="0.25">
      <c r="D348" s="31"/>
      <c r="E348" s="14"/>
      <c r="F348" s="14"/>
      <c r="G348" s="14"/>
      <c r="H348" s="14"/>
      <c r="I348" s="14"/>
      <c r="J348" s="14"/>
      <c r="K348" s="14"/>
      <c r="L348" s="135"/>
      <c r="M348" s="14"/>
      <c r="N348" s="14"/>
      <c r="O348" s="14"/>
    </row>
    <row r="349" spans="4:15" ht="14.25" customHeight="1" x14ac:dyDescent="0.25">
      <c r="D349" s="31"/>
      <c r="E349" s="14"/>
      <c r="F349" s="14"/>
      <c r="G349" s="14"/>
      <c r="H349" s="14"/>
      <c r="I349" s="14"/>
      <c r="J349" s="14"/>
      <c r="K349" s="14"/>
      <c r="L349" s="135"/>
      <c r="M349" s="14"/>
      <c r="N349" s="14"/>
      <c r="O349" s="14"/>
    </row>
    <row r="350" spans="4:15" ht="14.25" customHeight="1" x14ac:dyDescent="0.25">
      <c r="D350" s="31"/>
      <c r="E350" s="14"/>
      <c r="F350" s="14"/>
      <c r="G350" s="14"/>
      <c r="H350" s="14"/>
      <c r="I350" s="14"/>
      <c r="J350" s="14"/>
      <c r="K350" s="14"/>
      <c r="L350" s="135"/>
      <c r="M350" s="14"/>
      <c r="N350" s="14"/>
      <c r="O350" s="14"/>
    </row>
    <row r="351" spans="4:15" ht="14.25" customHeight="1" x14ac:dyDescent="0.25">
      <c r="D351" s="31"/>
      <c r="E351" s="14"/>
      <c r="F351" s="14"/>
      <c r="G351" s="14"/>
      <c r="H351" s="14"/>
      <c r="I351" s="14"/>
      <c r="J351" s="14"/>
      <c r="K351" s="14"/>
      <c r="L351" s="135"/>
      <c r="M351" s="14"/>
      <c r="N351" s="14"/>
      <c r="O351" s="14"/>
    </row>
    <row r="352" spans="4:15" ht="14.25" customHeight="1" x14ac:dyDescent="0.25">
      <c r="D352" s="31"/>
      <c r="E352" s="14"/>
      <c r="F352" s="14"/>
      <c r="G352" s="14"/>
      <c r="H352" s="14"/>
      <c r="I352" s="14"/>
      <c r="J352" s="14"/>
      <c r="K352" s="14"/>
      <c r="L352" s="135"/>
      <c r="M352" s="14"/>
      <c r="N352" s="14"/>
      <c r="O352" s="14"/>
    </row>
    <row r="353" spans="4:15" ht="14.25" customHeight="1" x14ac:dyDescent="0.25">
      <c r="D353" s="31"/>
      <c r="E353" s="14"/>
      <c r="F353" s="14"/>
      <c r="G353" s="14"/>
      <c r="H353" s="14"/>
      <c r="I353" s="14"/>
      <c r="J353" s="14"/>
      <c r="K353" s="14"/>
      <c r="L353" s="135"/>
      <c r="M353" s="14"/>
      <c r="N353" s="14"/>
      <c r="O353" s="14"/>
    </row>
    <row r="354" spans="4:15" ht="14.25" customHeight="1" x14ac:dyDescent="0.25">
      <c r="D354" s="31"/>
      <c r="E354" s="14"/>
      <c r="F354" s="14"/>
      <c r="G354" s="14"/>
      <c r="H354" s="14"/>
      <c r="I354" s="14"/>
      <c r="J354" s="14"/>
      <c r="K354" s="14"/>
      <c r="L354" s="135"/>
      <c r="M354" s="14"/>
      <c r="N354" s="14"/>
      <c r="O354" s="14"/>
    </row>
    <row r="355" spans="4:15" ht="14.25" customHeight="1" x14ac:dyDescent="0.25">
      <c r="D355" s="31"/>
      <c r="E355" s="14"/>
      <c r="F355" s="14"/>
      <c r="G355" s="14"/>
      <c r="H355" s="14"/>
      <c r="I355" s="14"/>
      <c r="J355" s="14"/>
      <c r="K355" s="14"/>
      <c r="L355" s="135"/>
      <c r="M355" s="14"/>
      <c r="N355" s="14"/>
      <c r="O355" s="14"/>
    </row>
    <row r="356" spans="4:15" ht="14.25" customHeight="1" x14ac:dyDescent="0.25">
      <c r="D356" s="31"/>
      <c r="E356" s="14"/>
      <c r="F356" s="14"/>
      <c r="G356" s="14"/>
      <c r="H356" s="14"/>
      <c r="I356" s="14"/>
      <c r="J356" s="14"/>
      <c r="K356" s="14"/>
      <c r="L356" s="135"/>
      <c r="M356" s="14"/>
      <c r="N356" s="14"/>
      <c r="O356" s="14"/>
    </row>
    <row r="357" spans="4:15" ht="14.25" customHeight="1" x14ac:dyDescent="0.25">
      <c r="D357" s="31"/>
      <c r="E357" s="14"/>
      <c r="F357" s="14"/>
      <c r="G357" s="14"/>
      <c r="H357" s="14"/>
      <c r="I357" s="14"/>
      <c r="J357" s="14"/>
      <c r="K357" s="14"/>
      <c r="L357" s="135"/>
      <c r="M357" s="14"/>
      <c r="N357" s="14"/>
      <c r="O357" s="14"/>
    </row>
    <row r="358" spans="4:15" ht="14.25" customHeight="1" x14ac:dyDescent="0.25">
      <c r="D358" s="31"/>
      <c r="E358" s="14"/>
      <c r="F358" s="14"/>
      <c r="G358" s="14"/>
      <c r="H358" s="14"/>
      <c r="I358" s="14"/>
      <c r="J358" s="14"/>
      <c r="K358" s="14"/>
      <c r="L358" s="135"/>
      <c r="M358" s="14"/>
      <c r="N358" s="14"/>
      <c r="O358" s="14"/>
    </row>
    <row r="359" spans="4:15" ht="14.25" customHeight="1" x14ac:dyDescent="0.25">
      <c r="D359" s="31"/>
      <c r="E359" s="14"/>
      <c r="F359" s="14"/>
      <c r="G359" s="14"/>
      <c r="H359" s="14"/>
      <c r="I359" s="14"/>
      <c r="J359" s="14"/>
      <c r="K359" s="14"/>
      <c r="L359" s="135"/>
      <c r="M359" s="14"/>
      <c r="N359" s="14"/>
      <c r="O359" s="14"/>
    </row>
    <row r="360" spans="4:15" ht="14.25" customHeight="1" x14ac:dyDescent="0.25">
      <c r="D360" s="31"/>
      <c r="E360" s="14"/>
      <c r="F360" s="14"/>
      <c r="G360" s="14"/>
      <c r="H360" s="14"/>
      <c r="I360" s="14"/>
      <c r="J360" s="14"/>
      <c r="K360" s="14"/>
      <c r="L360" s="135"/>
      <c r="M360" s="14"/>
      <c r="N360" s="14"/>
      <c r="O360" s="14"/>
    </row>
    <row r="361" spans="4:15" ht="14.25" customHeight="1" x14ac:dyDescent="0.25">
      <c r="D361" s="31"/>
      <c r="E361" s="14"/>
      <c r="F361" s="14"/>
      <c r="G361" s="14"/>
      <c r="H361" s="14"/>
      <c r="I361" s="14"/>
      <c r="J361" s="14"/>
      <c r="K361" s="14"/>
      <c r="L361" s="135"/>
      <c r="M361" s="14"/>
      <c r="N361" s="14"/>
      <c r="O361" s="14"/>
    </row>
    <row r="362" spans="4:15" ht="14.25" customHeight="1" x14ac:dyDescent="0.25">
      <c r="D362" s="31"/>
      <c r="E362" s="14"/>
      <c r="F362" s="14"/>
      <c r="G362" s="14"/>
      <c r="H362" s="14"/>
      <c r="I362" s="14"/>
      <c r="J362" s="14"/>
      <c r="K362" s="14"/>
      <c r="L362" s="135"/>
      <c r="M362" s="14"/>
      <c r="N362" s="14"/>
      <c r="O362" s="14"/>
    </row>
    <row r="363" spans="4:15" ht="14.25" customHeight="1" x14ac:dyDescent="0.25">
      <c r="D363" s="31"/>
      <c r="E363" s="14"/>
      <c r="F363" s="14"/>
      <c r="G363" s="14"/>
      <c r="H363" s="14"/>
      <c r="I363" s="14"/>
      <c r="J363" s="14"/>
      <c r="K363" s="14"/>
      <c r="L363" s="135"/>
      <c r="M363" s="14"/>
      <c r="N363" s="14"/>
      <c r="O363" s="14"/>
    </row>
    <row r="364" spans="4:15" ht="14.25" customHeight="1" x14ac:dyDescent="0.25">
      <c r="D364" s="31"/>
      <c r="E364" s="14"/>
      <c r="F364" s="14"/>
      <c r="G364" s="14"/>
      <c r="H364" s="14"/>
      <c r="I364" s="14"/>
      <c r="J364" s="14"/>
      <c r="K364" s="14"/>
      <c r="L364" s="135"/>
      <c r="M364" s="14"/>
      <c r="N364" s="14"/>
      <c r="O364" s="14"/>
    </row>
    <row r="365" spans="4:15" ht="14.25" customHeight="1" x14ac:dyDescent="0.25">
      <c r="D365" s="31"/>
      <c r="E365" s="14"/>
      <c r="F365" s="14"/>
      <c r="G365" s="14"/>
      <c r="H365" s="14"/>
      <c r="I365" s="14"/>
      <c r="J365" s="14"/>
      <c r="K365" s="14"/>
      <c r="L365" s="135"/>
      <c r="M365" s="14"/>
      <c r="N365" s="14"/>
      <c r="O365" s="14"/>
    </row>
    <row r="366" spans="4:15" ht="14.25" customHeight="1" x14ac:dyDescent="0.25">
      <c r="D366" s="31"/>
      <c r="E366" s="14"/>
      <c r="F366" s="14"/>
      <c r="G366" s="14"/>
      <c r="H366" s="14"/>
      <c r="I366" s="14"/>
      <c r="J366" s="14"/>
      <c r="K366" s="14"/>
      <c r="L366" s="135"/>
      <c r="M366" s="14"/>
      <c r="N366" s="14"/>
      <c r="O366" s="14"/>
    </row>
    <row r="367" spans="4:15" ht="14.25" customHeight="1" x14ac:dyDescent="0.25">
      <c r="D367" s="31"/>
      <c r="E367" s="14"/>
      <c r="F367" s="14"/>
      <c r="G367" s="14"/>
      <c r="H367" s="14"/>
      <c r="I367" s="14"/>
      <c r="J367" s="14"/>
      <c r="K367" s="14"/>
      <c r="L367" s="135"/>
      <c r="M367" s="14"/>
      <c r="N367" s="14"/>
      <c r="O367" s="14"/>
    </row>
    <row r="368" spans="4:15" ht="14.25" customHeight="1" x14ac:dyDescent="0.25">
      <c r="D368" s="31"/>
      <c r="E368" s="14"/>
      <c r="F368" s="14"/>
      <c r="G368" s="14"/>
      <c r="H368" s="14"/>
      <c r="I368" s="14"/>
      <c r="J368" s="14"/>
      <c r="K368" s="14"/>
      <c r="L368" s="135"/>
      <c r="M368" s="14"/>
      <c r="N368" s="14"/>
      <c r="O368" s="14"/>
    </row>
    <row r="369" spans="4:15" ht="14.25" customHeight="1" x14ac:dyDescent="0.25">
      <c r="D369" s="31"/>
      <c r="E369" s="14"/>
      <c r="F369" s="14"/>
      <c r="G369" s="14"/>
      <c r="H369" s="14"/>
      <c r="I369" s="14"/>
      <c r="J369" s="14"/>
      <c r="K369" s="14"/>
      <c r="L369" s="135"/>
      <c r="M369" s="14"/>
      <c r="N369" s="14"/>
      <c r="O369" s="14"/>
    </row>
    <row r="370" spans="4:15" ht="14.25" customHeight="1" x14ac:dyDescent="0.25">
      <c r="D370" s="31"/>
      <c r="E370" s="14"/>
      <c r="F370" s="14"/>
      <c r="G370" s="14"/>
      <c r="H370" s="14"/>
      <c r="I370" s="14"/>
      <c r="J370" s="14"/>
      <c r="K370" s="14"/>
      <c r="L370" s="135"/>
      <c r="M370" s="14"/>
      <c r="N370" s="14"/>
      <c r="O370" s="14"/>
    </row>
    <row r="371" spans="4:15" ht="14.25" customHeight="1" x14ac:dyDescent="0.25">
      <c r="D371" s="31"/>
      <c r="E371" s="14"/>
      <c r="F371" s="14"/>
      <c r="G371" s="14"/>
      <c r="H371" s="14"/>
      <c r="I371" s="14"/>
      <c r="J371" s="14"/>
      <c r="K371" s="14"/>
      <c r="L371" s="135"/>
      <c r="M371" s="14"/>
      <c r="N371" s="14"/>
      <c r="O371" s="14"/>
    </row>
    <row r="372" spans="4:15" ht="14.25" customHeight="1" x14ac:dyDescent="0.25">
      <c r="D372" s="31"/>
      <c r="E372" s="14"/>
      <c r="F372" s="14"/>
      <c r="G372" s="14"/>
      <c r="H372" s="14"/>
      <c r="I372" s="14"/>
      <c r="J372" s="14"/>
      <c r="K372" s="14"/>
      <c r="L372" s="135"/>
      <c r="M372" s="14"/>
      <c r="N372" s="14"/>
      <c r="O372" s="14"/>
    </row>
    <row r="373" spans="4:15" ht="14.25" customHeight="1" x14ac:dyDescent="0.25">
      <c r="D373" s="31"/>
      <c r="E373" s="14"/>
      <c r="F373" s="14"/>
      <c r="G373" s="14"/>
      <c r="H373" s="14"/>
      <c r="I373" s="14"/>
      <c r="J373" s="14"/>
      <c r="K373" s="14"/>
      <c r="L373" s="135"/>
      <c r="M373" s="14"/>
      <c r="N373" s="14"/>
      <c r="O373" s="14"/>
    </row>
    <row r="374" spans="4:15" ht="14.25" customHeight="1" x14ac:dyDescent="0.25">
      <c r="D374" s="31"/>
      <c r="E374" s="14"/>
      <c r="F374" s="14"/>
      <c r="G374" s="14"/>
      <c r="H374" s="14"/>
      <c r="I374" s="14"/>
      <c r="J374" s="14"/>
      <c r="K374" s="14"/>
      <c r="L374" s="135"/>
      <c r="M374" s="14"/>
      <c r="N374" s="14"/>
      <c r="O374" s="14"/>
    </row>
    <row r="375" spans="4:15" ht="14.25" customHeight="1" x14ac:dyDescent="0.25">
      <c r="D375" s="31"/>
      <c r="E375" s="14"/>
      <c r="F375" s="14"/>
      <c r="G375" s="14"/>
      <c r="H375" s="14"/>
      <c r="I375" s="14"/>
      <c r="J375" s="14"/>
      <c r="K375" s="14"/>
      <c r="L375" s="135"/>
      <c r="M375" s="14"/>
      <c r="N375" s="14"/>
      <c r="O375" s="14"/>
    </row>
    <row r="376" spans="4:15" ht="14.25" customHeight="1" x14ac:dyDescent="0.25">
      <c r="D376" s="31"/>
      <c r="E376" s="14"/>
      <c r="F376" s="14"/>
      <c r="G376" s="14"/>
      <c r="H376" s="14"/>
      <c r="I376" s="14"/>
      <c r="J376" s="14"/>
      <c r="K376" s="14"/>
      <c r="L376" s="135"/>
      <c r="M376" s="14"/>
      <c r="N376" s="14"/>
      <c r="O376" s="14"/>
    </row>
    <row r="377" spans="4:15" ht="14.25" customHeight="1" x14ac:dyDescent="0.25">
      <c r="D377" s="31"/>
      <c r="E377" s="14"/>
      <c r="F377" s="14"/>
      <c r="G377" s="14"/>
      <c r="H377" s="14"/>
      <c r="I377" s="14"/>
      <c r="J377" s="14"/>
      <c r="K377" s="14"/>
      <c r="L377" s="135"/>
      <c r="M377" s="14"/>
      <c r="N377" s="14"/>
      <c r="O377" s="14"/>
    </row>
    <row r="378" spans="4:15" ht="14.25" customHeight="1" x14ac:dyDescent="0.25">
      <c r="D378" s="31"/>
      <c r="E378" s="14"/>
      <c r="F378" s="14"/>
      <c r="G378" s="14"/>
      <c r="H378" s="14"/>
      <c r="I378" s="14"/>
      <c r="J378" s="14"/>
      <c r="K378" s="14"/>
      <c r="L378" s="135"/>
      <c r="M378" s="14"/>
      <c r="N378" s="14"/>
      <c r="O378" s="14"/>
    </row>
    <row r="379" spans="4:15" ht="14.25" customHeight="1" x14ac:dyDescent="0.25">
      <c r="D379" s="31"/>
      <c r="E379" s="14"/>
      <c r="F379" s="14"/>
      <c r="G379" s="14"/>
      <c r="H379" s="14"/>
      <c r="I379" s="14"/>
      <c r="J379" s="14"/>
      <c r="K379" s="14"/>
      <c r="L379" s="135"/>
      <c r="M379" s="14"/>
      <c r="N379" s="14"/>
      <c r="O379" s="14"/>
    </row>
    <row r="380" spans="4:15" ht="14.25" customHeight="1" x14ac:dyDescent="0.25">
      <c r="D380" s="31"/>
      <c r="E380" s="14"/>
      <c r="F380" s="14"/>
      <c r="G380" s="14"/>
      <c r="H380" s="14"/>
      <c r="I380" s="14"/>
      <c r="J380" s="14"/>
      <c r="K380" s="14"/>
      <c r="L380" s="135"/>
      <c r="M380" s="14"/>
      <c r="N380" s="14"/>
      <c r="O380" s="14"/>
    </row>
    <row r="381" spans="4:15" ht="14.25" customHeight="1" x14ac:dyDescent="0.25">
      <c r="D381" s="31"/>
      <c r="E381" s="14"/>
      <c r="F381" s="14"/>
      <c r="G381" s="14"/>
      <c r="H381" s="14"/>
      <c r="I381" s="14"/>
      <c r="J381" s="14"/>
      <c r="K381" s="14"/>
      <c r="L381" s="135"/>
      <c r="M381" s="14"/>
      <c r="N381" s="14"/>
      <c r="O381" s="14"/>
    </row>
    <row r="382" spans="4:15" ht="14.25" customHeight="1" x14ac:dyDescent="0.25">
      <c r="D382" s="31"/>
      <c r="E382" s="14"/>
      <c r="F382" s="14"/>
      <c r="G382" s="14"/>
      <c r="H382" s="14"/>
      <c r="I382" s="14"/>
      <c r="J382" s="14"/>
      <c r="K382" s="14"/>
      <c r="L382" s="135"/>
      <c r="M382" s="14"/>
      <c r="N382" s="14"/>
      <c r="O382" s="14"/>
    </row>
    <row r="383" spans="4:15" ht="14.25" customHeight="1" x14ac:dyDescent="0.25">
      <c r="D383" s="31"/>
      <c r="E383" s="14"/>
      <c r="F383" s="14"/>
      <c r="G383" s="14"/>
      <c r="H383" s="14"/>
      <c r="I383" s="14"/>
      <c r="J383" s="14"/>
      <c r="K383" s="14"/>
      <c r="L383" s="135"/>
      <c r="M383" s="14"/>
      <c r="N383" s="14"/>
      <c r="O383" s="14"/>
    </row>
    <row r="384" spans="4:15" ht="14.25" customHeight="1" x14ac:dyDescent="0.25">
      <c r="D384" s="31"/>
      <c r="E384" s="14"/>
      <c r="F384" s="14"/>
      <c r="G384" s="14"/>
      <c r="H384" s="14"/>
      <c r="I384" s="14"/>
      <c r="J384" s="14"/>
      <c r="K384" s="14"/>
      <c r="L384" s="135"/>
      <c r="M384" s="14"/>
      <c r="N384" s="14"/>
      <c r="O384" s="14"/>
    </row>
    <row r="385" spans="4:15" ht="14.25" customHeight="1" x14ac:dyDescent="0.25">
      <c r="D385" s="31"/>
      <c r="E385" s="14"/>
      <c r="F385" s="14"/>
      <c r="G385" s="14"/>
      <c r="H385" s="14"/>
      <c r="I385" s="14"/>
      <c r="J385" s="14"/>
      <c r="K385" s="14"/>
      <c r="L385" s="135"/>
      <c r="M385" s="14"/>
      <c r="N385" s="14"/>
      <c r="O385" s="14"/>
    </row>
    <row r="386" spans="4:15" ht="14.25" customHeight="1" x14ac:dyDescent="0.25">
      <c r="D386" s="31"/>
      <c r="E386" s="14"/>
      <c r="F386" s="14"/>
      <c r="G386" s="14"/>
      <c r="H386" s="14"/>
      <c r="I386" s="14"/>
      <c r="J386" s="14"/>
      <c r="K386" s="14"/>
      <c r="L386" s="135"/>
      <c r="M386" s="14"/>
      <c r="N386" s="14"/>
      <c r="O386" s="14"/>
    </row>
    <row r="387" spans="4:15" ht="14.25" customHeight="1" x14ac:dyDescent="0.25">
      <c r="D387" s="31"/>
      <c r="E387" s="14"/>
      <c r="F387" s="14"/>
      <c r="G387" s="14"/>
      <c r="H387" s="14"/>
      <c r="I387" s="14"/>
      <c r="J387" s="14"/>
      <c r="K387" s="14"/>
      <c r="L387" s="135"/>
      <c r="M387" s="14"/>
      <c r="N387" s="14"/>
      <c r="O387" s="14"/>
    </row>
    <row r="388" spans="4:15" ht="14.25" customHeight="1" x14ac:dyDescent="0.25">
      <c r="D388" s="31"/>
      <c r="E388" s="14"/>
      <c r="F388" s="14"/>
      <c r="G388" s="14"/>
      <c r="H388" s="14"/>
      <c r="I388" s="14"/>
      <c r="J388" s="14"/>
      <c r="K388" s="14"/>
      <c r="L388" s="135"/>
      <c r="M388" s="14"/>
      <c r="N388" s="14"/>
      <c r="O388" s="14"/>
    </row>
    <row r="389" spans="4:15" ht="14.25" customHeight="1" x14ac:dyDescent="0.25">
      <c r="D389" s="31"/>
      <c r="E389" s="14"/>
      <c r="F389" s="14"/>
      <c r="G389" s="14"/>
      <c r="H389" s="14"/>
      <c r="I389" s="14"/>
      <c r="J389" s="14"/>
      <c r="K389" s="14"/>
      <c r="L389" s="135"/>
      <c r="M389" s="14"/>
      <c r="N389" s="14"/>
      <c r="O389" s="14"/>
    </row>
    <row r="390" spans="4:15" ht="14.25" customHeight="1" x14ac:dyDescent="0.25">
      <c r="D390" s="31"/>
      <c r="E390" s="14"/>
      <c r="F390" s="14"/>
      <c r="G390" s="14"/>
      <c r="H390" s="14"/>
      <c r="I390" s="14"/>
      <c r="J390" s="14"/>
      <c r="K390" s="14"/>
      <c r="L390" s="135"/>
      <c r="M390" s="14"/>
      <c r="N390" s="14"/>
      <c r="O390" s="14"/>
    </row>
    <row r="391" spans="4:15" ht="14.25" customHeight="1" x14ac:dyDescent="0.25">
      <c r="D391" s="31"/>
      <c r="E391" s="14"/>
      <c r="F391" s="14"/>
      <c r="G391" s="14"/>
      <c r="H391" s="14"/>
      <c r="I391" s="14"/>
      <c r="J391" s="14"/>
      <c r="K391" s="14"/>
      <c r="L391" s="135"/>
      <c r="M391" s="14"/>
      <c r="N391" s="14"/>
      <c r="O391" s="14"/>
    </row>
    <row r="392" spans="4:15" ht="14.25" customHeight="1" x14ac:dyDescent="0.25">
      <c r="D392" s="31"/>
      <c r="E392" s="14"/>
      <c r="F392" s="14"/>
      <c r="G392" s="14"/>
      <c r="H392" s="14"/>
      <c r="I392" s="14"/>
      <c r="J392" s="14"/>
      <c r="K392" s="14"/>
      <c r="L392" s="135"/>
      <c r="M392" s="14"/>
      <c r="N392" s="14"/>
      <c r="O392" s="14"/>
    </row>
    <row r="393" spans="4:15" ht="14.25" customHeight="1" x14ac:dyDescent="0.25">
      <c r="D393" s="31"/>
      <c r="E393" s="14"/>
      <c r="F393" s="14"/>
      <c r="G393" s="14"/>
      <c r="H393" s="14"/>
      <c r="I393" s="14"/>
      <c r="J393" s="14"/>
      <c r="K393" s="14"/>
      <c r="L393" s="135"/>
      <c r="M393" s="14"/>
      <c r="N393" s="14"/>
      <c r="O393" s="14"/>
    </row>
    <row r="394" spans="4:15" ht="14.25" customHeight="1" x14ac:dyDescent="0.25">
      <c r="D394" s="31"/>
      <c r="E394" s="14"/>
      <c r="F394" s="14"/>
      <c r="G394" s="14"/>
      <c r="H394" s="14"/>
      <c r="I394" s="14"/>
      <c r="J394" s="14"/>
      <c r="K394" s="14"/>
      <c r="L394" s="135"/>
      <c r="M394" s="14"/>
      <c r="N394" s="14"/>
      <c r="O394" s="14"/>
    </row>
    <row r="395" spans="4:15" ht="14.25" customHeight="1" x14ac:dyDescent="0.25">
      <c r="D395" s="31"/>
      <c r="E395" s="14"/>
      <c r="F395" s="14"/>
      <c r="G395" s="14"/>
      <c r="H395" s="14"/>
      <c r="I395" s="14"/>
      <c r="J395" s="14"/>
      <c r="K395" s="14"/>
      <c r="L395" s="135"/>
      <c r="M395" s="14"/>
      <c r="N395" s="14"/>
      <c r="O395" s="14"/>
    </row>
    <row r="396" spans="4:15" ht="14.25" customHeight="1" x14ac:dyDescent="0.25">
      <c r="D396" s="31"/>
      <c r="E396" s="14"/>
      <c r="F396" s="14"/>
      <c r="G396" s="14"/>
      <c r="H396" s="14"/>
      <c r="I396" s="14"/>
      <c r="J396" s="14"/>
      <c r="K396" s="14"/>
      <c r="L396" s="135"/>
      <c r="M396" s="14"/>
      <c r="N396" s="14"/>
      <c r="O396" s="14"/>
    </row>
    <row r="397" spans="4:15" ht="14.25" customHeight="1" x14ac:dyDescent="0.25">
      <c r="D397" s="31"/>
      <c r="E397" s="14"/>
      <c r="F397" s="14"/>
      <c r="G397" s="14"/>
      <c r="H397" s="14"/>
      <c r="I397" s="14"/>
      <c r="J397" s="14"/>
      <c r="K397" s="14"/>
      <c r="L397" s="135"/>
      <c r="M397" s="14"/>
      <c r="N397" s="14"/>
      <c r="O397" s="14"/>
    </row>
    <row r="398" spans="4:15" ht="14.25" customHeight="1" x14ac:dyDescent="0.25">
      <c r="D398" s="31"/>
      <c r="E398" s="14"/>
      <c r="F398" s="14"/>
      <c r="G398" s="14"/>
      <c r="H398" s="14"/>
      <c r="I398" s="14"/>
      <c r="J398" s="14"/>
      <c r="K398" s="14"/>
      <c r="L398" s="135"/>
      <c r="M398" s="14"/>
      <c r="N398" s="14"/>
      <c r="O398" s="14"/>
    </row>
    <row r="399" spans="4:15" ht="14.25" customHeight="1" x14ac:dyDescent="0.25">
      <c r="D399" s="31"/>
      <c r="E399" s="14"/>
      <c r="F399" s="14"/>
      <c r="G399" s="14"/>
      <c r="H399" s="14"/>
      <c r="I399" s="14"/>
      <c r="J399" s="14"/>
      <c r="K399" s="14"/>
      <c r="L399" s="135"/>
      <c r="M399" s="14"/>
      <c r="N399" s="14"/>
      <c r="O399" s="14"/>
    </row>
    <row r="400" spans="4:15" ht="14.25" customHeight="1" x14ac:dyDescent="0.25">
      <c r="D400" s="31"/>
      <c r="E400" s="14"/>
      <c r="F400" s="14"/>
      <c r="G400" s="14"/>
      <c r="H400" s="14"/>
      <c r="I400" s="14"/>
      <c r="J400" s="14"/>
      <c r="K400" s="14"/>
      <c r="L400" s="135"/>
      <c r="M400" s="14"/>
      <c r="N400" s="14"/>
      <c r="O400" s="14"/>
    </row>
    <row r="401" spans="4:15" ht="14.25" customHeight="1" x14ac:dyDescent="0.25">
      <c r="D401" s="31"/>
      <c r="E401" s="14"/>
      <c r="F401" s="14"/>
      <c r="G401" s="14"/>
      <c r="H401" s="14"/>
      <c r="I401" s="14"/>
      <c r="J401" s="14"/>
      <c r="K401" s="14"/>
      <c r="L401" s="135"/>
      <c r="M401" s="14"/>
      <c r="N401" s="14"/>
      <c r="O401" s="14"/>
    </row>
    <row r="402" spans="4:15" ht="14.25" customHeight="1" x14ac:dyDescent="0.25">
      <c r="D402" s="31"/>
      <c r="E402" s="14"/>
      <c r="F402" s="14"/>
      <c r="G402" s="14"/>
      <c r="H402" s="14"/>
      <c r="I402" s="14"/>
      <c r="J402" s="14"/>
      <c r="K402" s="14"/>
      <c r="L402" s="135"/>
      <c r="M402" s="14"/>
      <c r="N402" s="14"/>
      <c r="O402" s="14"/>
    </row>
    <row r="403" spans="4:15" ht="14.25" customHeight="1" x14ac:dyDescent="0.25">
      <c r="D403" s="31"/>
      <c r="E403" s="14"/>
      <c r="F403" s="14"/>
      <c r="G403" s="14"/>
      <c r="H403" s="14"/>
      <c r="I403" s="14"/>
      <c r="J403" s="14"/>
      <c r="K403" s="14"/>
      <c r="L403" s="135"/>
      <c r="M403" s="14"/>
      <c r="N403" s="14"/>
      <c r="O403" s="14"/>
    </row>
    <row r="404" spans="4:15" ht="14.25" customHeight="1" x14ac:dyDescent="0.25">
      <c r="D404" s="31"/>
      <c r="E404" s="14"/>
      <c r="F404" s="14"/>
      <c r="G404" s="14"/>
      <c r="H404" s="14"/>
      <c r="I404" s="14"/>
      <c r="J404" s="14"/>
      <c r="K404" s="14"/>
      <c r="L404" s="135"/>
      <c r="M404" s="14"/>
      <c r="N404" s="14"/>
      <c r="O404" s="14"/>
    </row>
    <row r="405" spans="4:15" ht="14.25" customHeight="1" x14ac:dyDescent="0.25">
      <c r="D405" s="31"/>
      <c r="E405" s="14"/>
      <c r="F405" s="14"/>
      <c r="G405" s="14"/>
      <c r="H405" s="14"/>
      <c r="I405" s="14"/>
      <c r="J405" s="14"/>
      <c r="K405" s="14"/>
      <c r="L405" s="135"/>
      <c r="M405" s="14"/>
      <c r="N405" s="14"/>
      <c r="O405" s="14"/>
    </row>
    <row r="406" spans="4:15" ht="14.25" customHeight="1" x14ac:dyDescent="0.25">
      <c r="D406" s="31"/>
      <c r="E406" s="14"/>
      <c r="F406" s="14"/>
      <c r="G406" s="14"/>
      <c r="H406" s="14"/>
      <c r="I406" s="14"/>
      <c r="J406" s="14"/>
      <c r="K406" s="14"/>
      <c r="L406" s="135"/>
      <c r="M406" s="14"/>
      <c r="N406" s="14"/>
      <c r="O406" s="14"/>
    </row>
    <row r="407" spans="4:15" ht="14.25" customHeight="1" x14ac:dyDescent="0.25">
      <c r="D407" s="31"/>
      <c r="E407" s="14"/>
      <c r="F407" s="14"/>
      <c r="G407" s="14"/>
      <c r="H407" s="14"/>
      <c r="I407" s="14"/>
      <c r="J407" s="14"/>
      <c r="K407" s="14"/>
      <c r="L407" s="135"/>
      <c r="M407" s="14"/>
      <c r="N407" s="14"/>
      <c r="O407" s="14"/>
    </row>
    <row r="408" spans="4:15" ht="14.25" customHeight="1" x14ac:dyDescent="0.25">
      <c r="D408" s="31"/>
      <c r="E408" s="14"/>
      <c r="F408" s="14"/>
      <c r="G408" s="14"/>
      <c r="H408" s="14"/>
      <c r="I408" s="14"/>
      <c r="J408" s="14"/>
      <c r="K408" s="14"/>
      <c r="L408" s="135"/>
      <c r="M408" s="14"/>
      <c r="N408" s="14"/>
      <c r="O408" s="14"/>
    </row>
    <row r="409" spans="4:15" ht="14.25" customHeight="1" x14ac:dyDescent="0.25">
      <c r="D409" s="31"/>
      <c r="E409" s="14"/>
      <c r="F409" s="14"/>
      <c r="G409" s="14"/>
      <c r="H409" s="14"/>
      <c r="I409" s="14"/>
      <c r="J409" s="14"/>
      <c r="K409" s="14"/>
      <c r="L409" s="135"/>
      <c r="M409" s="14"/>
      <c r="N409" s="14"/>
      <c r="O409" s="14"/>
    </row>
    <row r="410" spans="4:15" ht="14.25" customHeight="1" x14ac:dyDescent="0.25">
      <c r="D410" s="31"/>
      <c r="E410" s="14"/>
      <c r="F410" s="14"/>
      <c r="G410" s="14"/>
      <c r="H410" s="14"/>
      <c r="I410" s="14"/>
      <c r="J410" s="14"/>
      <c r="K410" s="14"/>
      <c r="L410" s="135"/>
      <c r="M410" s="14"/>
      <c r="N410" s="14"/>
      <c r="O410" s="14"/>
    </row>
    <row r="411" spans="4:15" ht="14.25" customHeight="1" x14ac:dyDescent="0.25">
      <c r="D411" s="31"/>
      <c r="E411" s="14"/>
      <c r="F411" s="14"/>
      <c r="G411" s="14"/>
      <c r="H411" s="14"/>
      <c r="I411" s="14"/>
      <c r="J411" s="14"/>
      <c r="K411" s="14"/>
      <c r="L411" s="135"/>
      <c r="M411" s="14"/>
      <c r="N411" s="14"/>
      <c r="O411" s="14"/>
    </row>
    <row r="412" spans="4:15" ht="14.25" customHeight="1" x14ac:dyDescent="0.25">
      <c r="D412" s="31"/>
      <c r="E412" s="14"/>
      <c r="F412" s="14"/>
      <c r="G412" s="14"/>
      <c r="H412" s="14"/>
      <c r="I412" s="14"/>
      <c r="J412" s="14"/>
      <c r="K412" s="14"/>
      <c r="L412" s="135"/>
      <c r="M412" s="14"/>
      <c r="N412" s="14"/>
      <c r="O412" s="14"/>
    </row>
    <row r="413" spans="4:15" ht="14.25" customHeight="1" x14ac:dyDescent="0.25">
      <c r="D413" s="31"/>
      <c r="E413" s="14"/>
      <c r="F413" s="14"/>
      <c r="G413" s="14"/>
      <c r="H413" s="14"/>
      <c r="I413" s="14"/>
      <c r="J413" s="14"/>
      <c r="K413" s="14"/>
      <c r="L413" s="135"/>
      <c r="M413" s="14"/>
      <c r="N413" s="14"/>
      <c r="O413" s="14"/>
    </row>
    <row r="414" spans="4:15" ht="14.25" customHeight="1" x14ac:dyDescent="0.25">
      <c r="D414" s="31"/>
      <c r="E414" s="14"/>
      <c r="F414" s="14"/>
      <c r="G414" s="14"/>
      <c r="H414" s="14"/>
      <c r="I414" s="14"/>
      <c r="J414" s="14"/>
      <c r="K414" s="14"/>
      <c r="L414" s="135"/>
      <c r="M414" s="14"/>
      <c r="N414" s="14"/>
      <c r="O414" s="14"/>
    </row>
    <row r="415" spans="4:15" ht="14.25" customHeight="1" x14ac:dyDescent="0.25">
      <c r="D415" s="31"/>
      <c r="E415" s="14"/>
      <c r="F415" s="14"/>
      <c r="G415" s="14"/>
      <c r="H415" s="14"/>
      <c r="I415" s="14"/>
      <c r="J415" s="14"/>
      <c r="K415" s="14"/>
      <c r="L415" s="135"/>
      <c r="M415" s="14"/>
      <c r="N415" s="14"/>
      <c r="O415" s="14"/>
    </row>
    <row r="416" spans="4:15" ht="14.25" customHeight="1" x14ac:dyDescent="0.25">
      <c r="D416" s="31"/>
      <c r="E416" s="14"/>
      <c r="F416" s="14"/>
      <c r="G416" s="14"/>
      <c r="H416" s="14"/>
      <c r="I416" s="14"/>
      <c r="J416" s="14"/>
      <c r="K416" s="14"/>
      <c r="L416" s="135"/>
      <c r="M416" s="14"/>
      <c r="N416" s="14"/>
      <c r="O416" s="14"/>
    </row>
    <row r="417" spans="4:15" ht="14.25" customHeight="1" x14ac:dyDescent="0.25">
      <c r="D417" s="31"/>
      <c r="E417" s="14"/>
      <c r="F417" s="14"/>
      <c r="G417" s="14"/>
      <c r="H417" s="14"/>
      <c r="I417" s="14"/>
      <c r="J417" s="14"/>
      <c r="K417" s="14"/>
      <c r="L417" s="135"/>
      <c r="M417" s="14"/>
      <c r="N417" s="14"/>
      <c r="O417" s="14"/>
    </row>
    <row r="418" spans="4:15" ht="14.25" customHeight="1" x14ac:dyDescent="0.25">
      <c r="D418" s="31"/>
      <c r="E418" s="14"/>
      <c r="F418" s="14"/>
      <c r="G418" s="14"/>
      <c r="H418" s="14"/>
      <c r="I418" s="14"/>
      <c r="J418" s="14"/>
      <c r="K418" s="14"/>
      <c r="L418" s="135"/>
      <c r="M418" s="14"/>
      <c r="N418" s="14"/>
      <c r="O418" s="14"/>
    </row>
    <row r="419" spans="4:15" ht="14.25" customHeight="1" x14ac:dyDescent="0.25">
      <c r="D419" s="31"/>
      <c r="E419" s="14"/>
      <c r="F419" s="14"/>
      <c r="G419" s="14"/>
      <c r="H419" s="14"/>
      <c r="I419" s="14"/>
      <c r="J419" s="14"/>
      <c r="K419" s="14"/>
      <c r="L419" s="135"/>
      <c r="M419" s="14"/>
      <c r="N419" s="14"/>
      <c r="O419" s="14"/>
    </row>
    <row r="420" spans="4:15" ht="14.25" customHeight="1" x14ac:dyDescent="0.25">
      <c r="D420" s="31"/>
      <c r="E420" s="14"/>
      <c r="F420" s="14"/>
      <c r="G420" s="14"/>
      <c r="H420" s="14"/>
      <c r="I420" s="14"/>
      <c r="J420" s="14"/>
      <c r="K420" s="14"/>
      <c r="L420" s="135"/>
      <c r="M420" s="14"/>
      <c r="N420" s="14"/>
      <c r="O420" s="14"/>
    </row>
    <row r="421" spans="4:15" ht="14.25" customHeight="1" x14ac:dyDescent="0.25">
      <c r="D421" s="31"/>
      <c r="E421" s="14"/>
      <c r="F421" s="14"/>
      <c r="G421" s="14"/>
      <c r="H421" s="14"/>
      <c r="I421" s="14"/>
      <c r="J421" s="14"/>
      <c r="K421" s="14"/>
      <c r="L421" s="135"/>
      <c r="M421" s="14"/>
      <c r="N421" s="14"/>
      <c r="O421" s="14"/>
    </row>
    <row r="422" spans="4:15" ht="14.25" customHeight="1" x14ac:dyDescent="0.25">
      <c r="D422" s="31"/>
      <c r="E422" s="14"/>
      <c r="F422" s="14"/>
      <c r="G422" s="14"/>
      <c r="H422" s="14"/>
      <c r="I422" s="14"/>
      <c r="J422" s="14"/>
      <c r="K422" s="14"/>
      <c r="L422" s="135"/>
      <c r="M422" s="14"/>
      <c r="N422" s="14"/>
      <c r="O422" s="14"/>
    </row>
    <row r="423" spans="4:15" ht="14.25" customHeight="1" x14ac:dyDescent="0.25">
      <c r="D423" s="31"/>
      <c r="E423" s="14"/>
      <c r="F423" s="14"/>
      <c r="G423" s="14"/>
      <c r="H423" s="14"/>
      <c r="I423" s="14"/>
      <c r="J423" s="14"/>
      <c r="K423" s="14"/>
      <c r="L423" s="135"/>
      <c r="M423" s="14"/>
      <c r="N423" s="14"/>
      <c r="O423" s="14"/>
    </row>
    <row r="424" spans="4:15" ht="14.25" customHeight="1" x14ac:dyDescent="0.25">
      <c r="D424" s="31"/>
      <c r="E424" s="14"/>
      <c r="F424" s="14"/>
      <c r="G424" s="14"/>
      <c r="H424" s="14"/>
      <c r="I424" s="14"/>
      <c r="J424" s="14"/>
      <c r="K424" s="14"/>
      <c r="L424" s="135"/>
      <c r="M424" s="14"/>
      <c r="N424" s="14"/>
      <c r="O424" s="14"/>
    </row>
    <row r="425" spans="4:15" ht="14.25" customHeight="1" x14ac:dyDescent="0.25">
      <c r="D425" s="31"/>
      <c r="E425" s="14"/>
      <c r="F425" s="14"/>
      <c r="G425" s="14"/>
      <c r="H425" s="14"/>
      <c r="I425" s="14"/>
      <c r="J425" s="14"/>
      <c r="K425" s="14"/>
      <c r="L425" s="135"/>
      <c r="M425" s="14"/>
      <c r="N425" s="14"/>
      <c r="O425" s="14"/>
    </row>
    <row r="426" spans="4:15" ht="14.25" customHeight="1" x14ac:dyDescent="0.25">
      <c r="D426" s="31"/>
      <c r="E426" s="14"/>
      <c r="F426" s="14"/>
      <c r="G426" s="14"/>
      <c r="H426" s="14"/>
      <c r="I426" s="14"/>
      <c r="J426" s="14"/>
      <c r="K426" s="14"/>
      <c r="L426" s="135"/>
      <c r="M426" s="14"/>
      <c r="N426" s="14"/>
      <c r="O426" s="14"/>
    </row>
    <row r="427" spans="4:15" ht="14.25" customHeight="1" x14ac:dyDescent="0.25">
      <c r="D427" s="31"/>
      <c r="E427" s="14"/>
      <c r="F427" s="14"/>
      <c r="G427" s="14"/>
      <c r="H427" s="14"/>
      <c r="I427" s="14"/>
      <c r="J427" s="14"/>
      <c r="K427" s="14"/>
      <c r="L427" s="135"/>
      <c r="M427" s="14"/>
      <c r="N427" s="14"/>
      <c r="O427" s="14"/>
    </row>
    <row r="428" spans="4:15" ht="14.25" customHeight="1" x14ac:dyDescent="0.25">
      <c r="D428" s="31"/>
      <c r="E428" s="14"/>
      <c r="F428" s="14"/>
      <c r="G428" s="14"/>
      <c r="H428" s="14"/>
      <c r="I428" s="14"/>
      <c r="J428" s="14"/>
      <c r="K428" s="14"/>
      <c r="L428" s="135"/>
      <c r="M428" s="14"/>
      <c r="N428" s="14"/>
      <c r="O428" s="14"/>
    </row>
    <row r="429" spans="4:15" ht="14.25" customHeight="1" x14ac:dyDescent="0.25">
      <c r="D429" s="31"/>
      <c r="E429" s="14"/>
      <c r="F429" s="14"/>
      <c r="G429" s="14"/>
      <c r="H429" s="14"/>
      <c r="I429" s="14"/>
      <c r="J429" s="14"/>
      <c r="K429" s="14"/>
      <c r="L429" s="135"/>
      <c r="M429" s="14"/>
      <c r="N429" s="14"/>
      <c r="O429" s="14"/>
    </row>
    <row r="430" spans="4:15" ht="14.25" customHeight="1" x14ac:dyDescent="0.25">
      <c r="D430" s="31"/>
      <c r="E430" s="14"/>
      <c r="F430" s="14"/>
      <c r="G430" s="14"/>
      <c r="H430" s="14"/>
      <c r="I430" s="14"/>
      <c r="J430" s="14"/>
      <c r="K430" s="14"/>
      <c r="L430" s="135"/>
      <c r="M430" s="14"/>
      <c r="N430" s="14"/>
      <c r="O430" s="14"/>
    </row>
    <row r="431" spans="4:15" ht="14.25" customHeight="1" x14ac:dyDescent="0.25">
      <c r="D431" s="31"/>
      <c r="E431" s="14"/>
      <c r="F431" s="14"/>
      <c r="G431" s="14"/>
      <c r="H431" s="14"/>
      <c r="I431" s="14"/>
      <c r="J431" s="14"/>
      <c r="K431" s="14"/>
      <c r="L431" s="135"/>
      <c r="M431" s="14"/>
      <c r="N431" s="14"/>
      <c r="O431" s="14"/>
    </row>
    <row r="432" spans="4:15" ht="14.25" customHeight="1" x14ac:dyDescent="0.25">
      <c r="D432" s="31"/>
      <c r="E432" s="14"/>
      <c r="F432" s="14"/>
      <c r="G432" s="14"/>
      <c r="H432" s="14"/>
      <c r="I432" s="14"/>
      <c r="J432" s="14"/>
      <c r="K432" s="14"/>
      <c r="L432" s="135"/>
      <c r="M432" s="14"/>
      <c r="N432" s="14"/>
      <c r="O432" s="14"/>
    </row>
    <row r="433" spans="4:15" ht="14.25" customHeight="1" x14ac:dyDescent="0.25">
      <c r="D433" s="31"/>
      <c r="E433" s="14"/>
      <c r="F433" s="14"/>
      <c r="G433" s="14"/>
      <c r="H433" s="14"/>
      <c r="I433" s="14"/>
      <c r="J433" s="14"/>
      <c r="K433" s="14"/>
      <c r="L433" s="135"/>
      <c r="M433" s="14"/>
      <c r="N433" s="14"/>
      <c r="O433" s="14"/>
    </row>
    <row r="434" spans="4:15" ht="14.25" customHeight="1" x14ac:dyDescent="0.25">
      <c r="D434" s="31"/>
      <c r="E434" s="14"/>
      <c r="F434" s="14"/>
      <c r="G434" s="14"/>
      <c r="H434" s="14"/>
      <c r="I434" s="14"/>
      <c r="J434" s="14"/>
      <c r="K434" s="14"/>
      <c r="L434" s="135"/>
      <c r="M434" s="14"/>
      <c r="N434" s="14"/>
      <c r="O434" s="14"/>
    </row>
    <row r="435" spans="4:15" ht="14.25" customHeight="1" x14ac:dyDescent="0.25">
      <c r="D435" s="31"/>
      <c r="E435" s="14"/>
      <c r="F435" s="14"/>
      <c r="G435" s="14"/>
      <c r="H435" s="14"/>
      <c r="I435" s="14"/>
      <c r="J435" s="14"/>
      <c r="K435" s="14"/>
      <c r="L435" s="135"/>
      <c r="M435" s="14"/>
      <c r="N435" s="14"/>
      <c r="O435" s="14"/>
    </row>
    <row r="436" spans="4:15" ht="14.25" customHeight="1" x14ac:dyDescent="0.25">
      <c r="D436" s="31"/>
      <c r="E436" s="14"/>
      <c r="F436" s="14"/>
      <c r="G436" s="14"/>
      <c r="H436" s="14"/>
      <c r="I436" s="14"/>
      <c r="J436" s="14"/>
      <c r="K436" s="14"/>
      <c r="L436" s="135"/>
      <c r="M436" s="14"/>
      <c r="N436" s="14"/>
      <c r="O436" s="14"/>
    </row>
    <row r="437" spans="4:15" ht="14.25" customHeight="1" x14ac:dyDescent="0.25">
      <c r="D437" s="31"/>
      <c r="E437" s="14"/>
      <c r="F437" s="14"/>
      <c r="G437" s="14"/>
      <c r="H437" s="14"/>
      <c r="I437" s="14"/>
      <c r="J437" s="14"/>
      <c r="K437" s="14"/>
      <c r="L437" s="135"/>
      <c r="M437" s="14"/>
      <c r="N437" s="14"/>
      <c r="O437" s="14"/>
    </row>
    <row r="438" spans="4:15" ht="14.25" customHeight="1" x14ac:dyDescent="0.25">
      <c r="D438" s="31"/>
      <c r="E438" s="14"/>
      <c r="F438" s="14"/>
      <c r="G438" s="14"/>
      <c r="H438" s="14"/>
      <c r="I438" s="14"/>
      <c r="J438" s="14"/>
      <c r="K438" s="14"/>
      <c r="L438" s="135"/>
      <c r="M438" s="14"/>
      <c r="N438" s="14"/>
      <c r="O438" s="14"/>
    </row>
    <row r="439" spans="4:15" ht="14.25" customHeight="1" x14ac:dyDescent="0.25">
      <c r="D439" s="31"/>
      <c r="E439" s="14"/>
      <c r="F439" s="14"/>
      <c r="G439" s="14"/>
      <c r="H439" s="14"/>
      <c r="I439" s="14"/>
      <c r="J439" s="14"/>
      <c r="K439" s="14"/>
      <c r="L439" s="135"/>
      <c r="M439" s="14"/>
      <c r="N439" s="14"/>
      <c r="O439" s="14"/>
    </row>
    <row r="440" spans="4:15" ht="14.25" customHeight="1" x14ac:dyDescent="0.25">
      <c r="D440" s="31"/>
      <c r="E440" s="14"/>
      <c r="F440" s="14"/>
      <c r="G440" s="14"/>
      <c r="H440" s="14"/>
      <c r="I440" s="14"/>
      <c r="J440" s="14"/>
      <c r="K440" s="14"/>
      <c r="L440" s="135"/>
      <c r="M440" s="14"/>
      <c r="N440" s="14"/>
      <c r="O440" s="14"/>
    </row>
    <row r="441" spans="4:15" ht="14.25" customHeight="1" x14ac:dyDescent="0.25">
      <c r="D441" s="31"/>
      <c r="E441" s="14"/>
      <c r="F441" s="14"/>
      <c r="G441" s="14"/>
      <c r="H441" s="14"/>
      <c r="I441" s="14"/>
      <c r="J441" s="14"/>
      <c r="K441" s="14"/>
      <c r="L441" s="135"/>
      <c r="M441" s="14"/>
      <c r="N441" s="14"/>
      <c r="O441" s="14"/>
    </row>
    <row r="442" spans="4:15" ht="14.25" customHeight="1" x14ac:dyDescent="0.25">
      <c r="D442" s="31"/>
      <c r="E442" s="14"/>
      <c r="F442" s="14"/>
      <c r="G442" s="14"/>
      <c r="H442" s="14"/>
      <c r="I442" s="14"/>
      <c r="J442" s="14"/>
      <c r="K442" s="14"/>
      <c r="L442" s="135"/>
      <c r="M442" s="14"/>
      <c r="N442" s="14"/>
      <c r="O442" s="14"/>
    </row>
    <row r="443" spans="4:15" ht="14.25" customHeight="1" x14ac:dyDescent="0.25">
      <c r="D443" s="31"/>
      <c r="E443" s="14"/>
      <c r="F443" s="14"/>
      <c r="G443" s="14"/>
      <c r="H443" s="14"/>
      <c r="I443" s="14"/>
      <c r="J443" s="14"/>
      <c r="K443" s="14"/>
      <c r="L443" s="135"/>
      <c r="M443" s="14"/>
      <c r="N443" s="14"/>
      <c r="O443" s="14"/>
    </row>
    <row r="444" spans="4:15" ht="14.25" customHeight="1" x14ac:dyDescent="0.25">
      <c r="D444" s="31"/>
      <c r="E444" s="14"/>
      <c r="F444" s="14"/>
      <c r="G444" s="14"/>
      <c r="H444" s="14"/>
      <c r="I444" s="14"/>
      <c r="J444" s="14"/>
      <c r="K444" s="14"/>
      <c r="L444" s="135"/>
      <c r="M444" s="14"/>
      <c r="N444" s="14"/>
      <c r="O444" s="14"/>
    </row>
    <row r="445" spans="4:15" ht="14.25" customHeight="1" x14ac:dyDescent="0.25">
      <c r="D445" s="31"/>
      <c r="E445" s="14"/>
      <c r="F445" s="14"/>
      <c r="G445" s="14"/>
      <c r="H445" s="14"/>
      <c r="I445" s="14"/>
      <c r="J445" s="14"/>
      <c r="K445" s="14"/>
      <c r="L445" s="135"/>
      <c r="M445" s="14"/>
      <c r="N445" s="14"/>
      <c r="O445" s="14"/>
    </row>
    <row r="446" spans="4:15" ht="14.25" customHeight="1" x14ac:dyDescent="0.25">
      <c r="D446" s="31"/>
      <c r="E446" s="14"/>
      <c r="F446" s="14"/>
      <c r="G446" s="14"/>
      <c r="H446" s="14"/>
      <c r="I446" s="14"/>
      <c r="J446" s="14"/>
      <c r="K446" s="14"/>
      <c r="L446" s="135"/>
      <c r="M446" s="14"/>
      <c r="N446" s="14"/>
      <c r="O446" s="14"/>
    </row>
    <row r="447" spans="4:15" ht="14.25" customHeight="1" x14ac:dyDescent="0.25">
      <c r="D447" s="31"/>
      <c r="E447" s="14"/>
      <c r="F447" s="14"/>
      <c r="G447" s="14"/>
      <c r="H447" s="14"/>
      <c r="I447" s="14"/>
      <c r="J447" s="14"/>
      <c r="K447" s="14"/>
      <c r="L447" s="135"/>
      <c r="M447" s="14"/>
      <c r="N447" s="14"/>
      <c r="O447" s="14"/>
    </row>
    <row r="448" spans="4:15" ht="14.25" customHeight="1" x14ac:dyDescent="0.25">
      <c r="D448" s="31"/>
      <c r="E448" s="14"/>
      <c r="F448" s="14"/>
      <c r="G448" s="14"/>
      <c r="H448" s="14"/>
      <c r="I448" s="14"/>
      <c r="J448" s="14"/>
      <c r="K448" s="14"/>
      <c r="L448" s="135"/>
      <c r="M448" s="14"/>
      <c r="N448" s="14"/>
      <c r="O448" s="14"/>
    </row>
    <row r="449" spans="4:15" ht="14.25" customHeight="1" x14ac:dyDescent="0.25">
      <c r="D449" s="31"/>
      <c r="E449" s="14"/>
      <c r="F449" s="14"/>
      <c r="G449" s="14"/>
      <c r="H449" s="14"/>
      <c r="I449" s="14"/>
      <c r="J449" s="14"/>
      <c r="K449" s="14"/>
      <c r="L449" s="135"/>
      <c r="M449" s="14"/>
      <c r="N449" s="14"/>
      <c r="O449" s="14"/>
    </row>
    <row r="450" spans="4:15" ht="14.25" customHeight="1" x14ac:dyDescent="0.25">
      <c r="D450" s="31"/>
      <c r="E450" s="14"/>
      <c r="F450" s="14"/>
      <c r="G450" s="14"/>
      <c r="H450" s="14"/>
      <c r="I450" s="14"/>
      <c r="J450" s="14"/>
      <c r="K450" s="14"/>
      <c r="L450" s="135"/>
      <c r="M450" s="14"/>
      <c r="N450" s="14"/>
      <c r="O450" s="14"/>
    </row>
    <row r="451" spans="4:15" ht="14.25" customHeight="1" x14ac:dyDescent="0.25">
      <c r="D451" s="31"/>
      <c r="E451" s="14"/>
      <c r="F451" s="14"/>
      <c r="G451" s="14"/>
      <c r="H451" s="14"/>
      <c r="I451" s="14"/>
      <c r="J451" s="14"/>
      <c r="K451" s="14"/>
      <c r="L451" s="135"/>
      <c r="M451" s="14"/>
      <c r="N451" s="14"/>
      <c r="O451" s="14"/>
    </row>
    <row r="452" spans="4:15" ht="14.25" customHeight="1" x14ac:dyDescent="0.25">
      <c r="D452" s="31"/>
      <c r="E452" s="14"/>
      <c r="F452" s="14"/>
      <c r="G452" s="14"/>
      <c r="H452" s="14"/>
      <c r="I452" s="14"/>
      <c r="J452" s="14"/>
      <c r="K452" s="14"/>
      <c r="L452" s="135"/>
      <c r="M452" s="14"/>
      <c r="N452" s="14"/>
      <c r="O452" s="14"/>
    </row>
    <row r="453" spans="4:15" ht="14.25" customHeight="1" x14ac:dyDescent="0.25">
      <c r="D453" s="31"/>
      <c r="E453" s="14"/>
      <c r="F453" s="14"/>
      <c r="G453" s="14"/>
      <c r="H453" s="14"/>
      <c r="I453" s="14"/>
      <c r="J453" s="14"/>
      <c r="K453" s="14"/>
      <c r="L453" s="135"/>
      <c r="M453" s="14"/>
      <c r="N453" s="14"/>
      <c r="O453" s="14"/>
    </row>
    <row r="454" spans="4:15" ht="14.25" customHeight="1" x14ac:dyDescent="0.25">
      <c r="D454" s="31"/>
      <c r="E454" s="14"/>
      <c r="F454" s="14"/>
      <c r="G454" s="14"/>
      <c r="H454" s="14"/>
      <c r="I454" s="14"/>
      <c r="J454" s="14"/>
      <c r="K454" s="14"/>
      <c r="L454" s="135"/>
      <c r="M454" s="14"/>
      <c r="N454" s="14"/>
      <c r="O454" s="14"/>
    </row>
    <row r="455" spans="4:15" ht="14.25" customHeight="1" x14ac:dyDescent="0.25">
      <c r="D455" s="31"/>
      <c r="E455" s="14"/>
      <c r="F455" s="14"/>
      <c r="G455" s="14"/>
      <c r="H455" s="14"/>
      <c r="I455" s="14"/>
      <c r="J455" s="14"/>
      <c r="K455" s="14"/>
      <c r="L455" s="135"/>
      <c r="M455" s="14"/>
      <c r="N455" s="14"/>
      <c r="O455" s="14"/>
    </row>
    <row r="456" spans="4:15" ht="14.25" customHeight="1" x14ac:dyDescent="0.25">
      <c r="D456" s="31"/>
      <c r="E456" s="14"/>
      <c r="F456" s="14"/>
      <c r="G456" s="14"/>
      <c r="H456" s="14"/>
      <c r="I456" s="14"/>
      <c r="J456" s="14"/>
      <c r="K456" s="14"/>
      <c r="L456" s="135"/>
      <c r="M456" s="14"/>
      <c r="N456" s="14"/>
      <c r="O456" s="14"/>
    </row>
    <row r="457" spans="4:15" ht="14.25" customHeight="1" x14ac:dyDescent="0.25">
      <c r="D457" s="31"/>
      <c r="E457" s="14"/>
      <c r="F457" s="14"/>
      <c r="G457" s="14"/>
      <c r="H457" s="14"/>
      <c r="I457" s="14"/>
      <c r="J457" s="14"/>
      <c r="K457" s="14"/>
      <c r="L457" s="135"/>
      <c r="M457" s="14"/>
      <c r="N457" s="14"/>
      <c r="O457" s="14"/>
    </row>
    <row r="458" spans="4:15" ht="14.25" customHeight="1" x14ac:dyDescent="0.25">
      <c r="D458" s="31"/>
      <c r="E458" s="14"/>
      <c r="F458" s="14"/>
      <c r="G458" s="14"/>
      <c r="H458" s="14"/>
      <c r="I458" s="14"/>
      <c r="J458" s="14"/>
      <c r="K458" s="14"/>
      <c r="L458" s="135"/>
      <c r="M458" s="14"/>
      <c r="N458" s="14"/>
      <c r="O458" s="14"/>
    </row>
    <row r="459" spans="4:15" ht="14.25" customHeight="1" x14ac:dyDescent="0.25">
      <c r="D459" s="31"/>
      <c r="E459" s="14"/>
      <c r="F459" s="14"/>
      <c r="G459" s="14"/>
      <c r="H459" s="14"/>
      <c r="I459" s="14"/>
      <c r="J459" s="14"/>
      <c r="K459" s="14"/>
      <c r="L459" s="135"/>
      <c r="M459" s="14"/>
      <c r="N459" s="14"/>
      <c r="O459" s="14"/>
    </row>
    <row r="460" spans="4:15" ht="14.25" customHeight="1" x14ac:dyDescent="0.25">
      <c r="D460" s="31"/>
      <c r="E460" s="14"/>
      <c r="F460" s="14"/>
      <c r="G460" s="14"/>
      <c r="H460" s="14"/>
      <c r="I460" s="14"/>
      <c r="J460" s="14"/>
      <c r="K460" s="14"/>
      <c r="L460" s="135"/>
      <c r="M460" s="14"/>
      <c r="N460" s="14"/>
      <c r="O460" s="14"/>
    </row>
    <row r="461" spans="4:15" ht="14.25" customHeight="1" x14ac:dyDescent="0.25">
      <c r="D461" s="31"/>
      <c r="E461" s="14"/>
      <c r="F461" s="14"/>
      <c r="G461" s="14"/>
      <c r="H461" s="14"/>
      <c r="I461" s="14"/>
      <c r="J461" s="14"/>
      <c r="K461" s="14"/>
      <c r="L461" s="135"/>
      <c r="M461" s="14"/>
      <c r="N461" s="14"/>
      <c r="O461" s="14"/>
    </row>
    <row r="462" spans="4:15" ht="14.25" customHeight="1" x14ac:dyDescent="0.25">
      <c r="D462" s="31"/>
      <c r="E462" s="14"/>
      <c r="F462" s="14"/>
      <c r="G462" s="14"/>
      <c r="H462" s="14"/>
      <c r="I462" s="14"/>
      <c r="J462" s="14"/>
      <c r="K462" s="14"/>
      <c r="L462" s="135"/>
      <c r="M462" s="14"/>
      <c r="N462" s="14"/>
      <c r="O462" s="14"/>
    </row>
    <row r="463" spans="4:15" ht="14.25" customHeight="1" x14ac:dyDescent="0.25">
      <c r="D463" s="31"/>
      <c r="E463" s="14"/>
      <c r="F463" s="14"/>
      <c r="G463" s="14"/>
      <c r="H463" s="14"/>
      <c r="I463" s="14"/>
      <c r="J463" s="14"/>
      <c r="K463" s="14"/>
      <c r="L463" s="135"/>
      <c r="M463" s="14"/>
      <c r="N463" s="14"/>
      <c r="O463" s="14"/>
    </row>
    <row r="464" spans="4:15" ht="14.25" customHeight="1" x14ac:dyDescent="0.25">
      <c r="D464" s="31"/>
      <c r="E464" s="14"/>
      <c r="F464" s="14"/>
      <c r="G464" s="14"/>
      <c r="H464" s="14"/>
      <c r="I464" s="14"/>
      <c r="J464" s="14"/>
      <c r="K464" s="14"/>
      <c r="L464" s="135"/>
      <c r="M464" s="14"/>
      <c r="N464" s="14"/>
      <c r="O464" s="14"/>
    </row>
    <row r="465" spans="4:15" ht="14.25" customHeight="1" x14ac:dyDescent="0.25">
      <c r="D465" s="31"/>
      <c r="E465" s="14"/>
      <c r="F465" s="14"/>
      <c r="G465" s="14"/>
      <c r="H465" s="14"/>
      <c r="I465" s="14"/>
      <c r="J465" s="14"/>
      <c r="K465" s="14"/>
      <c r="L465" s="135"/>
      <c r="M465" s="14"/>
      <c r="N465" s="14"/>
      <c r="O465" s="14"/>
    </row>
    <row r="466" spans="4:15" ht="14.25" customHeight="1" x14ac:dyDescent="0.25">
      <c r="D466" s="31"/>
      <c r="E466" s="14"/>
      <c r="F466" s="14"/>
      <c r="G466" s="14"/>
      <c r="H466" s="14"/>
      <c r="I466" s="14"/>
      <c r="J466" s="14"/>
      <c r="K466" s="14"/>
      <c r="L466" s="135"/>
      <c r="M466" s="14"/>
      <c r="N466" s="14"/>
      <c r="O466" s="14"/>
    </row>
    <row r="467" spans="4:15" ht="14.25" customHeight="1" x14ac:dyDescent="0.25">
      <c r="D467" s="31"/>
      <c r="E467" s="14"/>
      <c r="F467" s="14"/>
      <c r="G467" s="14"/>
      <c r="H467" s="14"/>
      <c r="I467" s="14"/>
      <c r="J467" s="14"/>
      <c r="K467" s="14"/>
      <c r="L467" s="135"/>
      <c r="M467" s="14"/>
      <c r="N467" s="14"/>
      <c r="O467" s="14"/>
    </row>
    <row r="468" spans="4:15" ht="14.25" customHeight="1" x14ac:dyDescent="0.25">
      <c r="D468" s="31"/>
      <c r="E468" s="14"/>
      <c r="F468" s="14"/>
      <c r="G468" s="14"/>
      <c r="H468" s="14"/>
      <c r="I468" s="14"/>
      <c r="J468" s="14"/>
      <c r="K468" s="14"/>
      <c r="L468" s="135"/>
      <c r="M468" s="14"/>
      <c r="N468" s="14"/>
      <c r="O468" s="14"/>
    </row>
    <row r="469" spans="4:15" ht="14.25" customHeight="1" x14ac:dyDescent="0.25">
      <c r="D469" s="31"/>
      <c r="E469" s="14"/>
      <c r="F469" s="14"/>
      <c r="G469" s="14"/>
      <c r="H469" s="14"/>
      <c r="I469" s="14"/>
      <c r="J469" s="14"/>
      <c r="K469" s="14"/>
      <c r="L469" s="135"/>
      <c r="M469" s="14"/>
      <c r="N469" s="14"/>
      <c r="O469" s="14"/>
    </row>
    <row r="470" spans="4:15" ht="14.25" customHeight="1" x14ac:dyDescent="0.25">
      <c r="D470" s="31"/>
      <c r="E470" s="14"/>
      <c r="F470" s="14"/>
      <c r="G470" s="14"/>
      <c r="H470" s="14"/>
      <c r="I470" s="14"/>
      <c r="J470" s="14"/>
      <c r="K470" s="14"/>
      <c r="L470" s="135"/>
      <c r="M470" s="14"/>
      <c r="N470" s="14"/>
      <c r="O470" s="14"/>
    </row>
    <row r="471" spans="4:15" ht="14.25" customHeight="1" x14ac:dyDescent="0.25">
      <c r="D471" s="31"/>
      <c r="E471" s="14"/>
      <c r="F471" s="14"/>
      <c r="G471" s="14"/>
      <c r="H471" s="14"/>
      <c r="I471" s="14"/>
      <c r="J471" s="14"/>
      <c r="K471" s="14"/>
      <c r="L471" s="135"/>
      <c r="M471" s="14"/>
      <c r="N471" s="14"/>
      <c r="O471" s="14"/>
    </row>
    <row r="472" spans="4:15" ht="14.25" customHeight="1" x14ac:dyDescent="0.25">
      <c r="D472" s="31"/>
      <c r="E472" s="14"/>
      <c r="F472" s="14"/>
      <c r="G472" s="14"/>
      <c r="H472" s="14"/>
      <c r="I472" s="14"/>
      <c r="J472" s="14"/>
      <c r="K472" s="14"/>
      <c r="L472" s="135"/>
      <c r="M472" s="14"/>
      <c r="N472" s="14"/>
      <c r="O472" s="14"/>
    </row>
    <row r="473" spans="4:15" ht="14.25" customHeight="1" x14ac:dyDescent="0.25">
      <c r="D473" s="31"/>
      <c r="E473" s="14"/>
      <c r="F473" s="14"/>
      <c r="G473" s="14"/>
      <c r="H473" s="14"/>
      <c r="I473" s="14"/>
      <c r="J473" s="14"/>
      <c r="K473" s="14"/>
      <c r="L473" s="135"/>
      <c r="M473" s="14"/>
      <c r="N473" s="14"/>
      <c r="O473" s="14"/>
    </row>
    <row r="474" spans="4:15" ht="14.25" customHeight="1" x14ac:dyDescent="0.25">
      <c r="D474" s="31"/>
      <c r="E474" s="14"/>
      <c r="F474" s="14"/>
      <c r="G474" s="14"/>
      <c r="H474" s="14"/>
      <c r="I474" s="14"/>
      <c r="J474" s="14"/>
      <c r="K474" s="14"/>
      <c r="L474" s="135"/>
      <c r="M474" s="14"/>
      <c r="N474" s="14"/>
      <c r="O474" s="14"/>
    </row>
    <row r="475" spans="4:15" ht="14.25" customHeight="1" x14ac:dyDescent="0.25">
      <c r="D475" s="31"/>
      <c r="E475" s="14"/>
      <c r="F475" s="14"/>
      <c r="G475" s="14"/>
      <c r="H475" s="14"/>
      <c r="I475" s="14"/>
      <c r="J475" s="14"/>
      <c r="K475" s="14"/>
      <c r="L475" s="135"/>
      <c r="M475" s="14"/>
      <c r="N475" s="14"/>
      <c r="O475" s="14"/>
    </row>
    <row r="476" spans="4:15" ht="14.25" customHeight="1" x14ac:dyDescent="0.25">
      <c r="D476" s="31"/>
      <c r="E476" s="14"/>
      <c r="F476" s="14"/>
      <c r="G476" s="14"/>
      <c r="H476" s="14"/>
      <c r="I476" s="14"/>
      <c r="J476" s="14"/>
      <c r="K476" s="14"/>
      <c r="L476" s="135"/>
      <c r="M476" s="14"/>
      <c r="N476" s="14"/>
      <c r="O476" s="14"/>
    </row>
    <row r="477" spans="4:15" ht="14.25" customHeight="1" x14ac:dyDescent="0.25">
      <c r="D477" s="31"/>
      <c r="E477" s="14"/>
      <c r="F477" s="14"/>
      <c r="G477" s="14"/>
      <c r="H477" s="14"/>
      <c r="I477" s="14"/>
      <c r="J477" s="14"/>
      <c r="K477" s="14"/>
      <c r="L477" s="135"/>
      <c r="M477" s="14"/>
      <c r="N477" s="14"/>
      <c r="O477" s="14"/>
    </row>
    <row r="478" spans="4:15" ht="14.25" customHeight="1" x14ac:dyDescent="0.25">
      <c r="D478" s="31"/>
      <c r="E478" s="14"/>
      <c r="F478" s="14"/>
      <c r="G478" s="14"/>
      <c r="H478" s="14"/>
      <c r="I478" s="14"/>
      <c r="J478" s="14"/>
      <c r="K478" s="14"/>
      <c r="L478" s="135"/>
      <c r="M478" s="14"/>
      <c r="N478" s="14"/>
      <c r="O478" s="14"/>
    </row>
    <row r="479" spans="4:15" ht="14.25" customHeight="1" x14ac:dyDescent="0.25">
      <c r="D479" s="31"/>
      <c r="E479" s="14"/>
      <c r="F479" s="14"/>
      <c r="G479" s="14"/>
      <c r="H479" s="14"/>
      <c r="I479" s="14"/>
      <c r="J479" s="14"/>
      <c r="K479" s="14"/>
      <c r="L479" s="135"/>
      <c r="M479" s="14"/>
      <c r="N479" s="14"/>
      <c r="O479" s="14"/>
    </row>
    <row r="480" spans="4:15" ht="14.25" customHeight="1" x14ac:dyDescent="0.25">
      <c r="D480" s="31"/>
      <c r="E480" s="14"/>
      <c r="F480" s="14"/>
      <c r="G480" s="14"/>
      <c r="H480" s="14"/>
      <c r="I480" s="14"/>
      <c r="J480" s="14"/>
      <c r="K480" s="14"/>
      <c r="L480" s="135"/>
      <c r="M480" s="14"/>
      <c r="N480" s="14"/>
      <c r="O480" s="14"/>
    </row>
    <row r="481" spans="4:15" ht="14.25" customHeight="1" x14ac:dyDescent="0.25">
      <c r="D481" s="31"/>
      <c r="E481" s="14"/>
      <c r="F481" s="14"/>
      <c r="G481" s="14"/>
      <c r="H481" s="14"/>
      <c r="I481" s="14"/>
      <c r="J481" s="14"/>
      <c r="K481" s="14"/>
      <c r="L481" s="135"/>
      <c r="M481" s="14"/>
      <c r="N481" s="14"/>
      <c r="O481" s="14"/>
    </row>
    <row r="482" spans="4:15" ht="14.25" customHeight="1" x14ac:dyDescent="0.25">
      <c r="D482" s="31"/>
      <c r="E482" s="14"/>
      <c r="F482" s="14"/>
      <c r="G482" s="14"/>
      <c r="H482" s="14"/>
      <c r="I482" s="14"/>
      <c r="J482" s="14"/>
      <c r="K482" s="14"/>
      <c r="L482" s="135"/>
      <c r="M482" s="14"/>
      <c r="N482" s="14"/>
      <c r="O482" s="14"/>
    </row>
    <row r="483" spans="4:15" ht="14.25" customHeight="1" x14ac:dyDescent="0.25">
      <c r="D483" s="31"/>
      <c r="E483" s="14"/>
      <c r="F483" s="14"/>
      <c r="G483" s="14"/>
      <c r="H483" s="14"/>
      <c r="I483" s="14"/>
      <c r="J483" s="14"/>
      <c r="K483" s="14"/>
      <c r="L483" s="135"/>
      <c r="M483" s="14"/>
      <c r="N483" s="14"/>
      <c r="O483" s="14"/>
    </row>
    <row r="484" spans="4:15" ht="14.25" customHeight="1" x14ac:dyDescent="0.25">
      <c r="D484" s="31"/>
      <c r="E484" s="14"/>
      <c r="F484" s="14"/>
      <c r="G484" s="14"/>
      <c r="H484" s="14"/>
      <c r="I484" s="14"/>
      <c r="J484" s="14"/>
      <c r="K484" s="14"/>
      <c r="L484" s="135"/>
      <c r="M484" s="14"/>
      <c r="N484" s="14"/>
      <c r="O484" s="14"/>
    </row>
    <row r="485" spans="4:15" ht="14.25" customHeight="1" x14ac:dyDescent="0.25">
      <c r="D485" s="31"/>
      <c r="E485" s="14"/>
      <c r="F485" s="14"/>
      <c r="G485" s="14"/>
      <c r="H485" s="14"/>
      <c r="I485" s="14"/>
      <c r="J485" s="14"/>
      <c r="K485" s="14"/>
      <c r="L485" s="135"/>
      <c r="M485" s="14"/>
      <c r="N485" s="14"/>
      <c r="O485" s="14"/>
    </row>
    <row r="486" spans="4:15" ht="14.25" customHeight="1" x14ac:dyDescent="0.25">
      <c r="D486" s="31"/>
      <c r="E486" s="14"/>
      <c r="F486" s="14"/>
      <c r="G486" s="14"/>
      <c r="H486" s="14"/>
      <c r="I486" s="14"/>
      <c r="J486" s="14"/>
      <c r="K486" s="14"/>
      <c r="L486" s="135"/>
      <c r="M486" s="14"/>
      <c r="N486" s="14"/>
      <c r="O486" s="14"/>
    </row>
    <row r="487" spans="4:15" ht="14.25" customHeight="1" x14ac:dyDescent="0.25">
      <c r="D487" s="31"/>
      <c r="E487" s="14"/>
      <c r="F487" s="14"/>
      <c r="G487" s="14"/>
      <c r="H487" s="14"/>
      <c r="I487" s="14"/>
      <c r="J487" s="14"/>
      <c r="K487" s="14"/>
      <c r="L487" s="135"/>
      <c r="M487" s="14"/>
      <c r="N487" s="14"/>
      <c r="O487" s="14"/>
    </row>
    <row r="488" spans="4:15" ht="14.25" customHeight="1" x14ac:dyDescent="0.25">
      <c r="D488" s="31"/>
      <c r="E488" s="14"/>
      <c r="F488" s="14"/>
      <c r="G488" s="14"/>
      <c r="H488" s="14"/>
      <c r="I488" s="14"/>
      <c r="J488" s="14"/>
      <c r="K488" s="14"/>
      <c r="L488" s="135"/>
      <c r="M488" s="14"/>
      <c r="N488" s="14"/>
      <c r="O488" s="14"/>
    </row>
    <row r="489" spans="4:15" ht="14.25" customHeight="1" x14ac:dyDescent="0.25">
      <c r="D489" s="31"/>
      <c r="E489" s="14"/>
      <c r="F489" s="14"/>
      <c r="G489" s="14"/>
      <c r="H489" s="14"/>
      <c r="I489" s="14"/>
      <c r="J489" s="14"/>
      <c r="K489" s="14"/>
      <c r="L489" s="135"/>
      <c r="M489" s="14"/>
      <c r="N489" s="14"/>
      <c r="O489" s="14"/>
    </row>
    <row r="490" spans="4:15" ht="14.25" customHeight="1" x14ac:dyDescent="0.25">
      <c r="D490" s="31"/>
      <c r="E490" s="14"/>
      <c r="F490" s="14"/>
      <c r="G490" s="14"/>
      <c r="H490" s="14"/>
      <c r="I490" s="14"/>
      <c r="J490" s="14"/>
      <c r="K490" s="14"/>
      <c r="L490" s="135"/>
      <c r="M490" s="14"/>
      <c r="N490" s="14"/>
      <c r="O490" s="14"/>
    </row>
    <row r="491" spans="4:15" ht="14.25" customHeight="1" x14ac:dyDescent="0.25">
      <c r="D491" s="31"/>
      <c r="E491" s="14"/>
      <c r="F491" s="14"/>
      <c r="G491" s="14"/>
      <c r="H491" s="14"/>
      <c r="I491" s="14"/>
      <c r="J491" s="14"/>
      <c r="K491" s="14"/>
      <c r="L491" s="135"/>
      <c r="M491" s="14"/>
      <c r="N491" s="14"/>
      <c r="O491" s="14"/>
    </row>
    <row r="492" spans="4:15" ht="14.25" customHeight="1" x14ac:dyDescent="0.25">
      <c r="D492" s="31"/>
      <c r="E492" s="14"/>
      <c r="F492" s="14"/>
      <c r="G492" s="14"/>
      <c r="H492" s="14"/>
      <c r="I492" s="14"/>
      <c r="J492" s="14"/>
      <c r="K492" s="14"/>
      <c r="L492" s="135"/>
      <c r="M492" s="14"/>
      <c r="N492" s="14"/>
      <c r="O492" s="14"/>
    </row>
    <row r="493" spans="4:15" ht="14.25" customHeight="1" x14ac:dyDescent="0.25">
      <c r="D493" s="31"/>
      <c r="E493" s="14"/>
      <c r="F493" s="14"/>
      <c r="G493" s="14"/>
      <c r="H493" s="14"/>
      <c r="I493" s="14"/>
      <c r="J493" s="14"/>
      <c r="K493" s="14"/>
      <c r="L493" s="135"/>
      <c r="M493" s="14"/>
      <c r="N493" s="14"/>
      <c r="O493" s="14"/>
    </row>
    <row r="494" spans="4:15" ht="14.25" customHeight="1" x14ac:dyDescent="0.25">
      <c r="D494" s="31"/>
      <c r="E494" s="14"/>
      <c r="F494" s="14"/>
      <c r="G494" s="14"/>
      <c r="H494" s="14"/>
      <c r="I494" s="14"/>
      <c r="J494" s="14"/>
      <c r="K494" s="14"/>
      <c r="L494" s="135"/>
      <c r="M494" s="14"/>
      <c r="N494" s="14"/>
      <c r="O494" s="14"/>
    </row>
    <row r="495" spans="4:15" ht="14.25" customHeight="1" x14ac:dyDescent="0.25">
      <c r="D495" s="31"/>
      <c r="E495" s="14"/>
      <c r="F495" s="14"/>
      <c r="G495" s="14"/>
      <c r="H495" s="14"/>
      <c r="I495" s="14"/>
      <c r="J495" s="14"/>
      <c r="K495" s="14"/>
      <c r="L495" s="135"/>
      <c r="M495" s="14"/>
      <c r="N495" s="14"/>
      <c r="O495" s="14"/>
    </row>
    <row r="496" spans="4:15" ht="14.25" customHeight="1" x14ac:dyDescent="0.25">
      <c r="D496" s="31"/>
      <c r="E496" s="14"/>
      <c r="F496" s="14"/>
      <c r="G496" s="14"/>
      <c r="H496" s="14"/>
      <c r="I496" s="14"/>
      <c r="J496" s="14"/>
      <c r="K496" s="14"/>
      <c r="L496" s="135"/>
      <c r="M496" s="14"/>
      <c r="N496" s="14"/>
      <c r="O496" s="14"/>
    </row>
    <row r="497" spans="4:15" ht="14.25" customHeight="1" x14ac:dyDescent="0.25">
      <c r="D497" s="31"/>
      <c r="E497" s="14"/>
      <c r="F497" s="14"/>
      <c r="G497" s="14"/>
      <c r="H497" s="14"/>
      <c r="I497" s="14"/>
      <c r="J497" s="14"/>
      <c r="K497" s="14"/>
      <c r="L497" s="135"/>
      <c r="M497" s="14"/>
      <c r="N497" s="14"/>
      <c r="O497" s="14"/>
    </row>
    <row r="498" spans="4:15" ht="14.25" customHeight="1" x14ac:dyDescent="0.25">
      <c r="D498" s="31"/>
      <c r="E498" s="14"/>
      <c r="F498" s="14"/>
      <c r="G498" s="14"/>
      <c r="H498" s="14"/>
      <c r="I498" s="14"/>
      <c r="J498" s="14"/>
      <c r="K498" s="14"/>
      <c r="L498" s="135"/>
      <c r="M498" s="14"/>
      <c r="N498" s="14"/>
      <c r="O498" s="14"/>
    </row>
    <row r="499" spans="4:15" ht="14.25" customHeight="1" x14ac:dyDescent="0.25">
      <c r="D499" s="31"/>
      <c r="E499" s="14"/>
      <c r="F499" s="14"/>
      <c r="G499" s="14"/>
      <c r="H499" s="14"/>
      <c r="I499" s="14"/>
      <c r="J499" s="14"/>
      <c r="K499" s="14"/>
      <c r="L499" s="135"/>
      <c r="M499" s="14"/>
      <c r="N499" s="14"/>
      <c r="O499" s="14"/>
    </row>
    <row r="500" spans="4:15" ht="14.25" customHeight="1" x14ac:dyDescent="0.25">
      <c r="D500" s="31"/>
      <c r="E500" s="14"/>
      <c r="F500" s="14"/>
      <c r="G500" s="14"/>
      <c r="H500" s="14"/>
      <c r="I500" s="14"/>
      <c r="J500" s="14"/>
      <c r="K500" s="14"/>
      <c r="L500" s="135"/>
      <c r="M500" s="14"/>
      <c r="N500" s="14"/>
      <c r="O500" s="14"/>
    </row>
    <row r="501" spans="4:15" ht="14.25" customHeight="1" x14ac:dyDescent="0.25">
      <c r="D501" s="31"/>
      <c r="E501" s="14"/>
      <c r="F501" s="14"/>
      <c r="G501" s="14"/>
      <c r="H501" s="14"/>
      <c r="I501" s="14"/>
      <c r="J501" s="14"/>
      <c r="K501" s="14"/>
      <c r="L501" s="135"/>
      <c r="M501" s="14"/>
      <c r="N501" s="14"/>
      <c r="O501" s="14"/>
    </row>
    <row r="502" spans="4:15" ht="14.25" customHeight="1" x14ac:dyDescent="0.25">
      <c r="D502" s="31"/>
      <c r="E502" s="14"/>
      <c r="F502" s="14"/>
      <c r="G502" s="14"/>
      <c r="H502" s="14"/>
      <c r="I502" s="14"/>
      <c r="J502" s="14"/>
      <c r="K502" s="14"/>
      <c r="L502" s="135"/>
      <c r="M502" s="14"/>
      <c r="N502" s="14"/>
      <c r="O502" s="14"/>
    </row>
    <row r="503" spans="4:15" ht="14.25" customHeight="1" x14ac:dyDescent="0.25">
      <c r="D503" s="31"/>
      <c r="E503" s="14"/>
      <c r="F503" s="14"/>
      <c r="G503" s="14"/>
      <c r="H503" s="14"/>
      <c r="I503" s="14"/>
      <c r="J503" s="14"/>
      <c r="K503" s="14"/>
      <c r="L503" s="135"/>
      <c r="M503" s="14"/>
      <c r="N503" s="14"/>
      <c r="O503" s="14"/>
    </row>
    <row r="504" spans="4:15" ht="14.25" customHeight="1" x14ac:dyDescent="0.25">
      <c r="D504" s="31"/>
      <c r="E504" s="14"/>
      <c r="F504" s="14"/>
      <c r="G504" s="14"/>
      <c r="H504" s="14"/>
      <c r="I504" s="14"/>
      <c r="J504" s="14"/>
      <c r="K504" s="14"/>
      <c r="L504" s="135"/>
      <c r="M504" s="14"/>
      <c r="N504" s="14"/>
      <c r="O504" s="14"/>
    </row>
    <row r="505" spans="4:15" ht="14.25" customHeight="1" x14ac:dyDescent="0.25">
      <c r="D505" s="31"/>
      <c r="E505" s="14"/>
      <c r="F505" s="14"/>
      <c r="G505" s="14"/>
      <c r="H505" s="14"/>
      <c r="I505" s="14"/>
      <c r="J505" s="14"/>
      <c r="K505" s="14"/>
      <c r="L505" s="135"/>
      <c r="M505" s="14"/>
      <c r="N505" s="14"/>
      <c r="O505" s="14"/>
    </row>
    <row r="506" spans="4:15" ht="14.25" customHeight="1" x14ac:dyDescent="0.25">
      <c r="D506" s="31"/>
      <c r="E506" s="14"/>
      <c r="F506" s="14"/>
      <c r="G506" s="14"/>
      <c r="H506" s="14"/>
      <c r="I506" s="14"/>
      <c r="J506" s="14"/>
      <c r="K506" s="14"/>
      <c r="L506" s="135"/>
      <c r="M506" s="14"/>
      <c r="N506" s="14"/>
      <c r="O506" s="14"/>
    </row>
    <row r="507" spans="4:15" ht="14.25" customHeight="1" x14ac:dyDescent="0.25">
      <c r="D507" s="31"/>
      <c r="E507" s="14"/>
      <c r="F507" s="14"/>
      <c r="G507" s="14"/>
      <c r="H507" s="14"/>
      <c r="I507" s="14"/>
      <c r="J507" s="14"/>
      <c r="K507" s="14"/>
      <c r="L507" s="135"/>
      <c r="M507" s="14"/>
      <c r="N507" s="14"/>
      <c r="O507" s="14"/>
    </row>
    <row r="508" spans="4:15" ht="14.25" customHeight="1" x14ac:dyDescent="0.25">
      <c r="D508" s="31"/>
      <c r="E508" s="14"/>
      <c r="F508" s="14"/>
      <c r="G508" s="14"/>
      <c r="H508" s="14"/>
      <c r="I508" s="14"/>
      <c r="J508" s="14"/>
      <c r="K508" s="14"/>
      <c r="L508" s="135"/>
      <c r="M508" s="14"/>
      <c r="N508" s="14"/>
      <c r="O508" s="14"/>
    </row>
    <row r="509" spans="4:15" ht="14.25" customHeight="1" x14ac:dyDescent="0.25">
      <c r="D509" s="31"/>
      <c r="E509" s="14"/>
      <c r="F509" s="14"/>
      <c r="G509" s="14"/>
      <c r="H509" s="14"/>
      <c r="I509" s="14"/>
      <c r="J509" s="14"/>
      <c r="K509" s="14"/>
      <c r="L509" s="135"/>
      <c r="M509" s="14"/>
      <c r="N509" s="14"/>
      <c r="O509" s="14"/>
    </row>
    <row r="510" spans="4:15" ht="14.25" customHeight="1" x14ac:dyDescent="0.25">
      <c r="D510" s="31"/>
      <c r="E510" s="14"/>
      <c r="F510" s="14"/>
      <c r="G510" s="14"/>
      <c r="H510" s="14"/>
      <c r="I510" s="14"/>
      <c r="J510" s="14"/>
      <c r="K510" s="14"/>
      <c r="L510" s="135"/>
      <c r="M510" s="14"/>
      <c r="N510" s="14"/>
      <c r="O510" s="14"/>
    </row>
    <row r="511" spans="4:15" ht="14.25" customHeight="1" x14ac:dyDescent="0.25">
      <c r="D511" s="31"/>
      <c r="E511" s="14"/>
      <c r="F511" s="14"/>
      <c r="G511" s="14"/>
      <c r="H511" s="14"/>
      <c r="I511" s="14"/>
      <c r="J511" s="14"/>
      <c r="K511" s="14"/>
      <c r="L511" s="135"/>
      <c r="M511" s="14"/>
      <c r="N511" s="14"/>
      <c r="O511" s="14"/>
    </row>
    <row r="512" spans="4:15" ht="14.25" customHeight="1" x14ac:dyDescent="0.25">
      <c r="D512" s="31"/>
      <c r="E512" s="14"/>
      <c r="F512" s="14"/>
      <c r="G512" s="14"/>
      <c r="H512" s="14"/>
      <c r="I512" s="14"/>
      <c r="J512" s="14"/>
      <c r="K512" s="14"/>
      <c r="L512" s="135"/>
      <c r="M512" s="14"/>
      <c r="N512" s="14"/>
      <c r="O512" s="14"/>
    </row>
    <row r="513" spans="4:15" ht="14.25" customHeight="1" x14ac:dyDescent="0.25">
      <c r="D513" s="31"/>
      <c r="E513" s="14"/>
      <c r="F513" s="14"/>
      <c r="G513" s="14"/>
      <c r="H513" s="14"/>
      <c r="I513" s="14"/>
      <c r="J513" s="14"/>
      <c r="K513" s="14"/>
      <c r="L513" s="135"/>
      <c r="M513" s="14"/>
      <c r="N513" s="14"/>
      <c r="O513" s="14"/>
    </row>
    <row r="514" spans="4:15" ht="14.25" customHeight="1" x14ac:dyDescent="0.25">
      <c r="D514" s="31"/>
      <c r="E514" s="14"/>
      <c r="F514" s="14"/>
      <c r="G514" s="14"/>
      <c r="H514" s="14"/>
      <c r="I514" s="14"/>
      <c r="J514" s="14"/>
      <c r="K514" s="14"/>
      <c r="L514" s="135"/>
      <c r="M514" s="14"/>
      <c r="N514" s="14"/>
      <c r="O514" s="14"/>
    </row>
    <row r="515" spans="4:15" ht="14.25" customHeight="1" x14ac:dyDescent="0.25">
      <c r="D515" s="31"/>
      <c r="E515" s="14"/>
      <c r="F515" s="14"/>
      <c r="G515" s="14"/>
      <c r="H515" s="14"/>
      <c r="I515" s="14"/>
      <c r="J515" s="14"/>
      <c r="K515" s="14"/>
      <c r="L515" s="135"/>
      <c r="M515" s="14"/>
      <c r="N515" s="14"/>
      <c r="O515" s="14"/>
    </row>
    <row r="516" spans="4:15" ht="14.25" customHeight="1" x14ac:dyDescent="0.25">
      <c r="D516" s="31"/>
      <c r="E516" s="14"/>
      <c r="F516" s="14"/>
      <c r="G516" s="14"/>
      <c r="H516" s="14"/>
      <c r="I516" s="14"/>
      <c r="J516" s="14"/>
      <c r="K516" s="14"/>
      <c r="L516" s="135"/>
      <c r="M516" s="14"/>
      <c r="N516" s="14"/>
      <c r="O516" s="14"/>
    </row>
    <row r="517" spans="4:15" ht="14.25" customHeight="1" x14ac:dyDescent="0.25">
      <c r="D517" s="31"/>
      <c r="E517" s="14"/>
      <c r="F517" s="14"/>
      <c r="G517" s="14"/>
      <c r="H517" s="14"/>
      <c r="I517" s="14"/>
      <c r="J517" s="14"/>
      <c r="K517" s="14"/>
      <c r="L517" s="135"/>
      <c r="M517" s="14"/>
      <c r="N517" s="14"/>
      <c r="O517" s="14"/>
    </row>
    <row r="518" spans="4:15" ht="14.25" customHeight="1" x14ac:dyDescent="0.25">
      <c r="D518" s="31"/>
      <c r="E518" s="14"/>
      <c r="F518" s="14"/>
      <c r="G518" s="14"/>
      <c r="H518" s="14"/>
      <c r="I518" s="14"/>
      <c r="J518" s="14"/>
      <c r="K518" s="14"/>
      <c r="L518" s="135"/>
      <c r="M518" s="14"/>
      <c r="N518" s="14"/>
      <c r="O518" s="14"/>
    </row>
    <row r="519" spans="4:15" ht="14.25" customHeight="1" x14ac:dyDescent="0.25">
      <c r="D519" s="31"/>
      <c r="E519" s="14"/>
      <c r="F519" s="14"/>
      <c r="G519" s="14"/>
      <c r="H519" s="14"/>
      <c r="I519" s="14"/>
      <c r="J519" s="14"/>
      <c r="K519" s="14"/>
      <c r="L519" s="135"/>
      <c r="M519" s="14"/>
      <c r="N519" s="14"/>
      <c r="O519" s="14"/>
    </row>
    <row r="520" spans="4:15" ht="14.25" customHeight="1" x14ac:dyDescent="0.25">
      <c r="D520" s="31"/>
      <c r="E520" s="14"/>
      <c r="F520" s="14"/>
      <c r="G520" s="14"/>
      <c r="H520" s="14"/>
      <c r="I520" s="14"/>
      <c r="J520" s="14"/>
      <c r="K520" s="14"/>
      <c r="L520" s="135"/>
      <c r="M520" s="14"/>
      <c r="N520" s="14"/>
      <c r="O520" s="14"/>
    </row>
    <row r="521" spans="4:15" ht="14.25" customHeight="1" x14ac:dyDescent="0.25">
      <c r="D521" s="31"/>
      <c r="E521" s="14"/>
      <c r="F521" s="14"/>
      <c r="G521" s="14"/>
      <c r="H521" s="14"/>
      <c r="I521" s="14"/>
      <c r="J521" s="14"/>
      <c r="K521" s="14"/>
      <c r="L521" s="135"/>
      <c r="M521" s="14"/>
      <c r="N521" s="14"/>
      <c r="O521" s="14"/>
    </row>
    <row r="522" spans="4:15" ht="14.25" customHeight="1" x14ac:dyDescent="0.25">
      <c r="D522" s="31"/>
      <c r="E522" s="14"/>
      <c r="F522" s="14"/>
      <c r="G522" s="14"/>
      <c r="H522" s="14"/>
      <c r="I522" s="14"/>
      <c r="J522" s="14"/>
      <c r="K522" s="14"/>
      <c r="L522" s="135"/>
      <c r="M522" s="14"/>
      <c r="N522" s="14"/>
      <c r="O522" s="14"/>
    </row>
    <row r="523" spans="4:15" ht="14.25" customHeight="1" x14ac:dyDescent="0.25">
      <c r="D523" s="31"/>
      <c r="E523" s="14"/>
      <c r="F523" s="14"/>
      <c r="G523" s="14"/>
      <c r="H523" s="14"/>
      <c r="I523" s="14"/>
      <c r="J523" s="14"/>
      <c r="K523" s="14"/>
      <c r="L523" s="135"/>
      <c r="M523" s="14"/>
      <c r="N523" s="14"/>
      <c r="O523" s="14"/>
    </row>
    <row r="524" spans="4:15" ht="14.25" customHeight="1" x14ac:dyDescent="0.25">
      <c r="D524" s="31"/>
      <c r="E524" s="14"/>
      <c r="F524" s="14"/>
      <c r="G524" s="14"/>
      <c r="H524" s="14"/>
      <c r="I524" s="14"/>
      <c r="J524" s="14"/>
      <c r="K524" s="14"/>
      <c r="L524" s="135"/>
      <c r="M524" s="14"/>
      <c r="N524" s="14"/>
      <c r="O524" s="14"/>
    </row>
    <row r="525" spans="4:15" ht="14.25" customHeight="1" x14ac:dyDescent="0.25">
      <c r="D525" s="31"/>
      <c r="E525" s="14"/>
      <c r="F525" s="14"/>
      <c r="G525" s="14"/>
      <c r="H525" s="14"/>
      <c r="I525" s="14"/>
      <c r="J525" s="14"/>
      <c r="K525" s="14"/>
      <c r="L525" s="135"/>
      <c r="M525" s="14"/>
      <c r="N525" s="14"/>
      <c r="O525" s="14"/>
    </row>
    <row r="526" spans="4:15" ht="14.25" customHeight="1" x14ac:dyDescent="0.25">
      <c r="D526" s="31"/>
      <c r="E526" s="14"/>
      <c r="F526" s="14"/>
      <c r="G526" s="14"/>
      <c r="H526" s="14"/>
      <c r="I526" s="14"/>
      <c r="J526" s="14"/>
      <c r="K526" s="14"/>
      <c r="L526" s="135"/>
      <c r="M526" s="14"/>
      <c r="N526" s="14"/>
      <c r="O526" s="14"/>
    </row>
    <row r="527" spans="4:15" ht="14.25" customHeight="1" x14ac:dyDescent="0.25">
      <c r="D527" s="31"/>
      <c r="E527" s="14"/>
      <c r="F527" s="14"/>
      <c r="G527" s="14"/>
      <c r="H527" s="14"/>
      <c r="I527" s="14"/>
      <c r="J527" s="14"/>
      <c r="K527" s="14"/>
      <c r="L527" s="135"/>
      <c r="M527" s="14"/>
      <c r="N527" s="14"/>
      <c r="O527" s="14"/>
    </row>
    <row r="528" spans="4:15" ht="14.25" customHeight="1" x14ac:dyDescent="0.25">
      <c r="D528" s="31"/>
      <c r="E528" s="14"/>
      <c r="F528" s="14"/>
      <c r="G528" s="14"/>
      <c r="H528" s="14"/>
      <c r="I528" s="14"/>
      <c r="J528" s="14"/>
      <c r="K528" s="14"/>
      <c r="L528" s="135"/>
      <c r="M528" s="14"/>
      <c r="N528" s="14"/>
      <c r="O528" s="14"/>
    </row>
    <row r="529" spans="4:15" ht="14.25" customHeight="1" x14ac:dyDescent="0.25">
      <c r="D529" s="31"/>
      <c r="E529" s="14"/>
      <c r="F529" s="14"/>
      <c r="G529" s="14"/>
      <c r="H529" s="14"/>
      <c r="I529" s="14"/>
      <c r="J529" s="14"/>
      <c r="K529" s="14"/>
      <c r="L529" s="135"/>
      <c r="M529" s="14"/>
      <c r="N529" s="14"/>
      <c r="O529" s="14"/>
    </row>
    <row r="530" spans="4:15" ht="14.25" customHeight="1" x14ac:dyDescent="0.25">
      <c r="D530" s="31"/>
      <c r="E530" s="14"/>
      <c r="F530" s="14"/>
      <c r="G530" s="14"/>
      <c r="H530" s="14"/>
      <c r="I530" s="14"/>
      <c r="J530" s="14"/>
      <c r="K530" s="14"/>
      <c r="L530" s="135"/>
      <c r="M530" s="14"/>
      <c r="N530" s="14"/>
      <c r="O530" s="14"/>
    </row>
    <row r="531" spans="4:15" ht="14.25" customHeight="1" x14ac:dyDescent="0.25">
      <c r="D531" s="31"/>
      <c r="E531" s="14"/>
      <c r="F531" s="14"/>
      <c r="G531" s="14"/>
      <c r="H531" s="14"/>
      <c r="I531" s="14"/>
      <c r="J531" s="14"/>
      <c r="K531" s="14"/>
      <c r="L531" s="135"/>
      <c r="M531" s="14"/>
      <c r="N531" s="14"/>
      <c r="O531" s="14"/>
    </row>
    <row r="532" spans="4:15" ht="14.25" customHeight="1" x14ac:dyDescent="0.25">
      <c r="D532" s="31"/>
      <c r="E532" s="14"/>
      <c r="F532" s="14"/>
      <c r="G532" s="14"/>
      <c r="H532" s="14"/>
      <c r="I532" s="14"/>
      <c r="J532" s="14"/>
      <c r="K532" s="14"/>
      <c r="L532" s="135"/>
      <c r="M532" s="14"/>
      <c r="N532" s="14"/>
      <c r="O532" s="14"/>
    </row>
    <row r="533" spans="4:15" ht="14.25" customHeight="1" x14ac:dyDescent="0.25">
      <c r="D533" s="31"/>
      <c r="E533" s="14"/>
      <c r="F533" s="14"/>
      <c r="G533" s="14"/>
      <c r="H533" s="14"/>
      <c r="I533" s="14"/>
      <c r="J533" s="14"/>
      <c r="K533" s="14"/>
      <c r="L533" s="135"/>
      <c r="M533" s="14"/>
      <c r="N533" s="14"/>
      <c r="O533" s="14"/>
    </row>
    <row r="534" spans="4:15" ht="14.25" customHeight="1" x14ac:dyDescent="0.25">
      <c r="D534" s="31"/>
      <c r="E534" s="14"/>
      <c r="F534" s="14"/>
      <c r="G534" s="14"/>
      <c r="H534" s="14"/>
      <c r="I534" s="14"/>
      <c r="J534" s="14"/>
      <c r="K534" s="14"/>
      <c r="L534" s="135"/>
      <c r="M534" s="14"/>
      <c r="N534" s="14"/>
      <c r="O534" s="14"/>
    </row>
    <row r="535" spans="4:15" ht="14.25" customHeight="1" x14ac:dyDescent="0.25">
      <c r="D535" s="31"/>
      <c r="E535" s="14"/>
      <c r="F535" s="14"/>
      <c r="G535" s="14"/>
      <c r="H535" s="14"/>
      <c r="I535" s="14"/>
      <c r="J535" s="14"/>
      <c r="K535" s="14"/>
      <c r="L535" s="135"/>
      <c r="M535" s="14"/>
      <c r="N535" s="14"/>
      <c r="O535" s="14"/>
    </row>
    <row r="536" spans="4:15" ht="14.25" customHeight="1" x14ac:dyDescent="0.25">
      <c r="D536" s="31"/>
      <c r="E536" s="14"/>
      <c r="F536" s="14"/>
      <c r="G536" s="14"/>
      <c r="H536" s="14"/>
      <c r="I536" s="14"/>
      <c r="J536" s="14"/>
      <c r="K536" s="14"/>
      <c r="L536" s="135"/>
      <c r="M536" s="14"/>
      <c r="N536" s="14"/>
      <c r="O536" s="14"/>
    </row>
    <row r="537" spans="4:15" ht="14.25" customHeight="1" x14ac:dyDescent="0.25">
      <c r="D537" s="31"/>
      <c r="E537" s="14"/>
      <c r="F537" s="14"/>
      <c r="G537" s="14"/>
      <c r="H537" s="14"/>
      <c r="I537" s="14"/>
      <c r="J537" s="14"/>
      <c r="K537" s="14"/>
      <c r="L537" s="135"/>
      <c r="M537" s="14"/>
      <c r="N537" s="14"/>
      <c r="O537" s="14"/>
    </row>
    <row r="538" spans="4:15" ht="14.25" customHeight="1" x14ac:dyDescent="0.25">
      <c r="D538" s="31"/>
      <c r="E538" s="14"/>
      <c r="F538" s="14"/>
      <c r="G538" s="14"/>
      <c r="H538" s="14"/>
      <c r="I538" s="14"/>
      <c r="J538" s="14"/>
      <c r="K538" s="14"/>
      <c r="L538" s="135"/>
      <c r="M538" s="14"/>
      <c r="N538" s="14"/>
      <c r="O538" s="14"/>
    </row>
    <row r="539" spans="4:15" ht="14.25" customHeight="1" x14ac:dyDescent="0.25">
      <c r="D539" s="31"/>
      <c r="E539" s="14"/>
      <c r="F539" s="14"/>
      <c r="G539" s="14"/>
      <c r="H539" s="14"/>
      <c r="I539" s="14"/>
      <c r="J539" s="14"/>
      <c r="K539" s="14"/>
      <c r="L539" s="135"/>
      <c r="M539" s="14"/>
      <c r="N539" s="14"/>
      <c r="O539" s="14"/>
    </row>
    <row r="540" spans="4:15" ht="14.25" customHeight="1" x14ac:dyDescent="0.25">
      <c r="D540" s="31"/>
      <c r="E540" s="14"/>
      <c r="F540" s="14"/>
      <c r="G540" s="14"/>
      <c r="H540" s="14"/>
      <c r="I540" s="14"/>
      <c r="J540" s="14"/>
      <c r="K540" s="14"/>
      <c r="L540" s="135"/>
      <c r="M540" s="14"/>
      <c r="N540" s="14"/>
      <c r="O540" s="14"/>
    </row>
    <row r="541" spans="4:15" ht="14.25" customHeight="1" x14ac:dyDescent="0.25">
      <c r="D541" s="31"/>
      <c r="E541" s="14"/>
      <c r="F541" s="14"/>
      <c r="G541" s="14"/>
      <c r="H541" s="14"/>
      <c r="I541" s="14"/>
      <c r="J541" s="14"/>
      <c r="K541" s="14"/>
      <c r="L541" s="135"/>
      <c r="M541" s="14"/>
      <c r="N541" s="14"/>
      <c r="O541" s="14"/>
    </row>
    <row r="542" spans="4:15" ht="14.25" customHeight="1" x14ac:dyDescent="0.25">
      <c r="D542" s="31"/>
      <c r="E542" s="14"/>
      <c r="F542" s="14"/>
      <c r="G542" s="14"/>
      <c r="H542" s="14"/>
      <c r="I542" s="14"/>
      <c r="J542" s="14"/>
      <c r="K542" s="14"/>
      <c r="L542" s="135"/>
      <c r="M542" s="14"/>
      <c r="N542" s="14"/>
      <c r="O542" s="14"/>
    </row>
    <row r="543" spans="4:15" ht="14.25" customHeight="1" x14ac:dyDescent="0.25">
      <c r="D543" s="31"/>
      <c r="E543" s="14"/>
      <c r="F543" s="14"/>
      <c r="G543" s="14"/>
      <c r="H543" s="14"/>
      <c r="I543" s="14"/>
      <c r="J543" s="14"/>
      <c r="K543" s="14"/>
      <c r="L543" s="135"/>
      <c r="M543" s="14"/>
      <c r="N543" s="14"/>
      <c r="O543" s="14"/>
    </row>
    <row r="544" spans="4:15" ht="14.25" customHeight="1" x14ac:dyDescent="0.25">
      <c r="D544" s="31"/>
      <c r="E544" s="14"/>
      <c r="F544" s="14"/>
      <c r="G544" s="14"/>
      <c r="H544" s="14"/>
      <c r="I544" s="14"/>
      <c r="J544" s="14"/>
      <c r="K544" s="14"/>
      <c r="L544" s="135"/>
      <c r="M544" s="14"/>
      <c r="N544" s="14"/>
      <c r="O544" s="14"/>
    </row>
    <row r="545" spans="4:15" ht="14.25" customHeight="1" x14ac:dyDescent="0.25">
      <c r="D545" s="31"/>
      <c r="E545" s="14"/>
      <c r="F545" s="14"/>
      <c r="G545" s="14"/>
      <c r="H545" s="14"/>
      <c r="I545" s="14"/>
      <c r="J545" s="14"/>
      <c r="K545" s="14"/>
      <c r="L545" s="135"/>
      <c r="M545" s="14"/>
      <c r="N545" s="14"/>
      <c r="O545" s="14"/>
    </row>
    <row r="546" spans="4:15" ht="14.25" customHeight="1" x14ac:dyDescent="0.25">
      <c r="D546" s="31"/>
      <c r="E546" s="14"/>
      <c r="F546" s="14"/>
      <c r="G546" s="14"/>
      <c r="H546" s="14"/>
      <c r="I546" s="14"/>
      <c r="J546" s="14"/>
      <c r="K546" s="14"/>
      <c r="L546" s="135"/>
      <c r="M546" s="14"/>
      <c r="N546" s="14"/>
      <c r="O546" s="14"/>
    </row>
    <row r="547" spans="4:15" ht="14.25" customHeight="1" x14ac:dyDescent="0.25">
      <c r="D547" s="31"/>
      <c r="E547" s="14"/>
      <c r="F547" s="14"/>
      <c r="G547" s="14"/>
      <c r="H547" s="14"/>
      <c r="I547" s="14"/>
      <c r="J547" s="14"/>
      <c r="K547" s="14"/>
      <c r="L547" s="135"/>
      <c r="M547" s="14"/>
      <c r="N547" s="14"/>
      <c r="O547" s="14"/>
    </row>
    <row r="548" spans="4:15" ht="14.25" customHeight="1" x14ac:dyDescent="0.25">
      <c r="D548" s="31"/>
      <c r="E548" s="14"/>
      <c r="F548" s="14"/>
      <c r="G548" s="14"/>
      <c r="H548" s="14"/>
      <c r="I548" s="14"/>
      <c r="J548" s="14"/>
      <c r="K548" s="14"/>
      <c r="L548" s="135"/>
      <c r="M548" s="14"/>
      <c r="N548" s="14"/>
      <c r="O548" s="14"/>
    </row>
    <row r="549" spans="4:15" ht="14.25" customHeight="1" x14ac:dyDescent="0.25">
      <c r="D549" s="31"/>
      <c r="E549" s="14"/>
      <c r="F549" s="14"/>
      <c r="G549" s="14"/>
      <c r="H549" s="14"/>
      <c r="I549" s="14"/>
      <c r="J549" s="14"/>
      <c r="K549" s="14"/>
      <c r="L549" s="135"/>
      <c r="M549" s="14"/>
      <c r="N549" s="14"/>
      <c r="O549" s="14"/>
    </row>
    <row r="550" spans="4:15" ht="14.25" customHeight="1" x14ac:dyDescent="0.25">
      <c r="D550" s="31"/>
      <c r="E550" s="14"/>
      <c r="F550" s="14"/>
      <c r="G550" s="14"/>
      <c r="H550" s="14"/>
      <c r="I550" s="14"/>
      <c r="J550" s="14"/>
      <c r="K550" s="14"/>
      <c r="L550" s="135"/>
      <c r="M550" s="14"/>
      <c r="N550" s="14"/>
      <c r="O550" s="14"/>
    </row>
    <row r="551" spans="4:15" ht="14.25" customHeight="1" x14ac:dyDescent="0.25">
      <c r="D551" s="31"/>
      <c r="E551" s="14"/>
      <c r="F551" s="14"/>
      <c r="G551" s="14"/>
      <c r="H551" s="14"/>
      <c r="I551" s="14"/>
      <c r="J551" s="14"/>
      <c r="K551" s="14"/>
      <c r="L551" s="135"/>
      <c r="M551" s="14"/>
      <c r="N551" s="14"/>
      <c r="O551" s="14"/>
    </row>
    <row r="552" spans="4:15" ht="14.25" customHeight="1" x14ac:dyDescent="0.25">
      <c r="D552" s="31"/>
      <c r="E552" s="14"/>
      <c r="F552" s="14"/>
      <c r="G552" s="14"/>
      <c r="H552" s="14"/>
      <c r="I552" s="14"/>
      <c r="J552" s="14"/>
      <c r="K552" s="14"/>
      <c r="L552" s="135"/>
      <c r="M552" s="14"/>
      <c r="N552" s="14"/>
      <c r="O552" s="14"/>
    </row>
    <row r="553" spans="4:15" ht="14.25" customHeight="1" x14ac:dyDescent="0.25">
      <c r="D553" s="31"/>
      <c r="E553" s="14"/>
      <c r="F553" s="14"/>
      <c r="G553" s="14"/>
      <c r="H553" s="14"/>
      <c r="I553" s="14"/>
      <c r="J553" s="14"/>
      <c r="K553" s="14"/>
      <c r="L553" s="135"/>
      <c r="M553" s="14"/>
      <c r="N553" s="14"/>
      <c r="O553" s="14"/>
    </row>
    <row r="554" spans="4:15" ht="14.25" customHeight="1" x14ac:dyDescent="0.25">
      <c r="D554" s="31"/>
      <c r="E554" s="14"/>
      <c r="F554" s="14"/>
      <c r="G554" s="14"/>
      <c r="H554" s="14"/>
      <c r="I554" s="14"/>
      <c r="J554" s="14"/>
      <c r="K554" s="14"/>
      <c r="L554" s="135"/>
      <c r="M554" s="14"/>
      <c r="N554" s="14"/>
      <c r="O554" s="14"/>
    </row>
    <row r="555" spans="4:15" ht="14.25" customHeight="1" x14ac:dyDescent="0.25">
      <c r="D555" s="31"/>
      <c r="E555" s="14"/>
      <c r="F555" s="14"/>
      <c r="G555" s="14"/>
      <c r="H555" s="14"/>
      <c r="I555" s="14"/>
      <c r="J555" s="14"/>
      <c r="K555" s="14"/>
      <c r="L555" s="135"/>
      <c r="M555" s="14"/>
      <c r="N555" s="14"/>
      <c r="O555" s="14"/>
    </row>
    <row r="556" spans="4:15" ht="14.25" customHeight="1" x14ac:dyDescent="0.25">
      <c r="D556" s="31"/>
      <c r="E556" s="14"/>
      <c r="F556" s="14"/>
      <c r="G556" s="14"/>
      <c r="H556" s="14"/>
      <c r="I556" s="14"/>
      <c r="J556" s="14"/>
      <c r="K556" s="14"/>
      <c r="L556" s="135"/>
      <c r="M556" s="14"/>
      <c r="N556" s="14"/>
      <c r="O556" s="14"/>
    </row>
    <row r="557" spans="4:15" ht="14.25" customHeight="1" x14ac:dyDescent="0.25">
      <c r="D557" s="31"/>
      <c r="E557" s="14"/>
      <c r="F557" s="14"/>
      <c r="G557" s="14"/>
      <c r="H557" s="14"/>
      <c r="I557" s="14"/>
      <c r="J557" s="14"/>
      <c r="K557" s="14"/>
      <c r="L557" s="135"/>
      <c r="M557" s="14"/>
      <c r="N557" s="14"/>
      <c r="O557" s="14"/>
    </row>
    <row r="558" spans="4:15" ht="14.25" customHeight="1" x14ac:dyDescent="0.25">
      <c r="D558" s="31"/>
      <c r="E558" s="14"/>
      <c r="F558" s="14"/>
      <c r="G558" s="14"/>
      <c r="H558" s="14"/>
      <c r="I558" s="14"/>
      <c r="J558" s="14"/>
      <c r="K558" s="14"/>
      <c r="L558" s="135"/>
      <c r="M558" s="14"/>
      <c r="N558" s="14"/>
      <c r="O558" s="14"/>
    </row>
    <row r="559" spans="4:15" ht="14.25" customHeight="1" x14ac:dyDescent="0.25">
      <c r="D559" s="31"/>
      <c r="E559" s="14"/>
      <c r="F559" s="14"/>
      <c r="G559" s="14"/>
      <c r="H559" s="14"/>
      <c r="I559" s="14"/>
      <c r="J559" s="14"/>
      <c r="K559" s="14"/>
      <c r="L559" s="135"/>
      <c r="M559" s="14"/>
      <c r="N559" s="14"/>
      <c r="O559" s="14"/>
    </row>
    <row r="560" spans="4:15" ht="14.25" customHeight="1" x14ac:dyDescent="0.25">
      <c r="D560" s="31"/>
      <c r="E560" s="14"/>
      <c r="F560" s="14"/>
      <c r="G560" s="14"/>
      <c r="H560" s="14"/>
      <c r="I560" s="14"/>
      <c r="J560" s="14"/>
      <c r="K560" s="14"/>
      <c r="L560" s="135"/>
      <c r="M560" s="14"/>
      <c r="N560" s="14"/>
      <c r="O560" s="14"/>
    </row>
    <row r="561" spans="4:15" ht="14.25" customHeight="1" x14ac:dyDescent="0.25">
      <c r="D561" s="31"/>
      <c r="E561" s="14"/>
      <c r="F561" s="14"/>
      <c r="G561" s="14"/>
      <c r="H561" s="14"/>
      <c r="I561" s="14"/>
      <c r="J561" s="14"/>
      <c r="K561" s="14"/>
      <c r="L561" s="135"/>
      <c r="M561" s="14"/>
      <c r="N561" s="14"/>
      <c r="O561" s="14"/>
    </row>
    <row r="562" spans="4:15" ht="14.25" customHeight="1" x14ac:dyDescent="0.25">
      <c r="D562" s="31"/>
      <c r="E562" s="14"/>
      <c r="F562" s="14"/>
      <c r="G562" s="14"/>
      <c r="H562" s="14"/>
      <c r="I562" s="14"/>
      <c r="J562" s="14"/>
      <c r="K562" s="14"/>
      <c r="L562" s="135"/>
      <c r="M562" s="14"/>
      <c r="N562" s="14"/>
      <c r="O562" s="14"/>
    </row>
    <row r="563" spans="4:15" ht="14.25" customHeight="1" x14ac:dyDescent="0.25">
      <c r="D563" s="31"/>
      <c r="E563" s="14"/>
      <c r="F563" s="14"/>
      <c r="G563" s="14"/>
      <c r="H563" s="14"/>
      <c r="I563" s="14"/>
      <c r="J563" s="14"/>
      <c r="K563" s="14"/>
      <c r="L563" s="135"/>
      <c r="M563" s="14"/>
      <c r="N563" s="14"/>
      <c r="O563" s="14"/>
    </row>
    <row r="564" spans="4:15" ht="14.25" customHeight="1" x14ac:dyDescent="0.25">
      <c r="D564" s="31"/>
      <c r="E564" s="14"/>
      <c r="F564" s="14"/>
      <c r="G564" s="14"/>
      <c r="H564" s="14"/>
      <c r="I564" s="14"/>
      <c r="J564" s="14"/>
      <c r="K564" s="14"/>
      <c r="L564" s="135"/>
      <c r="M564" s="14"/>
      <c r="N564" s="14"/>
      <c r="O564" s="14"/>
    </row>
    <row r="565" spans="4:15" ht="14.25" customHeight="1" x14ac:dyDescent="0.25">
      <c r="D565" s="31"/>
      <c r="E565" s="14"/>
      <c r="F565" s="14"/>
      <c r="G565" s="14"/>
      <c r="H565" s="14"/>
      <c r="I565" s="14"/>
      <c r="J565" s="14"/>
      <c r="K565" s="14"/>
      <c r="L565" s="135"/>
      <c r="M565" s="14"/>
      <c r="N565" s="14"/>
      <c r="O565" s="14"/>
    </row>
    <row r="566" spans="4:15" ht="14.25" customHeight="1" x14ac:dyDescent="0.25">
      <c r="D566" s="31"/>
      <c r="E566" s="14"/>
      <c r="F566" s="14"/>
      <c r="G566" s="14"/>
      <c r="H566" s="14"/>
      <c r="I566" s="14"/>
      <c r="J566" s="14"/>
      <c r="K566" s="14"/>
      <c r="L566" s="135"/>
      <c r="M566" s="14"/>
      <c r="N566" s="14"/>
      <c r="O566" s="14"/>
    </row>
    <row r="567" spans="4:15" ht="14.25" customHeight="1" x14ac:dyDescent="0.25">
      <c r="D567" s="31"/>
      <c r="E567" s="14"/>
      <c r="F567" s="14"/>
      <c r="G567" s="14"/>
      <c r="H567" s="14"/>
      <c r="I567" s="14"/>
      <c r="J567" s="14"/>
      <c r="K567" s="14"/>
      <c r="L567" s="135"/>
      <c r="M567" s="14"/>
      <c r="N567" s="14"/>
      <c r="O567" s="14"/>
    </row>
    <row r="568" spans="4:15" ht="14.25" customHeight="1" x14ac:dyDescent="0.25">
      <c r="D568" s="31"/>
      <c r="E568" s="14"/>
      <c r="F568" s="14"/>
      <c r="G568" s="14"/>
      <c r="H568" s="14"/>
      <c r="I568" s="14"/>
      <c r="J568" s="14"/>
      <c r="K568" s="14"/>
      <c r="L568" s="135"/>
      <c r="M568" s="14"/>
      <c r="N568" s="14"/>
      <c r="O568" s="14"/>
    </row>
    <row r="569" spans="4:15" ht="14.25" customHeight="1" x14ac:dyDescent="0.25">
      <c r="D569" s="31"/>
      <c r="E569" s="14"/>
      <c r="F569" s="14"/>
      <c r="G569" s="14"/>
      <c r="H569" s="14"/>
      <c r="I569" s="14"/>
      <c r="J569" s="14"/>
      <c r="K569" s="14"/>
      <c r="L569" s="135"/>
      <c r="M569" s="14"/>
      <c r="N569" s="14"/>
      <c r="O569" s="14"/>
    </row>
    <row r="570" spans="4:15" ht="14.25" customHeight="1" x14ac:dyDescent="0.25">
      <c r="D570" s="31"/>
      <c r="E570" s="14"/>
      <c r="F570" s="14"/>
      <c r="G570" s="14"/>
      <c r="H570" s="14"/>
      <c r="I570" s="14"/>
      <c r="J570" s="14"/>
      <c r="K570" s="14"/>
      <c r="L570" s="135"/>
      <c r="M570" s="14"/>
      <c r="N570" s="14"/>
      <c r="O570" s="14"/>
    </row>
    <row r="571" spans="4:15" ht="14.25" customHeight="1" x14ac:dyDescent="0.25">
      <c r="D571" s="31"/>
      <c r="E571" s="14"/>
      <c r="F571" s="14"/>
      <c r="G571" s="14"/>
      <c r="H571" s="14"/>
      <c r="I571" s="14"/>
      <c r="J571" s="14"/>
      <c r="K571" s="14"/>
      <c r="L571" s="135"/>
      <c r="M571" s="14"/>
      <c r="N571" s="14"/>
      <c r="O571" s="14"/>
    </row>
    <row r="572" spans="4:15" ht="14.25" customHeight="1" x14ac:dyDescent="0.25">
      <c r="D572" s="31"/>
      <c r="E572" s="14"/>
      <c r="F572" s="14"/>
      <c r="G572" s="14"/>
      <c r="H572" s="14"/>
      <c r="I572" s="14"/>
      <c r="J572" s="14"/>
      <c r="K572" s="14"/>
      <c r="L572" s="135"/>
      <c r="M572" s="14"/>
      <c r="N572" s="14"/>
      <c r="O572" s="14"/>
    </row>
    <row r="573" spans="4:15" ht="14.25" customHeight="1" x14ac:dyDescent="0.25">
      <c r="D573" s="31"/>
      <c r="E573" s="14"/>
      <c r="F573" s="14"/>
      <c r="G573" s="14"/>
      <c r="H573" s="14"/>
      <c r="I573" s="14"/>
      <c r="J573" s="14"/>
      <c r="K573" s="14"/>
      <c r="L573" s="135"/>
      <c r="M573" s="14"/>
      <c r="N573" s="14"/>
      <c r="O573" s="14"/>
    </row>
    <row r="574" spans="4:15" ht="14.25" customHeight="1" x14ac:dyDescent="0.25">
      <c r="D574" s="31"/>
      <c r="E574" s="14"/>
      <c r="F574" s="14"/>
      <c r="G574" s="14"/>
      <c r="H574" s="14"/>
      <c r="I574" s="14"/>
      <c r="J574" s="14"/>
      <c r="K574" s="14"/>
      <c r="L574" s="135"/>
      <c r="M574" s="14"/>
      <c r="N574" s="14"/>
      <c r="O574" s="14"/>
    </row>
    <row r="575" spans="4:15" ht="14.25" customHeight="1" x14ac:dyDescent="0.25">
      <c r="D575" s="31"/>
      <c r="E575" s="14"/>
      <c r="F575" s="14"/>
      <c r="G575" s="14"/>
      <c r="H575" s="14"/>
      <c r="I575" s="14"/>
      <c r="J575" s="14"/>
      <c r="K575" s="14"/>
      <c r="L575" s="135"/>
      <c r="M575" s="14"/>
      <c r="N575" s="14"/>
      <c r="O575" s="14"/>
    </row>
    <row r="576" spans="4:15" ht="14.25" customHeight="1" x14ac:dyDescent="0.25">
      <c r="D576" s="31"/>
      <c r="E576" s="14"/>
      <c r="F576" s="14"/>
      <c r="G576" s="14"/>
      <c r="H576" s="14"/>
      <c r="I576" s="14"/>
      <c r="J576" s="14"/>
      <c r="K576" s="14"/>
      <c r="L576" s="135"/>
      <c r="M576" s="14"/>
      <c r="N576" s="14"/>
      <c r="O576" s="14"/>
    </row>
    <row r="577" spans="4:15" ht="14.25" customHeight="1" x14ac:dyDescent="0.25">
      <c r="D577" s="31"/>
      <c r="E577" s="14"/>
      <c r="F577" s="14"/>
      <c r="G577" s="14"/>
      <c r="H577" s="14"/>
      <c r="I577" s="14"/>
      <c r="J577" s="14"/>
      <c r="K577" s="14"/>
      <c r="L577" s="135"/>
      <c r="M577" s="14"/>
      <c r="N577" s="14"/>
      <c r="O577" s="14"/>
    </row>
    <row r="578" spans="4:15" ht="14.25" customHeight="1" x14ac:dyDescent="0.25">
      <c r="D578" s="31"/>
      <c r="E578" s="14"/>
      <c r="F578" s="14"/>
      <c r="G578" s="14"/>
      <c r="H578" s="14"/>
      <c r="I578" s="14"/>
      <c r="J578" s="14"/>
      <c r="K578" s="14"/>
      <c r="L578" s="135"/>
      <c r="M578" s="14"/>
      <c r="N578" s="14"/>
      <c r="O578" s="14"/>
    </row>
    <row r="579" spans="4:15" ht="14.25" customHeight="1" x14ac:dyDescent="0.25">
      <c r="D579" s="31"/>
      <c r="E579" s="14"/>
      <c r="F579" s="14"/>
      <c r="G579" s="14"/>
      <c r="H579" s="14"/>
      <c r="I579" s="14"/>
      <c r="J579" s="14"/>
      <c r="K579" s="14"/>
      <c r="L579" s="135"/>
      <c r="M579" s="14"/>
      <c r="N579" s="14"/>
      <c r="O579" s="14"/>
    </row>
    <row r="580" spans="4:15" ht="14.25" customHeight="1" x14ac:dyDescent="0.25">
      <c r="D580" s="31"/>
      <c r="E580" s="14"/>
      <c r="F580" s="14"/>
      <c r="G580" s="14"/>
      <c r="H580" s="14"/>
      <c r="I580" s="14"/>
      <c r="J580" s="14"/>
      <c r="K580" s="14"/>
      <c r="L580" s="135"/>
      <c r="M580" s="14"/>
      <c r="N580" s="14"/>
      <c r="O580" s="14"/>
    </row>
    <row r="581" spans="4:15" ht="14.25" customHeight="1" x14ac:dyDescent="0.25">
      <c r="D581" s="31"/>
      <c r="E581" s="14"/>
      <c r="F581" s="14"/>
      <c r="G581" s="14"/>
      <c r="H581" s="14"/>
      <c r="I581" s="14"/>
      <c r="J581" s="14"/>
      <c r="K581" s="14"/>
      <c r="L581" s="135"/>
      <c r="M581" s="14"/>
      <c r="N581" s="14"/>
      <c r="O581" s="14"/>
    </row>
    <row r="582" spans="4:15" ht="14.25" customHeight="1" x14ac:dyDescent="0.25">
      <c r="D582" s="31"/>
      <c r="E582" s="14"/>
      <c r="F582" s="14"/>
      <c r="G582" s="14"/>
      <c r="H582" s="14"/>
      <c r="I582" s="14"/>
      <c r="J582" s="14"/>
      <c r="K582" s="14"/>
      <c r="L582" s="135"/>
      <c r="M582" s="14"/>
      <c r="N582" s="14"/>
      <c r="O582" s="14"/>
    </row>
    <row r="583" spans="4:15" ht="14.25" customHeight="1" x14ac:dyDescent="0.25">
      <c r="D583" s="31"/>
      <c r="E583" s="14"/>
      <c r="F583" s="14"/>
      <c r="G583" s="14"/>
      <c r="H583" s="14"/>
      <c r="I583" s="14"/>
      <c r="J583" s="14"/>
      <c r="K583" s="14"/>
      <c r="L583" s="135"/>
      <c r="M583" s="14"/>
      <c r="N583" s="14"/>
      <c r="O583" s="14"/>
    </row>
    <row r="584" spans="4:15" ht="14.25" customHeight="1" x14ac:dyDescent="0.25">
      <c r="D584" s="31"/>
      <c r="E584" s="14"/>
      <c r="F584" s="14"/>
      <c r="G584" s="14"/>
      <c r="H584" s="14"/>
      <c r="I584" s="14"/>
      <c r="J584" s="14"/>
      <c r="K584" s="14"/>
      <c r="L584" s="135"/>
      <c r="M584" s="14"/>
      <c r="N584" s="14"/>
      <c r="O584" s="14"/>
    </row>
    <row r="585" spans="4:15" ht="14.25" customHeight="1" x14ac:dyDescent="0.25">
      <c r="D585" s="31"/>
      <c r="E585" s="14"/>
      <c r="F585" s="14"/>
      <c r="G585" s="14"/>
      <c r="H585" s="14"/>
      <c r="I585" s="14"/>
      <c r="J585" s="14"/>
      <c r="K585" s="14"/>
      <c r="L585" s="135"/>
      <c r="M585" s="14"/>
      <c r="N585" s="14"/>
      <c r="O585" s="14"/>
    </row>
    <row r="586" spans="4:15" ht="14.25" customHeight="1" x14ac:dyDescent="0.25">
      <c r="D586" s="31"/>
      <c r="E586" s="14"/>
      <c r="F586" s="14"/>
      <c r="G586" s="14"/>
      <c r="H586" s="14"/>
      <c r="I586" s="14"/>
      <c r="J586" s="14"/>
      <c r="K586" s="14"/>
      <c r="L586" s="135"/>
      <c r="M586" s="14"/>
      <c r="N586" s="14"/>
      <c r="O586" s="14"/>
    </row>
    <row r="587" spans="4:15" ht="14.25" customHeight="1" x14ac:dyDescent="0.25">
      <c r="D587" s="31"/>
      <c r="E587" s="14"/>
      <c r="F587" s="14"/>
      <c r="G587" s="14"/>
      <c r="H587" s="14"/>
      <c r="I587" s="14"/>
      <c r="J587" s="14"/>
      <c r="K587" s="14"/>
      <c r="L587" s="135"/>
      <c r="M587" s="14"/>
      <c r="N587" s="14"/>
      <c r="O587" s="14"/>
    </row>
    <row r="588" spans="4:15" ht="14.25" customHeight="1" x14ac:dyDescent="0.25">
      <c r="D588" s="31"/>
      <c r="E588" s="14"/>
      <c r="F588" s="14"/>
      <c r="G588" s="14"/>
      <c r="H588" s="14"/>
      <c r="I588" s="14"/>
      <c r="J588" s="14"/>
      <c r="K588" s="14"/>
      <c r="L588" s="135"/>
      <c r="M588" s="14"/>
      <c r="N588" s="14"/>
      <c r="O588" s="14"/>
    </row>
    <row r="589" spans="4:15" ht="14.25" customHeight="1" x14ac:dyDescent="0.25">
      <c r="D589" s="31"/>
      <c r="E589" s="14"/>
      <c r="F589" s="14"/>
      <c r="G589" s="14"/>
      <c r="H589" s="14"/>
      <c r="I589" s="14"/>
      <c r="J589" s="14"/>
      <c r="K589" s="14"/>
      <c r="L589" s="135"/>
      <c r="M589" s="14"/>
      <c r="N589" s="14"/>
      <c r="O589" s="14"/>
    </row>
    <row r="590" spans="4:15" ht="14.25" customHeight="1" x14ac:dyDescent="0.25">
      <c r="D590" s="31"/>
      <c r="E590" s="14"/>
      <c r="F590" s="14"/>
      <c r="G590" s="14"/>
      <c r="H590" s="14"/>
      <c r="I590" s="14"/>
      <c r="J590" s="14"/>
      <c r="K590" s="14"/>
      <c r="L590" s="135"/>
      <c r="M590" s="14"/>
      <c r="N590" s="14"/>
      <c r="O590" s="14"/>
    </row>
    <row r="591" spans="4:15" ht="14.25" customHeight="1" x14ac:dyDescent="0.25">
      <c r="D591" s="31"/>
      <c r="E591" s="14"/>
      <c r="F591" s="14"/>
      <c r="G591" s="14"/>
      <c r="H591" s="14"/>
      <c r="I591" s="14"/>
      <c r="J591" s="14"/>
      <c r="K591" s="14"/>
      <c r="L591" s="135"/>
      <c r="M591" s="14"/>
      <c r="N591" s="14"/>
      <c r="O591" s="14"/>
    </row>
    <row r="592" spans="4:15" ht="14.25" customHeight="1" x14ac:dyDescent="0.25">
      <c r="D592" s="31"/>
      <c r="E592" s="14"/>
      <c r="F592" s="14"/>
      <c r="G592" s="14"/>
      <c r="H592" s="14"/>
      <c r="I592" s="14"/>
      <c r="J592" s="14"/>
      <c r="K592" s="14"/>
      <c r="L592" s="135"/>
      <c r="M592" s="14"/>
      <c r="N592" s="14"/>
      <c r="O592" s="14"/>
    </row>
    <row r="593" spans="4:15" ht="14.25" customHeight="1" x14ac:dyDescent="0.25">
      <c r="D593" s="31"/>
      <c r="E593" s="14"/>
      <c r="F593" s="14"/>
      <c r="G593" s="14"/>
      <c r="H593" s="14"/>
      <c r="I593" s="14"/>
      <c r="J593" s="14"/>
      <c r="K593" s="14"/>
      <c r="L593" s="135"/>
      <c r="M593" s="14"/>
      <c r="N593" s="14"/>
      <c r="O593" s="14"/>
    </row>
    <row r="594" spans="4:15" ht="14.25" customHeight="1" x14ac:dyDescent="0.25">
      <c r="D594" s="31"/>
      <c r="E594" s="14"/>
      <c r="F594" s="14"/>
      <c r="G594" s="14"/>
      <c r="H594" s="14"/>
      <c r="I594" s="14"/>
      <c r="J594" s="14"/>
      <c r="K594" s="14"/>
      <c r="L594" s="135"/>
      <c r="M594" s="14"/>
      <c r="N594" s="14"/>
      <c r="O594" s="14"/>
    </row>
    <row r="595" spans="4:15" ht="14.25" customHeight="1" x14ac:dyDescent="0.25">
      <c r="D595" s="31"/>
      <c r="E595" s="14"/>
      <c r="F595" s="14"/>
      <c r="G595" s="14"/>
      <c r="H595" s="14"/>
      <c r="I595" s="14"/>
      <c r="J595" s="14"/>
      <c r="K595" s="14"/>
      <c r="L595" s="135"/>
      <c r="M595" s="14"/>
      <c r="N595" s="14"/>
      <c r="O595" s="14"/>
    </row>
    <row r="596" spans="4:15" ht="14.25" customHeight="1" x14ac:dyDescent="0.25">
      <c r="D596" s="31"/>
      <c r="E596" s="14"/>
      <c r="F596" s="14"/>
      <c r="G596" s="14"/>
      <c r="H596" s="14"/>
      <c r="I596" s="14"/>
      <c r="J596" s="14"/>
      <c r="K596" s="14"/>
      <c r="L596" s="135"/>
      <c r="M596" s="14"/>
      <c r="N596" s="14"/>
      <c r="O596" s="14"/>
    </row>
    <row r="597" spans="4:15" ht="14.25" customHeight="1" x14ac:dyDescent="0.25">
      <c r="D597" s="31"/>
      <c r="E597" s="14"/>
      <c r="F597" s="14"/>
      <c r="G597" s="14"/>
      <c r="H597" s="14"/>
      <c r="I597" s="14"/>
      <c r="J597" s="14"/>
      <c r="K597" s="14"/>
      <c r="L597" s="135"/>
      <c r="M597" s="14"/>
      <c r="N597" s="14"/>
      <c r="O597" s="14"/>
    </row>
    <row r="598" spans="4:15" ht="14.25" customHeight="1" x14ac:dyDescent="0.25">
      <c r="D598" s="31"/>
      <c r="E598" s="14"/>
      <c r="F598" s="14"/>
      <c r="G598" s="14"/>
      <c r="H598" s="14"/>
      <c r="I598" s="14"/>
      <c r="J598" s="14"/>
      <c r="K598" s="14"/>
      <c r="L598" s="135"/>
      <c r="M598" s="14"/>
      <c r="N598" s="14"/>
      <c r="O598" s="14"/>
    </row>
    <row r="599" spans="4:15" ht="14.25" customHeight="1" x14ac:dyDescent="0.25">
      <c r="D599" s="31"/>
      <c r="E599" s="14"/>
      <c r="F599" s="14"/>
      <c r="G599" s="14"/>
      <c r="H599" s="14"/>
      <c r="I599" s="14"/>
      <c r="J599" s="14"/>
      <c r="K599" s="14"/>
      <c r="L599" s="135"/>
      <c r="M599" s="14"/>
      <c r="N599" s="14"/>
      <c r="O599" s="14"/>
    </row>
    <row r="600" spans="4:15" ht="14.25" customHeight="1" x14ac:dyDescent="0.25">
      <c r="D600" s="31"/>
      <c r="E600" s="14"/>
      <c r="F600" s="14"/>
      <c r="G600" s="14"/>
      <c r="H600" s="14"/>
      <c r="I600" s="14"/>
      <c r="J600" s="14"/>
      <c r="K600" s="14"/>
      <c r="L600" s="135"/>
      <c r="M600" s="14"/>
      <c r="N600" s="14"/>
      <c r="O600" s="14"/>
    </row>
    <row r="601" spans="4:15" ht="14.25" customHeight="1" x14ac:dyDescent="0.25">
      <c r="D601" s="31"/>
      <c r="E601" s="14"/>
      <c r="F601" s="14"/>
      <c r="G601" s="14"/>
      <c r="H601" s="14"/>
      <c r="I601" s="14"/>
      <c r="J601" s="14"/>
      <c r="K601" s="14"/>
      <c r="L601" s="135"/>
      <c r="M601" s="14"/>
      <c r="N601" s="14"/>
      <c r="O601" s="14"/>
    </row>
    <row r="602" spans="4:15" ht="14.25" customHeight="1" x14ac:dyDescent="0.25">
      <c r="D602" s="31"/>
      <c r="E602" s="14"/>
      <c r="F602" s="14"/>
      <c r="G602" s="14"/>
      <c r="H602" s="14"/>
      <c r="I602" s="14"/>
      <c r="J602" s="14"/>
      <c r="K602" s="14"/>
      <c r="L602" s="135"/>
      <c r="M602" s="14"/>
      <c r="N602" s="14"/>
      <c r="O602" s="14"/>
    </row>
    <row r="603" spans="4:15" ht="14.25" customHeight="1" x14ac:dyDescent="0.25">
      <c r="D603" s="31"/>
      <c r="E603" s="14"/>
      <c r="F603" s="14"/>
      <c r="G603" s="14"/>
      <c r="H603" s="14"/>
      <c r="I603" s="14"/>
      <c r="J603" s="14"/>
      <c r="K603" s="14"/>
      <c r="L603" s="135"/>
      <c r="M603" s="14"/>
      <c r="N603" s="14"/>
      <c r="O603" s="14"/>
    </row>
    <row r="604" spans="4:15" ht="14.25" customHeight="1" x14ac:dyDescent="0.25">
      <c r="D604" s="31"/>
      <c r="E604" s="14"/>
      <c r="F604" s="14"/>
      <c r="G604" s="14"/>
      <c r="H604" s="14"/>
      <c r="I604" s="14"/>
      <c r="J604" s="14"/>
      <c r="K604" s="14"/>
      <c r="L604" s="135"/>
      <c r="M604" s="14"/>
      <c r="N604" s="14"/>
      <c r="O604" s="14"/>
    </row>
    <row r="605" spans="4:15" ht="14.25" customHeight="1" x14ac:dyDescent="0.25">
      <c r="D605" s="31"/>
      <c r="E605" s="14"/>
      <c r="F605" s="14"/>
      <c r="G605" s="14"/>
      <c r="H605" s="14"/>
      <c r="I605" s="14"/>
      <c r="J605" s="14"/>
      <c r="K605" s="14"/>
      <c r="L605" s="135"/>
      <c r="M605" s="14"/>
      <c r="N605" s="14"/>
      <c r="O605" s="14"/>
    </row>
    <row r="606" spans="4:15" ht="14.25" customHeight="1" x14ac:dyDescent="0.25">
      <c r="D606" s="31"/>
      <c r="E606" s="14"/>
      <c r="F606" s="14"/>
      <c r="G606" s="14"/>
      <c r="H606" s="14"/>
      <c r="I606" s="14"/>
      <c r="J606" s="14"/>
      <c r="K606" s="14"/>
      <c r="L606" s="135"/>
      <c r="M606" s="14"/>
      <c r="N606" s="14"/>
      <c r="O606" s="14"/>
    </row>
    <row r="607" spans="4:15" ht="14.25" customHeight="1" x14ac:dyDescent="0.25">
      <c r="D607" s="31"/>
      <c r="E607" s="14"/>
      <c r="F607" s="14"/>
      <c r="G607" s="14"/>
      <c r="H607" s="14"/>
      <c r="I607" s="14"/>
      <c r="J607" s="14"/>
      <c r="K607" s="14"/>
      <c r="L607" s="135"/>
      <c r="M607" s="14"/>
      <c r="N607" s="14"/>
      <c r="O607" s="14"/>
    </row>
    <row r="608" spans="4:15" ht="14.25" customHeight="1" x14ac:dyDescent="0.25">
      <c r="D608" s="31"/>
      <c r="E608" s="14"/>
      <c r="F608" s="14"/>
      <c r="G608" s="14"/>
      <c r="H608" s="14"/>
      <c r="I608" s="14"/>
      <c r="J608" s="14"/>
      <c r="K608" s="14"/>
      <c r="L608" s="135"/>
      <c r="M608" s="14"/>
      <c r="N608" s="14"/>
      <c r="O608" s="14"/>
    </row>
    <row r="609" spans="4:15" ht="14.25" customHeight="1" x14ac:dyDescent="0.25">
      <c r="D609" s="31"/>
      <c r="E609" s="14"/>
      <c r="F609" s="14"/>
      <c r="G609" s="14"/>
      <c r="H609" s="14"/>
      <c r="I609" s="14"/>
      <c r="J609" s="14"/>
      <c r="K609" s="14"/>
      <c r="L609" s="135"/>
      <c r="M609" s="14"/>
      <c r="N609" s="14"/>
      <c r="O609" s="14"/>
    </row>
    <row r="610" spans="4:15" ht="14.25" customHeight="1" x14ac:dyDescent="0.25">
      <c r="D610" s="31"/>
      <c r="E610" s="14"/>
      <c r="F610" s="14"/>
      <c r="G610" s="14"/>
      <c r="H610" s="14"/>
      <c r="I610" s="14"/>
      <c r="J610" s="14"/>
      <c r="K610" s="14"/>
      <c r="L610" s="135"/>
      <c r="M610" s="14"/>
      <c r="N610" s="14"/>
      <c r="O610" s="14"/>
    </row>
    <row r="611" spans="4:15" ht="14.25" customHeight="1" x14ac:dyDescent="0.25">
      <c r="D611" s="31"/>
      <c r="E611" s="14"/>
      <c r="F611" s="14"/>
      <c r="G611" s="14"/>
      <c r="H611" s="14"/>
      <c r="I611" s="14"/>
      <c r="J611" s="14"/>
      <c r="K611" s="14"/>
      <c r="L611" s="135"/>
      <c r="M611" s="14"/>
      <c r="N611" s="14"/>
      <c r="O611" s="14"/>
    </row>
    <row r="612" spans="4:15" ht="14.25" customHeight="1" x14ac:dyDescent="0.25">
      <c r="D612" s="31"/>
      <c r="E612" s="14"/>
      <c r="F612" s="14"/>
      <c r="G612" s="14"/>
      <c r="H612" s="14"/>
      <c r="I612" s="14"/>
      <c r="J612" s="14"/>
      <c r="K612" s="14"/>
      <c r="L612" s="135"/>
      <c r="M612" s="14"/>
      <c r="N612" s="14"/>
      <c r="O612" s="14"/>
    </row>
    <row r="613" spans="4:15" ht="14.25" customHeight="1" x14ac:dyDescent="0.25">
      <c r="D613" s="31"/>
      <c r="E613" s="14"/>
      <c r="F613" s="14"/>
      <c r="G613" s="14"/>
      <c r="H613" s="14"/>
      <c r="I613" s="14"/>
      <c r="J613" s="14"/>
      <c r="K613" s="14"/>
      <c r="L613" s="135"/>
      <c r="M613" s="14"/>
      <c r="N613" s="14"/>
      <c r="O613" s="14"/>
    </row>
    <row r="614" spans="4:15" ht="14.25" customHeight="1" x14ac:dyDescent="0.25">
      <c r="D614" s="31"/>
      <c r="E614" s="14"/>
      <c r="F614" s="14"/>
      <c r="G614" s="14"/>
      <c r="H614" s="14"/>
      <c r="I614" s="14"/>
      <c r="J614" s="14"/>
      <c r="K614" s="14"/>
      <c r="L614" s="135"/>
      <c r="M614" s="14"/>
      <c r="N614" s="14"/>
      <c r="O614" s="14"/>
    </row>
    <row r="615" spans="4:15" ht="14.25" customHeight="1" x14ac:dyDescent="0.25">
      <c r="D615" s="31"/>
      <c r="E615" s="14"/>
      <c r="F615" s="14"/>
      <c r="G615" s="14"/>
      <c r="H615" s="14"/>
      <c r="I615" s="14"/>
      <c r="J615" s="14"/>
      <c r="K615" s="14"/>
      <c r="L615" s="135"/>
      <c r="M615" s="14"/>
      <c r="N615" s="14"/>
      <c r="O615" s="14"/>
    </row>
    <row r="616" spans="4:15" ht="14.25" customHeight="1" x14ac:dyDescent="0.25">
      <c r="D616" s="31"/>
      <c r="E616" s="14"/>
      <c r="F616" s="14"/>
      <c r="G616" s="14"/>
      <c r="H616" s="14"/>
      <c r="I616" s="14"/>
      <c r="J616" s="14"/>
      <c r="K616" s="14"/>
      <c r="L616" s="135"/>
      <c r="M616" s="14"/>
      <c r="N616" s="14"/>
      <c r="O616" s="14"/>
    </row>
    <row r="617" spans="4:15" ht="14.25" customHeight="1" x14ac:dyDescent="0.25">
      <c r="D617" s="31"/>
      <c r="E617" s="14"/>
      <c r="F617" s="14"/>
      <c r="G617" s="14"/>
      <c r="H617" s="14"/>
      <c r="I617" s="14"/>
      <c r="J617" s="14"/>
      <c r="K617" s="14"/>
      <c r="L617" s="135"/>
      <c r="M617" s="14"/>
      <c r="N617" s="14"/>
      <c r="O617" s="14"/>
    </row>
    <row r="618" spans="4:15" ht="14.25" customHeight="1" x14ac:dyDescent="0.25">
      <c r="D618" s="31"/>
      <c r="E618" s="14"/>
      <c r="F618" s="14"/>
      <c r="G618" s="14"/>
      <c r="H618" s="14"/>
      <c r="I618" s="14"/>
      <c r="J618" s="14"/>
      <c r="K618" s="14"/>
      <c r="L618" s="135"/>
      <c r="M618" s="14"/>
      <c r="N618" s="14"/>
      <c r="O618" s="14"/>
    </row>
    <row r="619" spans="4:15" ht="14.25" customHeight="1" x14ac:dyDescent="0.25">
      <c r="D619" s="31"/>
      <c r="E619" s="14"/>
      <c r="F619" s="14"/>
      <c r="G619" s="14"/>
      <c r="H619" s="14"/>
      <c r="I619" s="14"/>
      <c r="J619" s="14"/>
      <c r="K619" s="14"/>
      <c r="L619" s="135"/>
      <c r="M619" s="14"/>
      <c r="N619" s="14"/>
      <c r="O619" s="14"/>
    </row>
    <row r="620" spans="4:15" ht="14.25" customHeight="1" x14ac:dyDescent="0.25">
      <c r="D620" s="31"/>
      <c r="E620" s="14"/>
      <c r="F620" s="14"/>
      <c r="G620" s="14"/>
      <c r="H620" s="14"/>
      <c r="I620" s="14"/>
      <c r="J620" s="14"/>
      <c r="K620" s="14"/>
      <c r="L620" s="135"/>
      <c r="M620" s="14"/>
      <c r="N620" s="14"/>
      <c r="O620" s="14"/>
    </row>
    <row r="621" spans="4:15" ht="14.25" customHeight="1" x14ac:dyDescent="0.25">
      <c r="D621" s="31"/>
      <c r="E621" s="14"/>
      <c r="F621" s="14"/>
      <c r="G621" s="14"/>
      <c r="H621" s="14"/>
      <c r="I621" s="14"/>
      <c r="J621" s="14"/>
      <c r="K621" s="14"/>
      <c r="L621" s="135"/>
      <c r="M621" s="14"/>
      <c r="N621" s="14"/>
      <c r="O621" s="14"/>
    </row>
    <row r="622" spans="4:15" ht="14.25" customHeight="1" x14ac:dyDescent="0.25">
      <c r="D622" s="31"/>
      <c r="E622" s="14"/>
      <c r="F622" s="14"/>
      <c r="G622" s="14"/>
      <c r="H622" s="14"/>
      <c r="I622" s="14"/>
      <c r="J622" s="14"/>
      <c r="K622" s="14"/>
      <c r="L622" s="135"/>
      <c r="M622" s="14"/>
      <c r="N622" s="14"/>
      <c r="O622" s="14"/>
    </row>
    <row r="623" spans="4:15" ht="14.25" customHeight="1" x14ac:dyDescent="0.25">
      <c r="D623" s="31"/>
      <c r="E623" s="14"/>
      <c r="F623" s="14"/>
      <c r="G623" s="14"/>
      <c r="H623" s="14"/>
      <c r="I623" s="14"/>
      <c r="J623" s="14"/>
      <c r="K623" s="14"/>
      <c r="L623" s="135"/>
      <c r="M623" s="14"/>
      <c r="N623" s="14"/>
      <c r="O623" s="14"/>
    </row>
    <row r="624" spans="4:15" ht="14.25" customHeight="1" x14ac:dyDescent="0.25">
      <c r="D624" s="31"/>
      <c r="E624" s="14"/>
      <c r="F624" s="14"/>
      <c r="G624" s="14"/>
      <c r="H624" s="14"/>
      <c r="I624" s="14"/>
      <c r="J624" s="14"/>
      <c r="K624" s="14"/>
      <c r="L624" s="135"/>
      <c r="M624" s="14"/>
      <c r="N624" s="14"/>
      <c r="O624" s="14"/>
    </row>
    <row r="625" spans="4:15" ht="14.25" customHeight="1" x14ac:dyDescent="0.25">
      <c r="D625" s="31"/>
      <c r="E625" s="14"/>
      <c r="F625" s="14"/>
      <c r="G625" s="14"/>
      <c r="H625" s="14"/>
      <c r="I625" s="14"/>
      <c r="J625" s="14"/>
      <c r="K625" s="14"/>
      <c r="L625" s="135"/>
      <c r="M625" s="14"/>
      <c r="N625" s="14"/>
      <c r="O625" s="14"/>
    </row>
    <row r="626" spans="4:15" ht="14.25" customHeight="1" x14ac:dyDescent="0.25">
      <c r="D626" s="31"/>
      <c r="E626" s="14"/>
      <c r="F626" s="14"/>
      <c r="G626" s="14"/>
      <c r="H626" s="14"/>
      <c r="I626" s="14"/>
      <c r="J626" s="14"/>
      <c r="K626" s="14"/>
      <c r="L626" s="135"/>
      <c r="M626" s="14"/>
      <c r="N626" s="14"/>
      <c r="O626" s="14"/>
    </row>
    <row r="627" spans="4:15" ht="14.25" customHeight="1" x14ac:dyDescent="0.25">
      <c r="D627" s="31"/>
      <c r="E627" s="14"/>
      <c r="F627" s="14"/>
      <c r="G627" s="14"/>
      <c r="H627" s="14"/>
      <c r="I627" s="14"/>
      <c r="J627" s="14"/>
      <c r="K627" s="14"/>
      <c r="L627" s="135"/>
      <c r="M627" s="14"/>
      <c r="N627" s="14"/>
      <c r="O627" s="14"/>
    </row>
    <row r="628" spans="4:15" ht="14.25" customHeight="1" x14ac:dyDescent="0.25">
      <c r="D628" s="31"/>
      <c r="E628" s="14"/>
      <c r="F628" s="14"/>
      <c r="G628" s="14"/>
      <c r="H628" s="14"/>
      <c r="I628" s="14"/>
      <c r="J628" s="14"/>
      <c r="K628" s="14"/>
      <c r="L628" s="135"/>
      <c r="M628" s="14"/>
      <c r="N628" s="14"/>
      <c r="O628" s="14"/>
    </row>
    <row r="629" spans="4:15" ht="14.25" customHeight="1" x14ac:dyDescent="0.25">
      <c r="D629" s="31"/>
      <c r="E629" s="14"/>
      <c r="F629" s="14"/>
      <c r="G629" s="14"/>
      <c r="H629" s="14"/>
      <c r="I629" s="14"/>
      <c r="J629" s="14"/>
      <c r="K629" s="14"/>
      <c r="L629" s="135"/>
      <c r="M629" s="14"/>
      <c r="N629" s="14"/>
      <c r="O629" s="14"/>
    </row>
    <row r="630" spans="4:15" ht="14.25" customHeight="1" x14ac:dyDescent="0.25">
      <c r="D630" s="31"/>
      <c r="E630" s="14"/>
      <c r="F630" s="14"/>
      <c r="G630" s="14"/>
      <c r="H630" s="14"/>
      <c r="I630" s="14"/>
      <c r="J630" s="14"/>
      <c r="K630" s="14"/>
      <c r="L630" s="135"/>
      <c r="M630" s="14"/>
      <c r="N630" s="14"/>
      <c r="O630" s="14"/>
    </row>
    <row r="631" spans="4:15" ht="14.25" customHeight="1" x14ac:dyDescent="0.25">
      <c r="D631" s="31"/>
      <c r="E631" s="14"/>
      <c r="F631" s="14"/>
      <c r="G631" s="14"/>
      <c r="H631" s="14"/>
      <c r="I631" s="14"/>
      <c r="J631" s="14"/>
      <c r="K631" s="14"/>
      <c r="L631" s="135"/>
      <c r="M631" s="14"/>
      <c r="N631" s="14"/>
      <c r="O631" s="14"/>
    </row>
    <row r="632" spans="4:15" ht="14.25" customHeight="1" x14ac:dyDescent="0.25">
      <c r="D632" s="31"/>
      <c r="E632" s="14"/>
      <c r="F632" s="14"/>
      <c r="G632" s="14"/>
      <c r="H632" s="14"/>
      <c r="I632" s="14"/>
      <c r="J632" s="14"/>
      <c r="K632" s="14"/>
      <c r="L632" s="135"/>
      <c r="M632" s="14"/>
      <c r="N632" s="14"/>
      <c r="O632" s="14"/>
    </row>
    <row r="633" spans="4:15" ht="14.25" customHeight="1" x14ac:dyDescent="0.25">
      <c r="D633" s="31"/>
      <c r="E633" s="14"/>
      <c r="F633" s="14"/>
      <c r="G633" s="14"/>
      <c r="H633" s="14"/>
      <c r="I633" s="14"/>
      <c r="J633" s="14"/>
      <c r="K633" s="14"/>
      <c r="L633" s="135"/>
      <c r="M633" s="14"/>
      <c r="N633" s="14"/>
      <c r="O633" s="14"/>
    </row>
    <row r="634" spans="4:15" ht="14.25" customHeight="1" x14ac:dyDescent="0.25">
      <c r="D634" s="31"/>
      <c r="E634" s="14"/>
      <c r="F634" s="14"/>
      <c r="G634" s="14"/>
      <c r="H634" s="14"/>
      <c r="I634" s="14"/>
      <c r="J634" s="14"/>
      <c r="K634" s="14"/>
      <c r="L634" s="135"/>
      <c r="M634" s="14"/>
      <c r="N634" s="14"/>
      <c r="O634" s="14"/>
    </row>
    <row r="635" spans="4:15" ht="14.25" customHeight="1" x14ac:dyDescent="0.25">
      <c r="D635" s="31"/>
      <c r="E635" s="14"/>
      <c r="F635" s="14"/>
      <c r="G635" s="14"/>
      <c r="H635" s="14"/>
      <c r="I635" s="14"/>
      <c r="J635" s="14"/>
      <c r="K635" s="14"/>
      <c r="L635" s="135"/>
      <c r="M635" s="14"/>
      <c r="N635" s="14"/>
      <c r="O635" s="14"/>
    </row>
    <row r="636" spans="4:15" ht="14.25" customHeight="1" x14ac:dyDescent="0.25">
      <c r="D636" s="31"/>
      <c r="E636" s="14"/>
      <c r="F636" s="14"/>
      <c r="G636" s="14"/>
      <c r="H636" s="14"/>
      <c r="I636" s="14"/>
      <c r="J636" s="14"/>
      <c r="K636" s="14"/>
      <c r="L636" s="135"/>
      <c r="M636" s="14"/>
      <c r="N636" s="14"/>
      <c r="O636" s="14"/>
    </row>
    <row r="637" spans="4:15" ht="14.25" customHeight="1" x14ac:dyDescent="0.25">
      <c r="D637" s="31"/>
      <c r="E637" s="14"/>
      <c r="F637" s="14"/>
      <c r="G637" s="14"/>
      <c r="H637" s="14"/>
      <c r="I637" s="14"/>
      <c r="J637" s="14"/>
      <c r="K637" s="14"/>
      <c r="L637" s="135"/>
      <c r="M637" s="14"/>
      <c r="N637" s="14"/>
      <c r="O637" s="14"/>
    </row>
    <row r="638" spans="4:15" ht="14.25" customHeight="1" x14ac:dyDescent="0.25">
      <c r="D638" s="31"/>
      <c r="E638" s="14"/>
      <c r="F638" s="14"/>
      <c r="G638" s="14"/>
      <c r="H638" s="14"/>
      <c r="I638" s="14"/>
      <c r="J638" s="14"/>
      <c r="K638" s="14"/>
      <c r="L638" s="135"/>
      <c r="M638" s="14"/>
      <c r="N638" s="14"/>
      <c r="O638" s="14"/>
    </row>
    <row r="639" spans="4:15" ht="14.25" customHeight="1" x14ac:dyDescent="0.25">
      <c r="D639" s="31"/>
      <c r="E639" s="14"/>
      <c r="F639" s="14"/>
      <c r="G639" s="14"/>
      <c r="H639" s="14"/>
      <c r="I639" s="14"/>
      <c r="J639" s="14"/>
      <c r="K639" s="14"/>
      <c r="L639" s="135"/>
      <c r="M639" s="14"/>
      <c r="N639" s="14"/>
      <c r="O639" s="14"/>
    </row>
    <row r="640" spans="4:15" ht="14.25" customHeight="1" x14ac:dyDescent="0.25">
      <c r="D640" s="31"/>
      <c r="E640" s="14"/>
      <c r="F640" s="14"/>
      <c r="G640" s="14"/>
      <c r="H640" s="14"/>
      <c r="I640" s="14"/>
      <c r="J640" s="14"/>
      <c r="K640" s="14"/>
      <c r="L640" s="135"/>
      <c r="M640" s="14"/>
      <c r="N640" s="14"/>
      <c r="O640" s="14"/>
    </row>
    <row r="641" spans="4:15" ht="14.25" customHeight="1" x14ac:dyDescent="0.25">
      <c r="D641" s="31"/>
      <c r="E641" s="14"/>
      <c r="F641" s="14"/>
      <c r="G641" s="14"/>
      <c r="H641" s="14"/>
      <c r="I641" s="14"/>
      <c r="J641" s="14"/>
      <c r="K641" s="14"/>
      <c r="L641" s="135"/>
      <c r="M641" s="14"/>
      <c r="N641" s="14"/>
      <c r="O641" s="14"/>
    </row>
    <row r="642" spans="4:15" ht="14.25" customHeight="1" x14ac:dyDescent="0.25">
      <c r="D642" s="31"/>
      <c r="E642" s="14"/>
      <c r="F642" s="14"/>
      <c r="G642" s="14"/>
      <c r="H642" s="14"/>
      <c r="I642" s="14"/>
      <c r="J642" s="14"/>
      <c r="K642" s="14"/>
      <c r="L642" s="135"/>
      <c r="M642" s="14"/>
      <c r="N642" s="14"/>
      <c r="O642" s="14"/>
    </row>
    <row r="643" spans="4:15" ht="14.25" customHeight="1" x14ac:dyDescent="0.25">
      <c r="D643" s="31"/>
      <c r="E643" s="14"/>
      <c r="F643" s="14"/>
      <c r="G643" s="14"/>
      <c r="H643" s="14"/>
      <c r="I643" s="14"/>
      <c r="J643" s="14"/>
      <c r="K643" s="14"/>
      <c r="L643" s="135"/>
      <c r="M643" s="14"/>
      <c r="N643" s="14"/>
      <c r="O643" s="14"/>
    </row>
    <row r="644" spans="4:15" ht="14.25" customHeight="1" x14ac:dyDescent="0.25">
      <c r="D644" s="31"/>
      <c r="E644" s="14"/>
      <c r="F644" s="14"/>
      <c r="G644" s="14"/>
      <c r="H644" s="14"/>
      <c r="I644" s="14"/>
      <c r="J644" s="14"/>
      <c r="K644" s="14"/>
      <c r="L644" s="135"/>
      <c r="M644" s="14"/>
      <c r="N644" s="14"/>
      <c r="O644" s="14"/>
    </row>
    <row r="645" spans="4:15" ht="14.25" customHeight="1" x14ac:dyDescent="0.25">
      <c r="D645" s="31"/>
      <c r="E645" s="14"/>
      <c r="F645" s="14"/>
      <c r="G645" s="14"/>
      <c r="H645" s="14"/>
      <c r="I645" s="14"/>
      <c r="J645" s="14"/>
      <c r="K645" s="14"/>
      <c r="L645" s="135"/>
      <c r="M645" s="14"/>
      <c r="N645" s="14"/>
      <c r="O645" s="14"/>
    </row>
    <row r="646" spans="4:15" ht="14.25" customHeight="1" x14ac:dyDescent="0.25">
      <c r="D646" s="31"/>
      <c r="E646" s="14"/>
      <c r="F646" s="14"/>
      <c r="G646" s="14"/>
      <c r="H646" s="14"/>
      <c r="I646" s="14"/>
      <c r="J646" s="14"/>
      <c r="K646" s="14"/>
      <c r="L646" s="135"/>
      <c r="M646" s="14"/>
      <c r="N646" s="14"/>
      <c r="O646" s="14"/>
    </row>
    <row r="647" spans="4:15" ht="14.25" customHeight="1" x14ac:dyDescent="0.25">
      <c r="D647" s="31"/>
      <c r="E647" s="14"/>
      <c r="F647" s="14"/>
      <c r="G647" s="14"/>
      <c r="H647" s="14"/>
      <c r="I647" s="14"/>
      <c r="J647" s="14"/>
      <c r="K647" s="14"/>
      <c r="L647" s="135"/>
      <c r="M647" s="14"/>
      <c r="N647" s="14"/>
      <c r="O647" s="14"/>
    </row>
    <row r="648" spans="4:15" ht="14.25" customHeight="1" x14ac:dyDescent="0.25">
      <c r="D648" s="31"/>
      <c r="E648" s="14"/>
      <c r="F648" s="14"/>
      <c r="G648" s="14"/>
      <c r="H648" s="14"/>
      <c r="I648" s="14"/>
      <c r="J648" s="14"/>
      <c r="K648" s="14"/>
      <c r="L648" s="135"/>
      <c r="M648" s="14"/>
      <c r="N648" s="14"/>
      <c r="O648" s="14"/>
    </row>
    <row r="649" spans="4:15" ht="14.25" customHeight="1" x14ac:dyDescent="0.25">
      <c r="D649" s="31"/>
      <c r="E649" s="14"/>
      <c r="F649" s="14"/>
      <c r="G649" s="14"/>
      <c r="H649" s="14"/>
      <c r="I649" s="14"/>
      <c r="J649" s="14"/>
      <c r="K649" s="14"/>
      <c r="L649" s="135"/>
      <c r="M649" s="14"/>
      <c r="N649" s="14"/>
      <c r="O649" s="14"/>
    </row>
    <row r="650" spans="4:15" ht="14.25" customHeight="1" x14ac:dyDescent="0.25">
      <c r="D650" s="31"/>
      <c r="E650" s="14"/>
      <c r="F650" s="14"/>
      <c r="G650" s="14"/>
      <c r="H650" s="14"/>
      <c r="I650" s="14"/>
      <c r="J650" s="14"/>
      <c r="K650" s="14"/>
      <c r="L650" s="135"/>
      <c r="M650" s="14"/>
      <c r="N650" s="14"/>
      <c r="O650" s="14"/>
    </row>
    <row r="651" spans="4:15" ht="14.25" customHeight="1" x14ac:dyDescent="0.25">
      <c r="D651" s="31"/>
      <c r="E651" s="14"/>
      <c r="F651" s="14"/>
      <c r="G651" s="14"/>
      <c r="H651" s="14"/>
      <c r="I651" s="14"/>
      <c r="J651" s="14"/>
      <c r="K651" s="14"/>
      <c r="L651" s="135"/>
      <c r="M651" s="14"/>
      <c r="N651" s="14"/>
      <c r="O651" s="14"/>
    </row>
    <row r="652" spans="4:15" ht="14.25" customHeight="1" x14ac:dyDescent="0.25">
      <c r="D652" s="31"/>
      <c r="E652" s="14"/>
      <c r="F652" s="14"/>
      <c r="G652" s="14"/>
      <c r="H652" s="14"/>
      <c r="I652" s="14"/>
      <c r="J652" s="14"/>
      <c r="K652" s="14"/>
      <c r="L652" s="135"/>
      <c r="M652" s="14"/>
      <c r="N652" s="14"/>
      <c r="O652" s="14"/>
    </row>
    <row r="653" spans="4:15" ht="14.25" customHeight="1" x14ac:dyDescent="0.25">
      <c r="D653" s="31"/>
      <c r="E653" s="14"/>
      <c r="F653" s="14"/>
      <c r="G653" s="14"/>
      <c r="H653" s="14"/>
      <c r="I653" s="14"/>
      <c r="J653" s="14"/>
      <c r="K653" s="14"/>
      <c r="L653" s="135"/>
      <c r="M653" s="14"/>
      <c r="N653" s="14"/>
      <c r="O653" s="14"/>
    </row>
    <row r="654" spans="4:15" ht="14.25" customHeight="1" x14ac:dyDescent="0.25">
      <c r="D654" s="31"/>
      <c r="E654" s="14"/>
      <c r="F654" s="14"/>
      <c r="G654" s="14"/>
      <c r="H654" s="14"/>
      <c r="I654" s="14"/>
      <c r="J654" s="14"/>
      <c r="K654" s="14"/>
      <c r="L654" s="135"/>
      <c r="M654" s="14"/>
      <c r="N654" s="14"/>
      <c r="O654" s="14"/>
    </row>
    <row r="655" spans="4:15" ht="14.25" customHeight="1" x14ac:dyDescent="0.25">
      <c r="D655" s="31"/>
      <c r="E655" s="14"/>
      <c r="F655" s="14"/>
      <c r="G655" s="14"/>
      <c r="H655" s="14"/>
      <c r="I655" s="14"/>
      <c r="J655" s="14"/>
      <c r="K655" s="14"/>
      <c r="L655" s="135"/>
      <c r="M655" s="14"/>
      <c r="N655" s="14"/>
      <c r="O655" s="14"/>
    </row>
    <row r="656" spans="4:15" ht="14.25" customHeight="1" x14ac:dyDescent="0.25">
      <c r="D656" s="31"/>
      <c r="E656" s="14"/>
      <c r="F656" s="14"/>
      <c r="G656" s="14"/>
      <c r="H656" s="14"/>
      <c r="I656" s="14"/>
      <c r="J656" s="14"/>
      <c r="K656" s="14"/>
      <c r="L656" s="135"/>
      <c r="M656" s="14"/>
      <c r="N656" s="14"/>
      <c r="O656" s="14"/>
    </row>
    <row r="657" spans="4:15" ht="14.25" customHeight="1" x14ac:dyDescent="0.25">
      <c r="D657" s="31"/>
      <c r="E657" s="14"/>
      <c r="F657" s="14"/>
      <c r="G657" s="14"/>
      <c r="H657" s="14"/>
      <c r="I657" s="14"/>
      <c r="J657" s="14"/>
      <c r="K657" s="14"/>
      <c r="L657" s="135"/>
      <c r="M657" s="14"/>
      <c r="N657" s="14"/>
      <c r="O657" s="14"/>
    </row>
    <row r="658" spans="4:15" ht="14.25" customHeight="1" x14ac:dyDescent="0.25">
      <c r="D658" s="31"/>
      <c r="E658" s="14"/>
      <c r="F658" s="14"/>
      <c r="G658" s="14"/>
      <c r="H658" s="14"/>
      <c r="I658" s="14"/>
      <c r="J658" s="14"/>
      <c r="K658" s="14"/>
      <c r="L658" s="135"/>
      <c r="M658" s="14"/>
      <c r="N658" s="14"/>
      <c r="O658" s="14"/>
    </row>
    <row r="659" spans="4:15" ht="14.25" customHeight="1" x14ac:dyDescent="0.25">
      <c r="D659" s="31"/>
      <c r="E659" s="14"/>
      <c r="F659" s="14"/>
      <c r="G659" s="14"/>
      <c r="H659" s="14"/>
      <c r="I659" s="14"/>
      <c r="J659" s="14"/>
      <c r="K659" s="14"/>
      <c r="L659" s="135"/>
      <c r="M659" s="14"/>
      <c r="N659" s="14"/>
      <c r="O659" s="14"/>
    </row>
    <row r="660" spans="4:15" ht="14.25" customHeight="1" x14ac:dyDescent="0.25">
      <c r="D660" s="31"/>
      <c r="E660" s="14"/>
      <c r="F660" s="14"/>
      <c r="G660" s="14"/>
      <c r="H660" s="14"/>
      <c r="I660" s="14"/>
      <c r="J660" s="14"/>
      <c r="K660" s="14"/>
      <c r="L660" s="135"/>
      <c r="M660" s="14"/>
      <c r="N660" s="14"/>
      <c r="O660" s="14"/>
    </row>
    <row r="661" spans="4:15" ht="14.25" customHeight="1" x14ac:dyDescent="0.25">
      <c r="D661" s="31"/>
      <c r="E661" s="14"/>
      <c r="F661" s="14"/>
      <c r="G661" s="14"/>
      <c r="H661" s="14"/>
      <c r="I661" s="14"/>
      <c r="J661" s="14"/>
      <c r="K661" s="14"/>
      <c r="L661" s="135"/>
      <c r="M661" s="14"/>
      <c r="N661" s="14"/>
      <c r="O661" s="14"/>
    </row>
    <row r="662" spans="4:15" ht="14.25" customHeight="1" x14ac:dyDescent="0.25">
      <c r="D662" s="31"/>
      <c r="E662" s="14"/>
      <c r="F662" s="14"/>
      <c r="G662" s="14"/>
      <c r="H662" s="14"/>
      <c r="I662" s="14"/>
      <c r="J662" s="14"/>
      <c r="K662" s="14"/>
      <c r="L662" s="135"/>
      <c r="M662" s="14"/>
      <c r="N662" s="14"/>
      <c r="O662" s="14"/>
    </row>
    <row r="663" spans="4:15" ht="14.25" customHeight="1" x14ac:dyDescent="0.25">
      <c r="D663" s="31"/>
      <c r="E663" s="14"/>
      <c r="F663" s="14"/>
      <c r="G663" s="14"/>
      <c r="H663" s="14"/>
      <c r="I663" s="14"/>
      <c r="J663" s="14"/>
      <c r="K663" s="14"/>
      <c r="L663" s="135"/>
      <c r="M663" s="14"/>
      <c r="N663" s="14"/>
      <c r="O663" s="14"/>
    </row>
    <row r="664" spans="4:15" ht="14.25" customHeight="1" x14ac:dyDescent="0.25">
      <c r="D664" s="31"/>
      <c r="E664" s="14"/>
      <c r="F664" s="14"/>
      <c r="G664" s="14"/>
      <c r="H664" s="14"/>
      <c r="I664" s="14"/>
      <c r="J664" s="14"/>
      <c r="K664" s="14"/>
      <c r="L664" s="135"/>
      <c r="M664" s="14"/>
      <c r="N664" s="14"/>
      <c r="O664" s="14"/>
    </row>
    <row r="665" spans="4:15" ht="14.25" customHeight="1" x14ac:dyDescent="0.25">
      <c r="D665" s="31"/>
      <c r="E665" s="14"/>
      <c r="F665" s="14"/>
      <c r="G665" s="14"/>
      <c r="H665" s="14"/>
      <c r="I665" s="14"/>
      <c r="J665" s="14"/>
      <c r="K665" s="14"/>
      <c r="L665" s="135"/>
      <c r="M665" s="14"/>
      <c r="N665" s="14"/>
      <c r="O665" s="14"/>
    </row>
    <row r="666" spans="4:15" ht="14.25" customHeight="1" x14ac:dyDescent="0.25">
      <c r="D666" s="31"/>
      <c r="E666" s="14"/>
      <c r="F666" s="14"/>
      <c r="G666" s="14"/>
      <c r="H666" s="14"/>
      <c r="I666" s="14"/>
      <c r="J666" s="14"/>
      <c r="K666" s="14"/>
      <c r="L666" s="135"/>
      <c r="M666" s="14"/>
      <c r="N666" s="14"/>
      <c r="O666" s="14"/>
    </row>
    <row r="667" spans="4:15" ht="14.25" customHeight="1" x14ac:dyDescent="0.25">
      <c r="D667" s="31"/>
      <c r="E667" s="14"/>
      <c r="F667" s="14"/>
      <c r="G667" s="14"/>
      <c r="H667" s="14"/>
      <c r="I667" s="14"/>
      <c r="J667" s="14"/>
      <c r="K667" s="14"/>
      <c r="L667" s="135"/>
      <c r="M667" s="14"/>
      <c r="N667" s="14"/>
      <c r="O667" s="14"/>
    </row>
    <row r="668" spans="4:15" ht="14.25" customHeight="1" x14ac:dyDescent="0.25">
      <c r="D668" s="31"/>
      <c r="E668" s="14"/>
      <c r="F668" s="14"/>
      <c r="G668" s="14"/>
      <c r="H668" s="14"/>
      <c r="I668" s="14"/>
      <c r="J668" s="14"/>
      <c r="K668" s="14"/>
      <c r="L668" s="135"/>
      <c r="M668" s="14"/>
      <c r="N668" s="14"/>
      <c r="O668" s="14"/>
    </row>
    <row r="669" spans="4:15" ht="14.25" customHeight="1" x14ac:dyDescent="0.25">
      <c r="D669" s="31"/>
      <c r="E669" s="14"/>
      <c r="F669" s="14"/>
      <c r="G669" s="14"/>
      <c r="H669" s="14"/>
      <c r="I669" s="14"/>
      <c r="J669" s="14"/>
      <c r="K669" s="14"/>
      <c r="L669" s="135"/>
      <c r="M669" s="14"/>
      <c r="N669" s="14"/>
      <c r="O669" s="14"/>
    </row>
    <row r="670" spans="4:15" ht="14.25" customHeight="1" x14ac:dyDescent="0.25">
      <c r="D670" s="31"/>
      <c r="E670" s="14"/>
      <c r="F670" s="14"/>
      <c r="G670" s="14"/>
      <c r="H670" s="14"/>
      <c r="I670" s="14"/>
      <c r="J670" s="14"/>
      <c r="K670" s="14"/>
      <c r="L670" s="135"/>
      <c r="M670" s="14"/>
      <c r="N670" s="14"/>
      <c r="O670" s="14"/>
    </row>
    <row r="671" spans="4:15" ht="14.25" customHeight="1" x14ac:dyDescent="0.25">
      <c r="D671" s="31"/>
      <c r="E671" s="14"/>
      <c r="F671" s="14"/>
      <c r="G671" s="14"/>
      <c r="H671" s="14"/>
      <c r="I671" s="14"/>
      <c r="J671" s="14"/>
      <c r="K671" s="14"/>
      <c r="L671" s="135"/>
      <c r="M671" s="14"/>
      <c r="N671" s="14"/>
      <c r="O671" s="14"/>
    </row>
    <row r="672" spans="4:15" ht="14.25" customHeight="1" x14ac:dyDescent="0.25">
      <c r="D672" s="31"/>
      <c r="E672" s="14"/>
      <c r="F672" s="14"/>
      <c r="G672" s="14"/>
      <c r="H672" s="14"/>
      <c r="I672" s="14"/>
      <c r="J672" s="14"/>
      <c r="K672" s="14"/>
      <c r="L672" s="135"/>
      <c r="M672" s="14"/>
      <c r="N672" s="14"/>
      <c r="O672" s="14"/>
    </row>
    <row r="673" spans="4:15" ht="14.25" customHeight="1" x14ac:dyDescent="0.25">
      <c r="D673" s="31"/>
      <c r="E673" s="14"/>
      <c r="F673" s="14"/>
      <c r="G673" s="14"/>
      <c r="H673" s="14"/>
      <c r="I673" s="14"/>
      <c r="J673" s="14"/>
      <c r="K673" s="14"/>
      <c r="L673" s="135"/>
      <c r="M673" s="14"/>
      <c r="N673" s="14"/>
      <c r="O673" s="14"/>
    </row>
    <row r="674" spans="4:15" ht="14.25" customHeight="1" x14ac:dyDescent="0.25">
      <c r="D674" s="31"/>
      <c r="E674" s="14"/>
      <c r="F674" s="14"/>
      <c r="G674" s="14"/>
      <c r="H674" s="14"/>
      <c r="I674" s="14"/>
      <c r="J674" s="14"/>
      <c r="K674" s="14"/>
      <c r="L674" s="135"/>
      <c r="M674" s="14"/>
      <c r="N674" s="14"/>
      <c r="O674" s="14"/>
    </row>
    <row r="675" spans="4:15" ht="14.25" customHeight="1" x14ac:dyDescent="0.25">
      <c r="D675" s="31"/>
      <c r="E675" s="14"/>
      <c r="F675" s="14"/>
      <c r="G675" s="14"/>
      <c r="H675" s="14"/>
      <c r="I675" s="14"/>
      <c r="J675" s="14"/>
      <c r="K675" s="14"/>
      <c r="L675" s="135"/>
      <c r="M675" s="14"/>
      <c r="N675" s="14"/>
      <c r="O675" s="14"/>
    </row>
    <row r="676" spans="4:15" ht="14.25" customHeight="1" x14ac:dyDescent="0.25">
      <c r="D676" s="31"/>
      <c r="E676" s="14"/>
      <c r="F676" s="14"/>
      <c r="G676" s="14"/>
      <c r="H676" s="14"/>
      <c r="I676" s="14"/>
      <c r="J676" s="14"/>
      <c r="K676" s="14"/>
      <c r="L676" s="135"/>
      <c r="M676" s="14"/>
      <c r="N676" s="14"/>
      <c r="O676" s="14"/>
    </row>
    <row r="677" spans="4:15" ht="14.25" customHeight="1" x14ac:dyDescent="0.25">
      <c r="D677" s="31"/>
      <c r="E677" s="14"/>
      <c r="F677" s="14"/>
      <c r="G677" s="14"/>
      <c r="H677" s="14"/>
      <c r="I677" s="14"/>
      <c r="J677" s="14"/>
      <c r="K677" s="14"/>
      <c r="L677" s="135"/>
      <c r="M677" s="14"/>
      <c r="N677" s="14"/>
      <c r="O677" s="14"/>
    </row>
    <row r="678" spans="4:15" ht="14.25" customHeight="1" x14ac:dyDescent="0.25">
      <c r="D678" s="31"/>
      <c r="E678" s="14"/>
      <c r="F678" s="14"/>
      <c r="G678" s="14"/>
      <c r="H678" s="14"/>
      <c r="I678" s="14"/>
      <c r="J678" s="14"/>
      <c r="K678" s="14"/>
      <c r="L678" s="135"/>
      <c r="M678" s="14"/>
      <c r="N678" s="14"/>
      <c r="O678" s="14"/>
    </row>
    <row r="679" spans="4:15" ht="14.25" customHeight="1" x14ac:dyDescent="0.25">
      <c r="D679" s="31"/>
      <c r="E679" s="14"/>
      <c r="F679" s="14"/>
      <c r="G679" s="14"/>
      <c r="H679" s="14"/>
      <c r="I679" s="14"/>
      <c r="J679" s="14"/>
      <c r="K679" s="14"/>
      <c r="L679" s="135"/>
      <c r="M679" s="14"/>
      <c r="N679" s="14"/>
      <c r="O679" s="14"/>
    </row>
    <row r="680" spans="4:15" ht="14.25" customHeight="1" x14ac:dyDescent="0.25">
      <c r="D680" s="31"/>
      <c r="E680" s="14"/>
      <c r="F680" s="14"/>
      <c r="G680" s="14"/>
      <c r="H680" s="14"/>
      <c r="I680" s="14"/>
      <c r="J680" s="14"/>
      <c r="K680" s="14"/>
      <c r="L680" s="135"/>
      <c r="M680" s="14"/>
      <c r="N680" s="14"/>
      <c r="O680" s="14"/>
    </row>
    <row r="681" spans="4:15" ht="14.25" customHeight="1" x14ac:dyDescent="0.25">
      <c r="D681" s="31"/>
      <c r="E681" s="14"/>
      <c r="F681" s="14"/>
      <c r="G681" s="14"/>
      <c r="H681" s="14"/>
      <c r="I681" s="14"/>
      <c r="J681" s="14"/>
      <c r="K681" s="14"/>
      <c r="L681" s="135"/>
      <c r="M681" s="14"/>
      <c r="N681" s="14"/>
      <c r="O681" s="14"/>
    </row>
    <row r="682" spans="4:15" ht="14.25" customHeight="1" x14ac:dyDescent="0.25">
      <c r="D682" s="31"/>
      <c r="E682" s="14"/>
      <c r="F682" s="14"/>
      <c r="G682" s="14"/>
      <c r="H682" s="14"/>
      <c r="I682" s="14"/>
      <c r="J682" s="14"/>
      <c r="K682" s="14"/>
      <c r="L682" s="135"/>
      <c r="M682" s="14"/>
      <c r="N682" s="14"/>
      <c r="O682" s="14"/>
    </row>
    <row r="683" spans="4:15" ht="14.25" customHeight="1" x14ac:dyDescent="0.25">
      <c r="D683" s="31"/>
      <c r="E683" s="14"/>
      <c r="F683" s="14"/>
      <c r="G683" s="14"/>
      <c r="H683" s="14"/>
      <c r="I683" s="14"/>
      <c r="J683" s="14"/>
      <c r="K683" s="14"/>
      <c r="L683" s="135"/>
      <c r="M683" s="14"/>
      <c r="N683" s="14"/>
      <c r="O683" s="14"/>
    </row>
    <row r="684" spans="4:15" ht="14.25" customHeight="1" x14ac:dyDescent="0.25">
      <c r="D684" s="31"/>
      <c r="E684" s="14"/>
      <c r="F684" s="14"/>
      <c r="G684" s="14"/>
      <c r="H684" s="14"/>
      <c r="I684" s="14"/>
      <c r="J684" s="14"/>
      <c r="K684" s="14"/>
      <c r="L684" s="135"/>
      <c r="M684" s="14"/>
      <c r="N684" s="14"/>
      <c r="O684" s="14"/>
    </row>
    <row r="685" spans="4:15" ht="14.25" customHeight="1" x14ac:dyDescent="0.25">
      <c r="D685" s="31"/>
      <c r="E685" s="14"/>
      <c r="F685" s="14"/>
      <c r="G685" s="14"/>
      <c r="H685" s="14"/>
      <c r="I685" s="14"/>
      <c r="J685" s="14"/>
      <c r="K685" s="14"/>
      <c r="L685" s="135"/>
      <c r="M685" s="14"/>
      <c r="N685" s="14"/>
      <c r="O685" s="14"/>
    </row>
    <row r="686" spans="4:15" ht="14.25" customHeight="1" x14ac:dyDescent="0.25">
      <c r="D686" s="31"/>
      <c r="E686" s="14"/>
      <c r="F686" s="14"/>
      <c r="G686" s="14"/>
      <c r="H686" s="14"/>
      <c r="I686" s="14"/>
      <c r="J686" s="14"/>
      <c r="K686" s="14"/>
      <c r="L686" s="135"/>
      <c r="M686" s="14"/>
      <c r="N686" s="14"/>
      <c r="O686" s="14"/>
    </row>
    <row r="687" spans="4:15" ht="14.25" customHeight="1" x14ac:dyDescent="0.25">
      <c r="D687" s="31"/>
      <c r="E687" s="14"/>
      <c r="F687" s="14"/>
      <c r="G687" s="14"/>
      <c r="H687" s="14"/>
      <c r="I687" s="14"/>
      <c r="J687" s="14"/>
      <c r="K687" s="14"/>
      <c r="L687" s="135"/>
      <c r="M687" s="14"/>
      <c r="N687" s="14"/>
      <c r="O687" s="14"/>
    </row>
    <row r="688" spans="4:15" ht="14.25" customHeight="1" x14ac:dyDescent="0.25">
      <c r="D688" s="31"/>
      <c r="E688" s="14"/>
      <c r="F688" s="14"/>
      <c r="G688" s="14"/>
      <c r="H688" s="14"/>
      <c r="I688" s="14"/>
      <c r="J688" s="14"/>
      <c r="K688" s="14"/>
      <c r="L688" s="135"/>
      <c r="M688" s="14"/>
      <c r="N688" s="14"/>
      <c r="O688" s="14"/>
    </row>
    <row r="689" spans="4:15" ht="14.25" customHeight="1" x14ac:dyDescent="0.25">
      <c r="D689" s="31"/>
      <c r="E689" s="14"/>
      <c r="F689" s="14"/>
      <c r="G689" s="14"/>
      <c r="H689" s="14"/>
      <c r="I689" s="14"/>
      <c r="J689" s="14"/>
      <c r="K689" s="14"/>
      <c r="L689" s="135"/>
      <c r="M689" s="14"/>
      <c r="N689" s="14"/>
      <c r="O689" s="14"/>
    </row>
    <row r="690" spans="4:15" ht="14.25" customHeight="1" x14ac:dyDescent="0.25">
      <c r="D690" s="31"/>
      <c r="E690" s="14"/>
      <c r="F690" s="14"/>
      <c r="G690" s="14"/>
      <c r="H690" s="14"/>
      <c r="I690" s="14"/>
      <c r="J690" s="14"/>
      <c r="K690" s="14"/>
      <c r="L690" s="135"/>
      <c r="M690" s="14"/>
      <c r="N690" s="14"/>
      <c r="O690" s="14"/>
    </row>
    <row r="691" spans="4:15" ht="14.25" customHeight="1" x14ac:dyDescent="0.25">
      <c r="D691" s="31"/>
      <c r="E691" s="14"/>
      <c r="F691" s="14"/>
      <c r="G691" s="14"/>
      <c r="H691" s="14"/>
      <c r="I691" s="14"/>
      <c r="J691" s="14"/>
      <c r="K691" s="14"/>
      <c r="L691" s="135"/>
      <c r="M691" s="14"/>
      <c r="N691" s="14"/>
      <c r="O691" s="14"/>
    </row>
    <row r="692" spans="4:15" ht="14.25" customHeight="1" x14ac:dyDescent="0.25">
      <c r="D692" s="31"/>
      <c r="E692" s="14"/>
      <c r="F692" s="14"/>
      <c r="G692" s="14"/>
      <c r="H692" s="14"/>
      <c r="I692" s="14"/>
      <c r="J692" s="14"/>
      <c r="K692" s="14"/>
      <c r="L692" s="135"/>
      <c r="M692" s="14"/>
      <c r="N692" s="14"/>
      <c r="O692" s="14"/>
    </row>
    <row r="693" spans="4:15" ht="14.25" customHeight="1" x14ac:dyDescent="0.25">
      <c r="D693" s="31"/>
      <c r="E693" s="14"/>
      <c r="F693" s="14"/>
      <c r="G693" s="14"/>
      <c r="H693" s="14"/>
      <c r="I693" s="14"/>
      <c r="J693" s="14"/>
      <c r="K693" s="14"/>
      <c r="L693" s="135"/>
      <c r="M693" s="14"/>
      <c r="N693" s="14"/>
      <c r="O693" s="14"/>
    </row>
    <row r="694" spans="4:15" ht="14.25" customHeight="1" x14ac:dyDescent="0.25">
      <c r="D694" s="31"/>
      <c r="E694" s="14"/>
      <c r="F694" s="14"/>
      <c r="G694" s="14"/>
      <c r="H694" s="14"/>
      <c r="I694" s="14"/>
      <c r="J694" s="14"/>
      <c r="K694" s="14"/>
      <c r="L694" s="135"/>
      <c r="M694" s="14"/>
      <c r="N694" s="14"/>
      <c r="O694" s="14"/>
    </row>
    <row r="695" spans="4:15" ht="14.25" customHeight="1" x14ac:dyDescent="0.25">
      <c r="D695" s="31"/>
      <c r="E695" s="14"/>
      <c r="F695" s="14"/>
      <c r="G695" s="14"/>
      <c r="H695" s="14"/>
      <c r="I695" s="14"/>
      <c r="J695" s="14"/>
      <c r="K695" s="14"/>
      <c r="L695" s="135"/>
      <c r="M695" s="14"/>
      <c r="N695" s="14"/>
      <c r="O695" s="14"/>
    </row>
    <row r="696" spans="4:15" ht="14.25" customHeight="1" x14ac:dyDescent="0.25">
      <c r="D696" s="31"/>
      <c r="E696" s="14"/>
      <c r="F696" s="14"/>
      <c r="G696" s="14"/>
      <c r="H696" s="14"/>
      <c r="I696" s="14"/>
      <c r="J696" s="14"/>
      <c r="K696" s="14"/>
      <c r="L696" s="135"/>
      <c r="M696" s="14"/>
      <c r="N696" s="14"/>
      <c r="O696" s="14"/>
    </row>
    <row r="697" spans="4:15" ht="14.25" customHeight="1" x14ac:dyDescent="0.25">
      <c r="D697" s="31"/>
      <c r="E697" s="14"/>
      <c r="F697" s="14"/>
      <c r="G697" s="14"/>
      <c r="H697" s="14"/>
      <c r="I697" s="14"/>
      <c r="J697" s="14"/>
      <c r="K697" s="14"/>
      <c r="L697" s="135"/>
      <c r="M697" s="14"/>
      <c r="N697" s="14"/>
      <c r="O697" s="14"/>
    </row>
    <row r="698" spans="4:15" ht="14.25" customHeight="1" x14ac:dyDescent="0.25">
      <c r="D698" s="31"/>
      <c r="E698" s="14"/>
      <c r="F698" s="14"/>
      <c r="G698" s="14"/>
      <c r="H698" s="14"/>
      <c r="I698" s="14"/>
      <c r="J698" s="14"/>
      <c r="K698" s="14"/>
      <c r="L698" s="135"/>
      <c r="M698" s="14"/>
      <c r="N698" s="14"/>
      <c r="O698" s="14"/>
    </row>
    <row r="699" spans="4:15" ht="14.25" customHeight="1" x14ac:dyDescent="0.25">
      <c r="D699" s="31"/>
      <c r="E699" s="14"/>
      <c r="F699" s="14"/>
      <c r="G699" s="14"/>
      <c r="H699" s="14"/>
      <c r="I699" s="14"/>
      <c r="J699" s="14"/>
      <c r="K699" s="14"/>
      <c r="L699" s="135"/>
      <c r="M699" s="14"/>
      <c r="N699" s="14"/>
      <c r="O699" s="14"/>
    </row>
    <row r="700" spans="4:15" ht="14.25" customHeight="1" x14ac:dyDescent="0.25">
      <c r="D700" s="31"/>
      <c r="E700" s="14"/>
      <c r="F700" s="14"/>
      <c r="G700" s="14"/>
      <c r="H700" s="14"/>
      <c r="I700" s="14"/>
      <c r="J700" s="14"/>
      <c r="K700" s="14"/>
      <c r="L700" s="135"/>
      <c r="M700" s="14"/>
      <c r="N700" s="14"/>
      <c r="O700" s="14"/>
    </row>
    <row r="701" spans="4:15" ht="14.25" customHeight="1" x14ac:dyDescent="0.25">
      <c r="D701" s="31"/>
      <c r="E701" s="14"/>
      <c r="F701" s="14"/>
      <c r="G701" s="14"/>
      <c r="H701" s="14"/>
      <c r="I701" s="14"/>
      <c r="J701" s="14"/>
      <c r="K701" s="14"/>
      <c r="L701" s="135"/>
      <c r="M701" s="14"/>
      <c r="N701" s="14"/>
      <c r="O701" s="14"/>
    </row>
    <row r="702" spans="4:15" ht="14.25" customHeight="1" x14ac:dyDescent="0.25">
      <c r="D702" s="31"/>
      <c r="E702" s="14"/>
      <c r="F702" s="14"/>
      <c r="G702" s="14"/>
      <c r="H702" s="14"/>
      <c r="I702" s="14"/>
      <c r="J702" s="14"/>
      <c r="K702" s="14"/>
      <c r="L702" s="135"/>
      <c r="M702" s="14"/>
      <c r="N702" s="14"/>
      <c r="O702" s="14"/>
    </row>
    <row r="703" spans="4:15" ht="14.25" customHeight="1" x14ac:dyDescent="0.25">
      <c r="D703" s="31"/>
      <c r="E703" s="14"/>
      <c r="F703" s="14"/>
      <c r="G703" s="14"/>
      <c r="H703" s="14"/>
      <c r="I703" s="14"/>
      <c r="J703" s="14"/>
      <c r="K703" s="14"/>
      <c r="L703" s="135"/>
      <c r="M703" s="14"/>
      <c r="N703" s="14"/>
      <c r="O703" s="14"/>
    </row>
    <row r="704" spans="4:15" ht="14.25" customHeight="1" x14ac:dyDescent="0.25">
      <c r="D704" s="31"/>
      <c r="E704" s="14"/>
      <c r="F704" s="14"/>
      <c r="G704" s="14"/>
      <c r="H704" s="14"/>
      <c r="I704" s="14"/>
      <c r="J704" s="14"/>
      <c r="K704" s="14"/>
      <c r="L704" s="135"/>
      <c r="M704" s="14"/>
      <c r="N704" s="14"/>
      <c r="O704" s="14"/>
    </row>
    <row r="705" spans="4:15" ht="14.25" customHeight="1" x14ac:dyDescent="0.25">
      <c r="D705" s="31"/>
      <c r="E705" s="14"/>
      <c r="F705" s="14"/>
      <c r="G705" s="14"/>
      <c r="H705" s="14"/>
      <c r="I705" s="14"/>
      <c r="J705" s="14"/>
      <c r="K705" s="14"/>
      <c r="L705" s="135"/>
      <c r="M705" s="14"/>
      <c r="N705" s="14"/>
      <c r="O705" s="14"/>
    </row>
    <row r="706" spans="4:15" ht="14.25" customHeight="1" x14ac:dyDescent="0.25">
      <c r="D706" s="31"/>
      <c r="E706" s="14"/>
      <c r="F706" s="14"/>
      <c r="G706" s="14"/>
      <c r="H706" s="14"/>
      <c r="I706" s="14"/>
      <c r="J706" s="14"/>
      <c r="K706" s="14"/>
      <c r="L706" s="135"/>
      <c r="M706" s="14"/>
      <c r="N706" s="14"/>
      <c r="O706" s="14"/>
    </row>
    <row r="707" spans="4:15" ht="14.25" customHeight="1" x14ac:dyDescent="0.25">
      <c r="D707" s="31"/>
      <c r="E707" s="14"/>
      <c r="F707" s="14"/>
      <c r="G707" s="14"/>
      <c r="H707" s="14"/>
      <c r="I707" s="14"/>
      <c r="J707" s="14"/>
      <c r="K707" s="14"/>
      <c r="L707" s="135"/>
      <c r="M707" s="14"/>
      <c r="N707" s="14"/>
      <c r="O707" s="14"/>
    </row>
    <row r="708" spans="4:15" ht="14.25" customHeight="1" x14ac:dyDescent="0.25">
      <c r="D708" s="31"/>
      <c r="E708" s="14"/>
      <c r="F708" s="14"/>
      <c r="G708" s="14"/>
      <c r="H708" s="14"/>
      <c r="I708" s="14"/>
      <c r="J708" s="14"/>
      <c r="K708" s="14"/>
      <c r="L708" s="135"/>
      <c r="M708" s="14"/>
      <c r="N708" s="14"/>
      <c r="O708" s="14"/>
    </row>
    <row r="709" spans="4:15" ht="14.25" customHeight="1" x14ac:dyDescent="0.25">
      <c r="D709" s="31"/>
      <c r="E709" s="14"/>
      <c r="F709" s="14"/>
      <c r="G709" s="14"/>
      <c r="H709" s="14"/>
      <c r="I709" s="14"/>
      <c r="J709" s="14"/>
      <c r="K709" s="14"/>
      <c r="L709" s="135"/>
      <c r="M709" s="14"/>
      <c r="N709" s="14"/>
      <c r="O709" s="14"/>
    </row>
    <row r="710" spans="4:15" ht="14.25" customHeight="1" x14ac:dyDescent="0.25">
      <c r="D710" s="31"/>
      <c r="E710" s="14"/>
      <c r="F710" s="14"/>
      <c r="G710" s="14"/>
      <c r="H710" s="14"/>
      <c r="I710" s="14"/>
      <c r="J710" s="14"/>
      <c r="K710" s="14"/>
      <c r="L710" s="135"/>
      <c r="M710" s="14"/>
      <c r="N710" s="14"/>
      <c r="O710" s="14"/>
    </row>
    <row r="711" spans="4:15" ht="14.25" customHeight="1" x14ac:dyDescent="0.25">
      <c r="D711" s="31"/>
      <c r="E711" s="14"/>
      <c r="F711" s="14"/>
      <c r="G711" s="14"/>
      <c r="H711" s="14"/>
      <c r="I711" s="14"/>
      <c r="J711" s="14"/>
      <c r="K711" s="14"/>
      <c r="L711" s="135"/>
      <c r="M711" s="14"/>
      <c r="N711" s="14"/>
      <c r="O711" s="14"/>
    </row>
    <row r="712" spans="4:15" ht="14.25" customHeight="1" x14ac:dyDescent="0.25">
      <c r="D712" s="31"/>
      <c r="E712" s="14"/>
      <c r="F712" s="14"/>
      <c r="G712" s="14"/>
      <c r="H712" s="14"/>
      <c r="I712" s="14"/>
      <c r="J712" s="14"/>
      <c r="K712" s="14"/>
      <c r="L712" s="135"/>
      <c r="M712" s="14"/>
      <c r="N712" s="14"/>
      <c r="O712" s="14"/>
    </row>
    <row r="713" spans="4:15" ht="14.25" customHeight="1" x14ac:dyDescent="0.25">
      <c r="D713" s="31"/>
      <c r="E713" s="14"/>
      <c r="F713" s="14"/>
      <c r="G713" s="14"/>
      <c r="H713" s="14"/>
      <c r="I713" s="14"/>
      <c r="J713" s="14"/>
      <c r="K713" s="14"/>
      <c r="L713" s="135"/>
      <c r="M713" s="14"/>
      <c r="N713" s="14"/>
      <c r="O713" s="14"/>
    </row>
    <row r="714" spans="4:15" ht="14.25" customHeight="1" x14ac:dyDescent="0.25">
      <c r="D714" s="31"/>
      <c r="E714" s="14"/>
      <c r="F714" s="14"/>
      <c r="G714" s="14"/>
      <c r="H714" s="14"/>
      <c r="I714" s="14"/>
      <c r="J714" s="14"/>
      <c r="K714" s="14"/>
      <c r="L714" s="135"/>
      <c r="M714" s="14"/>
      <c r="N714" s="14"/>
      <c r="O714" s="14"/>
    </row>
    <row r="715" spans="4:15" ht="14.25" customHeight="1" x14ac:dyDescent="0.25">
      <c r="D715" s="31"/>
      <c r="E715" s="14"/>
      <c r="F715" s="14"/>
      <c r="G715" s="14"/>
      <c r="H715" s="14"/>
      <c r="I715" s="14"/>
      <c r="J715" s="14"/>
      <c r="K715" s="14"/>
      <c r="L715" s="135"/>
      <c r="M715" s="14"/>
      <c r="N715" s="14"/>
      <c r="O715" s="14"/>
    </row>
    <row r="716" spans="4:15" ht="14.25" customHeight="1" x14ac:dyDescent="0.25">
      <c r="D716" s="31"/>
      <c r="E716" s="14"/>
      <c r="F716" s="14"/>
      <c r="G716" s="14"/>
      <c r="H716" s="14"/>
      <c r="I716" s="14"/>
      <c r="J716" s="14"/>
      <c r="K716" s="14"/>
      <c r="L716" s="135"/>
      <c r="M716" s="14"/>
      <c r="N716" s="14"/>
      <c r="O716" s="14"/>
    </row>
    <row r="717" spans="4:15" ht="14.25" customHeight="1" x14ac:dyDescent="0.25">
      <c r="D717" s="31"/>
      <c r="E717" s="14"/>
      <c r="F717" s="14"/>
      <c r="G717" s="14"/>
      <c r="H717" s="14"/>
      <c r="I717" s="14"/>
      <c r="J717" s="14"/>
      <c r="K717" s="14"/>
      <c r="L717" s="135"/>
      <c r="M717" s="14"/>
      <c r="N717" s="14"/>
      <c r="O717" s="14"/>
    </row>
    <row r="718" spans="4:15" ht="14.25" customHeight="1" x14ac:dyDescent="0.25">
      <c r="D718" s="31"/>
      <c r="E718" s="14"/>
      <c r="F718" s="14"/>
      <c r="G718" s="14"/>
      <c r="H718" s="14"/>
      <c r="I718" s="14"/>
      <c r="J718" s="14"/>
      <c r="K718" s="14"/>
      <c r="L718" s="135"/>
      <c r="M718" s="14"/>
      <c r="N718" s="14"/>
      <c r="O718" s="14"/>
    </row>
    <row r="719" spans="4:15" ht="14.25" customHeight="1" x14ac:dyDescent="0.25">
      <c r="D719" s="31"/>
      <c r="E719" s="14"/>
      <c r="F719" s="14"/>
      <c r="G719" s="14"/>
      <c r="H719" s="14"/>
      <c r="I719" s="14"/>
      <c r="J719" s="14"/>
      <c r="K719" s="14"/>
      <c r="L719" s="135"/>
      <c r="M719" s="14"/>
      <c r="N719" s="14"/>
      <c r="O719" s="14"/>
    </row>
    <row r="720" spans="4:15" ht="14.25" customHeight="1" x14ac:dyDescent="0.25">
      <c r="D720" s="31"/>
      <c r="E720" s="14"/>
      <c r="F720" s="14"/>
      <c r="G720" s="14"/>
      <c r="H720" s="14"/>
      <c r="I720" s="14"/>
      <c r="J720" s="14"/>
      <c r="K720" s="14"/>
      <c r="L720" s="135"/>
      <c r="M720" s="14"/>
      <c r="N720" s="14"/>
      <c r="O720" s="14"/>
    </row>
    <row r="721" spans="4:15" ht="14.25" customHeight="1" x14ac:dyDescent="0.25">
      <c r="D721" s="31"/>
      <c r="E721" s="14"/>
      <c r="F721" s="14"/>
      <c r="G721" s="14"/>
      <c r="H721" s="14"/>
      <c r="I721" s="14"/>
      <c r="J721" s="14"/>
      <c r="K721" s="14"/>
      <c r="L721" s="135"/>
      <c r="M721" s="14"/>
      <c r="N721" s="14"/>
      <c r="O721" s="14"/>
    </row>
    <row r="722" spans="4:15" ht="14.25" customHeight="1" x14ac:dyDescent="0.25">
      <c r="D722" s="31"/>
      <c r="E722" s="14"/>
      <c r="F722" s="14"/>
      <c r="G722" s="14"/>
      <c r="H722" s="14"/>
      <c r="I722" s="14"/>
      <c r="J722" s="14"/>
      <c r="K722" s="14"/>
      <c r="L722" s="135"/>
      <c r="M722" s="14"/>
      <c r="N722" s="14"/>
      <c r="O722" s="14"/>
    </row>
    <row r="723" spans="4:15" ht="14.25" customHeight="1" x14ac:dyDescent="0.25">
      <c r="D723" s="31"/>
      <c r="E723" s="14"/>
      <c r="F723" s="14"/>
      <c r="G723" s="14"/>
      <c r="H723" s="14"/>
      <c r="I723" s="14"/>
      <c r="J723" s="14"/>
      <c r="K723" s="14"/>
      <c r="L723" s="135"/>
      <c r="M723" s="14"/>
      <c r="N723" s="14"/>
      <c r="O723" s="14"/>
    </row>
    <row r="724" spans="4:15" ht="14.25" customHeight="1" x14ac:dyDescent="0.25">
      <c r="D724" s="31"/>
      <c r="E724" s="14"/>
      <c r="F724" s="14"/>
      <c r="G724" s="14"/>
      <c r="H724" s="14"/>
      <c r="I724" s="14"/>
      <c r="J724" s="14"/>
      <c r="K724" s="14"/>
      <c r="L724" s="135"/>
      <c r="M724" s="14"/>
      <c r="N724" s="14"/>
      <c r="O724" s="14"/>
    </row>
    <row r="725" spans="4:15" ht="14.25" customHeight="1" x14ac:dyDescent="0.25">
      <c r="D725" s="31"/>
      <c r="E725" s="14"/>
      <c r="F725" s="14"/>
      <c r="G725" s="14"/>
      <c r="H725" s="14"/>
      <c r="I725" s="14"/>
      <c r="J725" s="14"/>
      <c r="K725" s="14"/>
      <c r="L725" s="135"/>
      <c r="M725" s="14"/>
      <c r="N725" s="14"/>
      <c r="O725" s="14"/>
    </row>
    <row r="726" spans="4:15" ht="14.25" customHeight="1" x14ac:dyDescent="0.25">
      <c r="D726" s="31"/>
      <c r="E726" s="14"/>
      <c r="F726" s="14"/>
      <c r="G726" s="14"/>
      <c r="H726" s="14"/>
      <c r="I726" s="14"/>
      <c r="J726" s="14"/>
      <c r="K726" s="14"/>
      <c r="L726" s="135"/>
      <c r="M726" s="14"/>
      <c r="N726" s="14"/>
      <c r="O726" s="14"/>
    </row>
    <row r="727" spans="4:15" ht="14.25" customHeight="1" x14ac:dyDescent="0.25">
      <c r="D727" s="31"/>
      <c r="E727" s="14"/>
      <c r="F727" s="14"/>
      <c r="G727" s="14"/>
      <c r="H727" s="14"/>
      <c r="I727" s="14"/>
      <c r="J727" s="14"/>
      <c r="K727" s="14"/>
      <c r="L727" s="135"/>
      <c r="M727" s="14"/>
      <c r="N727" s="14"/>
      <c r="O727" s="14"/>
    </row>
    <row r="728" spans="4:15" ht="14.25" customHeight="1" x14ac:dyDescent="0.25">
      <c r="D728" s="31"/>
      <c r="E728" s="14"/>
      <c r="F728" s="14"/>
      <c r="G728" s="14"/>
      <c r="H728" s="14"/>
      <c r="I728" s="14"/>
      <c r="J728" s="14"/>
      <c r="K728" s="14"/>
      <c r="L728" s="135"/>
      <c r="M728" s="14"/>
      <c r="N728" s="14"/>
      <c r="O728" s="14"/>
    </row>
    <row r="729" spans="4:15" ht="14.25" customHeight="1" x14ac:dyDescent="0.25">
      <c r="D729" s="31"/>
      <c r="E729" s="14"/>
      <c r="F729" s="14"/>
      <c r="G729" s="14"/>
      <c r="H729" s="14"/>
      <c r="I729" s="14"/>
      <c r="J729" s="14"/>
      <c r="K729" s="14"/>
      <c r="L729" s="135"/>
      <c r="M729" s="14"/>
      <c r="N729" s="14"/>
      <c r="O729" s="14"/>
    </row>
    <row r="730" spans="4:15" ht="14.25" customHeight="1" x14ac:dyDescent="0.25">
      <c r="D730" s="31"/>
      <c r="E730" s="14"/>
      <c r="F730" s="14"/>
      <c r="G730" s="14"/>
      <c r="H730" s="14"/>
      <c r="I730" s="14"/>
      <c r="J730" s="14"/>
      <c r="K730" s="14"/>
      <c r="L730" s="135"/>
      <c r="M730" s="14"/>
      <c r="N730" s="14"/>
      <c r="O730" s="14"/>
    </row>
    <row r="731" spans="4:15" ht="14.25" customHeight="1" x14ac:dyDescent="0.25">
      <c r="D731" s="31"/>
      <c r="E731" s="14"/>
      <c r="F731" s="14"/>
      <c r="G731" s="14"/>
      <c r="H731" s="14"/>
      <c r="I731" s="14"/>
      <c r="J731" s="14"/>
      <c r="K731" s="14"/>
      <c r="L731" s="135"/>
      <c r="M731" s="14"/>
      <c r="N731" s="14"/>
      <c r="O731" s="14"/>
    </row>
    <row r="732" spans="4:15" ht="14.25" customHeight="1" x14ac:dyDescent="0.25">
      <c r="D732" s="31"/>
      <c r="E732" s="14"/>
      <c r="F732" s="14"/>
      <c r="G732" s="14"/>
      <c r="H732" s="14"/>
      <c r="I732" s="14"/>
      <c r="J732" s="14"/>
      <c r="K732" s="14"/>
      <c r="L732" s="135"/>
      <c r="M732" s="14"/>
      <c r="N732" s="14"/>
      <c r="O732" s="14"/>
    </row>
    <row r="733" spans="4:15" ht="14.25" customHeight="1" x14ac:dyDescent="0.25">
      <c r="D733" s="31"/>
      <c r="E733" s="14"/>
      <c r="F733" s="14"/>
      <c r="G733" s="14"/>
      <c r="H733" s="14"/>
      <c r="I733" s="14"/>
      <c r="J733" s="14"/>
      <c r="K733" s="14"/>
      <c r="L733" s="135"/>
      <c r="M733" s="14"/>
      <c r="N733" s="14"/>
      <c r="O733" s="14"/>
    </row>
    <row r="734" spans="4:15" ht="14.25" customHeight="1" x14ac:dyDescent="0.25">
      <c r="D734" s="31"/>
      <c r="E734" s="14"/>
      <c r="F734" s="14"/>
      <c r="G734" s="14"/>
      <c r="H734" s="14"/>
      <c r="I734" s="14"/>
      <c r="J734" s="14"/>
      <c r="K734" s="14"/>
      <c r="L734" s="135"/>
      <c r="M734" s="14"/>
      <c r="N734" s="14"/>
      <c r="O734" s="14"/>
    </row>
    <row r="735" spans="4:15" ht="14.25" customHeight="1" x14ac:dyDescent="0.25">
      <c r="D735" s="31"/>
      <c r="E735" s="14"/>
      <c r="F735" s="14"/>
      <c r="G735" s="14"/>
      <c r="H735" s="14"/>
      <c r="I735" s="14"/>
      <c r="J735" s="14"/>
      <c r="K735" s="14"/>
      <c r="L735" s="135"/>
      <c r="M735" s="14"/>
      <c r="N735" s="14"/>
      <c r="O735" s="14"/>
    </row>
    <row r="736" spans="4:15" ht="14.25" customHeight="1" x14ac:dyDescent="0.25">
      <c r="D736" s="31"/>
      <c r="E736" s="14"/>
      <c r="F736" s="14"/>
      <c r="G736" s="14"/>
      <c r="H736" s="14"/>
      <c r="I736" s="14"/>
      <c r="J736" s="14"/>
      <c r="K736" s="14"/>
      <c r="L736" s="135"/>
      <c r="M736" s="14"/>
      <c r="N736" s="14"/>
      <c r="O736" s="14"/>
    </row>
    <row r="737" spans="4:15" ht="14.25" customHeight="1" x14ac:dyDescent="0.25">
      <c r="D737" s="31"/>
      <c r="E737" s="14"/>
      <c r="F737" s="14"/>
      <c r="G737" s="14"/>
      <c r="H737" s="14"/>
      <c r="I737" s="14"/>
      <c r="J737" s="14"/>
      <c r="K737" s="14"/>
      <c r="L737" s="135"/>
      <c r="M737" s="14"/>
      <c r="N737" s="14"/>
      <c r="O737" s="14"/>
    </row>
    <row r="738" spans="4:15" ht="14.25" customHeight="1" x14ac:dyDescent="0.25">
      <c r="D738" s="31"/>
      <c r="E738" s="14"/>
      <c r="F738" s="14"/>
      <c r="G738" s="14"/>
      <c r="H738" s="14"/>
      <c r="I738" s="14"/>
      <c r="J738" s="14"/>
      <c r="K738" s="14"/>
      <c r="L738" s="135"/>
      <c r="M738" s="14"/>
      <c r="N738" s="14"/>
      <c r="O738" s="14"/>
    </row>
    <row r="739" spans="4:15" ht="14.25" customHeight="1" x14ac:dyDescent="0.25">
      <c r="D739" s="31"/>
      <c r="E739" s="14"/>
      <c r="F739" s="14"/>
      <c r="G739" s="14"/>
      <c r="H739" s="14"/>
      <c r="I739" s="14"/>
      <c r="J739" s="14"/>
      <c r="K739" s="14"/>
      <c r="L739" s="135"/>
      <c r="M739" s="14"/>
      <c r="N739" s="14"/>
      <c r="O739" s="14"/>
    </row>
    <row r="740" spans="4:15" ht="14.25" customHeight="1" x14ac:dyDescent="0.25">
      <c r="D740" s="31"/>
      <c r="E740" s="14"/>
      <c r="F740" s="14"/>
      <c r="G740" s="14"/>
      <c r="H740" s="14"/>
      <c r="I740" s="14"/>
      <c r="J740" s="14"/>
      <c r="K740" s="14"/>
      <c r="L740" s="135"/>
      <c r="M740" s="14"/>
      <c r="N740" s="14"/>
      <c r="O740" s="14"/>
    </row>
    <row r="741" spans="4:15" ht="14.25" customHeight="1" x14ac:dyDescent="0.25">
      <c r="D741" s="31"/>
      <c r="E741" s="14"/>
      <c r="F741" s="14"/>
      <c r="G741" s="14"/>
      <c r="H741" s="14"/>
      <c r="I741" s="14"/>
      <c r="J741" s="14"/>
      <c r="K741" s="14"/>
      <c r="L741" s="135"/>
      <c r="M741" s="14"/>
      <c r="N741" s="14"/>
      <c r="O741" s="14"/>
    </row>
    <row r="742" spans="4:15" ht="14.25" customHeight="1" x14ac:dyDescent="0.25">
      <c r="D742" s="31"/>
      <c r="E742" s="14"/>
      <c r="F742" s="14"/>
      <c r="G742" s="14"/>
      <c r="H742" s="14"/>
      <c r="I742" s="14"/>
      <c r="J742" s="14"/>
      <c r="K742" s="14"/>
      <c r="L742" s="135"/>
      <c r="M742" s="14"/>
      <c r="N742" s="14"/>
      <c r="O742" s="14"/>
    </row>
    <row r="743" spans="4:15" ht="14.25" customHeight="1" x14ac:dyDescent="0.25">
      <c r="D743" s="31"/>
      <c r="E743" s="14"/>
      <c r="F743" s="14"/>
      <c r="G743" s="14"/>
      <c r="H743" s="14"/>
      <c r="I743" s="14"/>
      <c r="J743" s="14"/>
      <c r="K743" s="14"/>
      <c r="L743" s="135"/>
      <c r="M743" s="14"/>
      <c r="N743" s="14"/>
      <c r="O743" s="14"/>
    </row>
    <row r="744" spans="4:15" ht="14.25" customHeight="1" x14ac:dyDescent="0.25">
      <c r="D744" s="31"/>
      <c r="E744" s="14"/>
      <c r="F744" s="14"/>
      <c r="G744" s="14"/>
      <c r="H744" s="14"/>
      <c r="I744" s="14"/>
      <c r="J744" s="14"/>
      <c r="K744" s="14"/>
      <c r="L744" s="135"/>
      <c r="M744" s="14"/>
      <c r="N744" s="14"/>
      <c r="O744" s="14"/>
    </row>
    <row r="745" spans="4:15" ht="14.25" customHeight="1" x14ac:dyDescent="0.25">
      <c r="D745" s="31"/>
      <c r="E745" s="14"/>
      <c r="F745" s="14"/>
      <c r="G745" s="14"/>
      <c r="H745" s="14"/>
      <c r="I745" s="14"/>
      <c r="J745" s="14"/>
      <c r="K745" s="14"/>
      <c r="L745" s="135"/>
      <c r="M745" s="14"/>
      <c r="N745" s="14"/>
      <c r="O745" s="14"/>
    </row>
    <row r="746" spans="4:15" ht="14.25" customHeight="1" x14ac:dyDescent="0.25">
      <c r="D746" s="31"/>
      <c r="E746" s="14"/>
      <c r="F746" s="14"/>
      <c r="G746" s="14"/>
      <c r="H746" s="14"/>
      <c r="I746" s="14"/>
      <c r="J746" s="14"/>
      <c r="K746" s="14"/>
      <c r="L746" s="135"/>
      <c r="M746" s="14"/>
      <c r="N746" s="14"/>
      <c r="O746" s="14"/>
    </row>
    <row r="747" spans="4:15" ht="14.25" customHeight="1" x14ac:dyDescent="0.25">
      <c r="D747" s="31"/>
      <c r="E747" s="14"/>
      <c r="F747" s="14"/>
      <c r="G747" s="14"/>
      <c r="H747" s="14"/>
      <c r="I747" s="14"/>
      <c r="J747" s="14"/>
      <c r="K747" s="14"/>
      <c r="L747" s="135"/>
      <c r="M747" s="14"/>
      <c r="N747" s="14"/>
      <c r="O747" s="14"/>
    </row>
    <row r="748" spans="4:15" ht="14.25" customHeight="1" x14ac:dyDescent="0.25">
      <c r="D748" s="31"/>
      <c r="E748" s="14"/>
      <c r="F748" s="14"/>
      <c r="G748" s="14"/>
      <c r="H748" s="14"/>
      <c r="I748" s="14"/>
      <c r="J748" s="14"/>
      <c r="K748" s="14"/>
      <c r="L748" s="135"/>
      <c r="M748" s="14"/>
      <c r="N748" s="14"/>
      <c r="O748" s="14"/>
    </row>
    <row r="749" spans="4:15" ht="14.25" customHeight="1" x14ac:dyDescent="0.25">
      <c r="D749" s="31"/>
      <c r="E749" s="14"/>
      <c r="F749" s="14"/>
      <c r="G749" s="14"/>
      <c r="H749" s="14"/>
      <c r="I749" s="14"/>
      <c r="J749" s="14"/>
      <c r="K749" s="14"/>
      <c r="L749" s="135"/>
      <c r="M749" s="14"/>
      <c r="N749" s="14"/>
      <c r="O749" s="14"/>
    </row>
    <row r="750" spans="4:15" ht="14.25" customHeight="1" x14ac:dyDescent="0.25">
      <c r="D750" s="31"/>
      <c r="E750" s="14"/>
      <c r="F750" s="14"/>
      <c r="G750" s="14"/>
      <c r="H750" s="14"/>
      <c r="I750" s="14"/>
      <c r="J750" s="14"/>
      <c r="K750" s="14"/>
      <c r="L750" s="135"/>
      <c r="M750" s="14"/>
      <c r="N750" s="14"/>
      <c r="O750" s="14"/>
    </row>
    <row r="751" spans="4:15" ht="14.25" customHeight="1" x14ac:dyDescent="0.25">
      <c r="D751" s="31"/>
      <c r="E751" s="14"/>
      <c r="F751" s="14"/>
      <c r="G751" s="14"/>
      <c r="H751" s="14"/>
      <c r="I751" s="14"/>
      <c r="J751" s="14"/>
      <c r="K751" s="14"/>
      <c r="L751" s="135"/>
      <c r="M751" s="14"/>
      <c r="N751" s="14"/>
      <c r="O751" s="14"/>
    </row>
    <row r="752" spans="4:15" ht="14.25" customHeight="1" x14ac:dyDescent="0.25">
      <c r="D752" s="31"/>
      <c r="E752" s="14"/>
      <c r="F752" s="14"/>
      <c r="G752" s="14"/>
      <c r="H752" s="14"/>
      <c r="I752" s="14"/>
      <c r="J752" s="14"/>
      <c r="K752" s="14"/>
      <c r="L752" s="135"/>
      <c r="M752" s="14"/>
      <c r="N752" s="14"/>
      <c r="O752" s="14"/>
    </row>
    <row r="753" spans="4:15" ht="14.25" customHeight="1" x14ac:dyDescent="0.25">
      <c r="D753" s="31"/>
      <c r="E753" s="14"/>
      <c r="F753" s="14"/>
      <c r="G753" s="14"/>
      <c r="H753" s="14"/>
      <c r="I753" s="14"/>
      <c r="J753" s="14"/>
      <c r="K753" s="14"/>
      <c r="L753" s="135"/>
      <c r="M753" s="14"/>
      <c r="N753" s="14"/>
      <c r="O753" s="14"/>
    </row>
    <row r="754" spans="4:15" ht="14.25" customHeight="1" x14ac:dyDescent="0.25">
      <c r="D754" s="31"/>
      <c r="E754" s="14"/>
      <c r="F754" s="14"/>
      <c r="G754" s="14"/>
      <c r="H754" s="14"/>
      <c r="I754" s="14"/>
      <c r="J754" s="14"/>
      <c r="K754" s="14"/>
      <c r="L754" s="135"/>
      <c r="M754" s="14"/>
      <c r="N754" s="14"/>
      <c r="O754" s="14"/>
    </row>
    <row r="755" spans="4:15" ht="14.25" customHeight="1" x14ac:dyDescent="0.25">
      <c r="D755" s="31"/>
      <c r="E755" s="14"/>
      <c r="F755" s="14"/>
      <c r="G755" s="14"/>
      <c r="H755" s="14"/>
      <c r="I755" s="14"/>
      <c r="J755" s="14"/>
      <c r="K755" s="14"/>
      <c r="L755" s="135"/>
      <c r="M755" s="14"/>
      <c r="N755" s="14"/>
      <c r="O755" s="14"/>
    </row>
    <row r="756" spans="4:15" ht="14.25" customHeight="1" x14ac:dyDescent="0.25">
      <c r="D756" s="31"/>
      <c r="E756" s="14"/>
      <c r="F756" s="14"/>
      <c r="G756" s="14"/>
      <c r="H756" s="14"/>
      <c r="I756" s="14"/>
      <c r="J756" s="14"/>
      <c r="K756" s="14"/>
      <c r="L756" s="135"/>
      <c r="M756" s="14"/>
      <c r="N756" s="14"/>
      <c r="O756" s="14"/>
    </row>
    <row r="757" spans="4:15" ht="14.25" customHeight="1" x14ac:dyDescent="0.25">
      <c r="D757" s="31"/>
      <c r="E757" s="14"/>
      <c r="F757" s="14"/>
      <c r="G757" s="14"/>
      <c r="H757" s="14"/>
      <c r="I757" s="14"/>
      <c r="J757" s="14"/>
      <c r="K757" s="14"/>
      <c r="L757" s="135"/>
      <c r="M757" s="14"/>
      <c r="N757" s="14"/>
      <c r="O757" s="14"/>
    </row>
    <row r="758" spans="4:15" ht="14.25" customHeight="1" x14ac:dyDescent="0.25">
      <c r="D758" s="31"/>
      <c r="E758" s="14"/>
      <c r="F758" s="14"/>
      <c r="G758" s="14"/>
      <c r="H758" s="14"/>
      <c r="I758" s="14"/>
      <c r="J758" s="14"/>
      <c r="K758" s="14"/>
      <c r="L758" s="135"/>
      <c r="M758" s="14"/>
      <c r="N758" s="14"/>
      <c r="O758" s="14"/>
    </row>
    <row r="759" spans="4:15" ht="14.25" customHeight="1" x14ac:dyDescent="0.25">
      <c r="D759" s="31"/>
      <c r="E759" s="14"/>
      <c r="F759" s="14"/>
      <c r="G759" s="14"/>
      <c r="H759" s="14"/>
      <c r="I759" s="14"/>
      <c r="J759" s="14"/>
      <c r="K759" s="14"/>
      <c r="L759" s="135"/>
      <c r="M759" s="14"/>
      <c r="N759" s="14"/>
      <c r="O759" s="14"/>
    </row>
    <row r="760" spans="4:15" ht="14.25" customHeight="1" x14ac:dyDescent="0.25">
      <c r="D760" s="31"/>
      <c r="E760" s="14"/>
      <c r="F760" s="14"/>
      <c r="G760" s="14"/>
      <c r="H760" s="14"/>
      <c r="I760" s="14"/>
      <c r="J760" s="14"/>
      <c r="K760" s="14"/>
      <c r="L760" s="135"/>
      <c r="M760" s="14"/>
      <c r="N760" s="14"/>
      <c r="O760" s="14"/>
    </row>
    <row r="761" spans="4:15" ht="14.25" customHeight="1" x14ac:dyDescent="0.25">
      <c r="D761" s="31"/>
      <c r="E761" s="14"/>
      <c r="F761" s="14"/>
      <c r="G761" s="14"/>
      <c r="H761" s="14"/>
      <c r="I761" s="14"/>
      <c r="J761" s="14"/>
      <c r="K761" s="14"/>
      <c r="L761" s="135"/>
      <c r="M761" s="14"/>
      <c r="N761" s="14"/>
      <c r="O761" s="14"/>
    </row>
    <row r="762" spans="4:15" ht="14.25" customHeight="1" x14ac:dyDescent="0.25">
      <c r="D762" s="31"/>
      <c r="E762" s="14"/>
      <c r="F762" s="14"/>
      <c r="G762" s="14"/>
      <c r="H762" s="14"/>
      <c r="I762" s="14"/>
      <c r="J762" s="14"/>
      <c r="K762" s="14"/>
      <c r="L762" s="135"/>
      <c r="M762" s="14"/>
      <c r="N762" s="14"/>
      <c r="O762" s="14"/>
    </row>
    <row r="763" spans="4:15" ht="14.25" customHeight="1" x14ac:dyDescent="0.25">
      <c r="D763" s="31"/>
      <c r="E763" s="14"/>
      <c r="F763" s="14"/>
      <c r="G763" s="14"/>
      <c r="H763" s="14"/>
      <c r="I763" s="14"/>
      <c r="J763" s="14"/>
      <c r="K763" s="14"/>
      <c r="L763" s="135"/>
      <c r="M763" s="14"/>
      <c r="N763" s="14"/>
      <c r="O763" s="14"/>
    </row>
    <row r="764" spans="4:15" ht="14.25" customHeight="1" x14ac:dyDescent="0.25">
      <c r="D764" s="31"/>
      <c r="E764" s="14"/>
      <c r="F764" s="14"/>
      <c r="G764" s="14"/>
      <c r="H764" s="14"/>
      <c r="I764" s="14"/>
      <c r="J764" s="14"/>
      <c r="K764" s="14"/>
      <c r="L764" s="135"/>
      <c r="M764" s="14"/>
      <c r="N764" s="14"/>
      <c r="O764" s="14"/>
    </row>
    <row r="765" spans="4:15" ht="14.25" customHeight="1" x14ac:dyDescent="0.25">
      <c r="D765" s="31"/>
      <c r="E765" s="14"/>
      <c r="F765" s="14"/>
      <c r="G765" s="14"/>
      <c r="H765" s="14"/>
      <c r="I765" s="14"/>
      <c r="J765" s="14"/>
      <c r="K765" s="14"/>
      <c r="L765" s="135"/>
      <c r="M765" s="14"/>
      <c r="N765" s="14"/>
      <c r="O765" s="14"/>
    </row>
    <row r="766" spans="4:15" ht="14.25" customHeight="1" x14ac:dyDescent="0.25">
      <c r="D766" s="31"/>
      <c r="E766" s="14"/>
      <c r="F766" s="14"/>
      <c r="G766" s="14"/>
      <c r="H766" s="14"/>
      <c r="I766" s="14"/>
      <c r="J766" s="14"/>
      <c r="K766" s="14"/>
      <c r="L766" s="135"/>
      <c r="M766" s="14"/>
      <c r="N766" s="14"/>
      <c r="O766" s="14"/>
    </row>
    <row r="767" spans="4:15" ht="14.25" customHeight="1" x14ac:dyDescent="0.25">
      <c r="D767" s="31"/>
      <c r="E767" s="14"/>
      <c r="F767" s="14"/>
      <c r="G767" s="14"/>
      <c r="H767" s="14"/>
      <c r="I767" s="14"/>
      <c r="J767" s="14"/>
      <c r="K767" s="14"/>
      <c r="L767" s="135"/>
      <c r="M767" s="14"/>
      <c r="N767" s="14"/>
      <c r="O767" s="14"/>
    </row>
    <row r="768" spans="4:15" ht="14.25" customHeight="1" x14ac:dyDescent="0.25">
      <c r="D768" s="31"/>
      <c r="E768" s="14"/>
      <c r="F768" s="14"/>
      <c r="G768" s="14"/>
      <c r="H768" s="14"/>
      <c r="I768" s="14"/>
      <c r="J768" s="14"/>
      <c r="K768" s="14"/>
      <c r="L768" s="135"/>
      <c r="M768" s="14"/>
      <c r="N768" s="14"/>
      <c r="O768" s="14"/>
    </row>
    <row r="769" spans="4:15" ht="14.25" customHeight="1" x14ac:dyDescent="0.25">
      <c r="D769" s="31"/>
      <c r="E769" s="14"/>
      <c r="F769" s="14"/>
      <c r="G769" s="14"/>
      <c r="H769" s="14"/>
      <c r="I769" s="14"/>
      <c r="J769" s="14"/>
      <c r="K769" s="14"/>
      <c r="L769" s="135"/>
      <c r="M769" s="14"/>
      <c r="N769" s="14"/>
      <c r="O769" s="14"/>
    </row>
    <row r="770" spans="4:15" ht="14.25" customHeight="1" x14ac:dyDescent="0.25">
      <c r="D770" s="31"/>
      <c r="E770" s="14"/>
      <c r="F770" s="14"/>
      <c r="G770" s="14"/>
      <c r="H770" s="14"/>
      <c r="I770" s="14"/>
      <c r="J770" s="14"/>
      <c r="K770" s="14"/>
      <c r="L770" s="135"/>
      <c r="M770" s="14"/>
      <c r="N770" s="14"/>
      <c r="O770" s="14"/>
    </row>
    <row r="771" spans="4:15" ht="14.25" customHeight="1" x14ac:dyDescent="0.25">
      <c r="D771" s="31"/>
      <c r="E771" s="14"/>
      <c r="F771" s="14"/>
      <c r="G771" s="14"/>
      <c r="H771" s="14"/>
      <c r="I771" s="14"/>
      <c r="J771" s="14"/>
      <c r="K771" s="14"/>
      <c r="L771" s="135"/>
      <c r="M771" s="14"/>
      <c r="N771" s="14"/>
      <c r="O771" s="14"/>
    </row>
    <row r="772" spans="4:15" ht="14.25" customHeight="1" x14ac:dyDescent="0.25">
      <c r="D772" s="31"/>
      <c r="E772" s="14"/>
      <c r="F772" s="14"/>
      <c r="G772" s="14"/>
      <c r="H772" s="14"/>
      <c r="I772" s="14"/>
      <c r="J772" s="14"/>
      <c r="K772" s="14"/>
      <c r="L772" s="135"/>
      <c r="M772" s="14"/>
      <c r="N772" s="14"/>
      <c r="O772" s="14"/>
    </row>
    <row r="773" spans="4:15" ht="14.25" customHeight="1" x14ac:dyDescent="0.25">
      <c r="D773" s="31"/>
      <c r="E773" s="14"/>
      <c r="F773" s="14"/>
      <c r="G773" s="14"/>
      <c r="H773" s="14"/>
      <c r="I773" s="14"/>
      <c r="J773" s="14"/>
      <c r="K773" s="14"/>
      <c r="L773" s="135"/>
      <c r="M773" s="14"/>
      <c r="N773" s="14"/>
      <c r="O773" s="14"/>
    </row>
    <row r="774" spans="4:15" ht="14.25" customHeight="1" x14ac:dyDescent="0.25">
      <c r="D774" s="31"/>
      <c r="E774" s="14"/>
      <c r="F774" s="14"/>
      <c r="G774" s="14"/>
      <c r="H774" s="14"/>
      <c r="I774" s="14"/>
      <c r="J774" s="14"/>
      <c r="K774" s="14"/>
      <c r="L774" s="135"/>
      <c r="M774" s="14"/>
      <c r="N774" s="14"/>
      <c r="O774" s="14"/>
    </row>
    <row r="775" spans="4:15" ht="14.25" customHeight="1" x14ac:dyDescent="0.25">
      <c r="D775" s="31"/>
      <c r="E775" s="14"/>
      <c r="F775" s="14"/>
      <c r="G775" s="14"/>
      <c r="H775" s="14"/>
      <c r="I775" s="14"/>
      <c r="J775" s="14"/>
      <c r="K775" s="14"/>
      <c r="L775" s="135"/>
      <c r="M775" s="14"/>
      <c r="N775" s="14"/>
      <c r="O775" s="14"/>
    </row>
    <row r="776" spans="4:15" ht="14.25" customHeight="1" x14ac:dyDescent="0.25">
      <c r="D776" s="31"/>
      <c r="E776" s="14"/>
      <c r="F776" s="14"/>
      <c r="G776" s="14"/>
      <c r="H776" s="14"/>
      <c r="I776" s="14"/>
      <c r="J776" s="14"/>
      <c r="K776" s="14"/>
      <c r="L776" s="135"/>
      <c r="M776" s="14"/>
      <c r="N776" s="14"/>
      <c r="O776" s="14"/>
    </row>
    <row r="777" spans="4:15" ht="14.25" customHeight="1" x14ac:dyDescent="0.25">
      <c r="D777" s="31"/>
      <c r="E777" s="14"/>
      <c r="F777" s="14"/>
      <c r="G777" s="14"/>
      <c r="H777" s="14"/>
      <c r="I777" s="14"/>
      <c r="J777" s="14"/>
      <c r="K777" s="14"/>
      <c r="L777" s="135"/>
      <c r="M777" s="14"/>
      <c r="N777" s="14"/>
      <c r="O777" s="14"/>
    </row>
    <row r="778" spans="4:15" ht="14.25" customHeight="1" x14ac:dyDescent="0.25">
      <c r="D778" s="31"/>
      <c r="E778" s="14"/>
      <c r="F778" s="14"/>
      <c r="G778" s="14"/>
      <c r="H778" s="14"/>
      <c r="I778" s="14"/>
      <c r="J778" s="14"/>
      <c r="K778" s="14"/>
      <c r="L778" s="135"/>
      <c r="M778" s="14"/>
      <c r="N778" s="14"/>
      <c r="O778" s="14"/>
    </row>
    <row r="779" spans="4:15" ht="14.25" customHeight="1" x14ac:dyDescent="0.25">
      <c r="D779" s="31"/>
      <c r="E779" s="14"/>
      <c r="F779" s="14"/>
      <c r="G779" s="14"/>
      <c r="H779" s="14"/>
      <c r="I779" s="14"/>
      <c r="J779" s="14"/>
      <c r="K779" s="14"/>
      <c r="L779" s="135"/>
      <c r="M779" s="14"/>
      <c r="N779" s="14"/>
      <c r="O779" s="14"/>
    </row>
    <row r="780" spans="4:15" ht="14.25" customHeight="1" x14ac:dyDescent="0.25">
      <c r="D780" s="31"/>
      <c r="E780" s="14"/>
      <c r="F780" s="14"/>
      <c r="G780" s="14"/>
      <c r="H780" s="14"/>
      <c r="I780" s="14"/>
      <c r="J780" s="14"/>
      <c r="K780" s="14"/>
      <c r="L780" s="135"/>
      <c r="M780" s="14"/>
      <c r="N780" s="14"/>
      <c r="O780" s="14"/>
    </row>
    <row r="781" spans="4:15" ht="14.25" customHeight="1" x14ac:dyDescent="0.25">
      <c r="D781" s="31"/>
      <c r="E781" s="14"/>
      <c r="F781" s="14"/>
      <c r="G781" s="14"/>
      <c r="H781" s="14"/>
      <c r="I781" s="14"/>
      <c r="J781" s="14"/>
      <c r="K781" s="14"/>
      <c r="L781" s="135"/>
      <c r="M781" s="14"/>
      <c r="N781" s="14"/>
      <c r="O781" s="14"/>
    </row>
    <row r="782" spans="4:15" ht="14.25" customHeight="1" x14ac:dyDescent="0.25">
      <c r="D782" s="31"/>
      <c r="E782" s="14"/>
      <c r="F782" s="14"/>
      <c r="G782" s="14"/>
      <c r="H782" s="14"/>
      <c r="I782" s="14"/>
      <c r="J782" s="14"/>
      <c r="K782" s="14"/>
      <c r="L782" s="135"/>
      <c r="M782" s="14"/>
      <c r="N782" s="14"/>
      <c r="O782" s="14"/>
    </row>
    <row r="783" spans="4:15" ht="14.25" customHeight="1" x14ac:dyDescent="0.25">
      <c r="D783" s="31"/>
      <c r="E783" s="14"/>
      <c r="F783" s="14"/>
      <c r="G783" s="14"/>
      <c r="H783" s="14"/>
      <c r="I783" s="14"/>
      <c r="J783" s="14"/>
      <c r="K783" s="14"/>
      <c r="L783" s="135"/>
      <c r="M783" s="14"/>
      <c r="N783" s="14"/>
      <c r="O783" s="14"/>
    </row>
    <row r="784" spans="4:15" ht="14.25" customHeight="1" x14ac:dyDescent="0.25">
      <c r="D784" s="31"/>
      <c r="E784" s="14"/>
      <c r="F784" s="14"/>
      <c r="G784" s="14"/>
      <c r="H784" s="14"/>
      <c r="I784" s="14"/>
      <c r="J784" s="14"/>
      <c r="K784" s="14"/>
      <c r="L784" s="135"/>
      <c r="M784" s="14"/>
      <c r="N784" s="14"/>
      <c r="O784" s="14"/>
    </row>
    <row r="785" spans="4:15" ht="14.25" customHeight="1" x14ac:dyDescent="0.25">
      <c r="D785" s="31"/>
      <c r="E785" s="14"/>
      <c r="F785" s="14"/>
      <c r="G785" s="14"/>
      <c r="H785" s="14"/>
      <c r="I785" s="14"/>
      <c r="J785" s="14"/>
      <c r="K785" s="14"/>
      <c r="L785" s="135"/>
      <c r="M785" s="14"/>
      <c r="N785" s="14"/>
      <c r="O785" s="14"/>
    </row>
    <row r="786" spans="4:15" ht="14.25" customHeight="1" x14ac:dyDescent="0.25">
      <c r="D786" s="31"/>
      <c r="E786" s="14"/>
      <c r="F786" s="14"/>
      <c r="G786" s="14"/>
      <c r="H786" s="14"/>
      <c r="I786" s="14"/>
      <c r="J786" s="14"/>
      <c r="K786" s="14"/>
      <c r="L786" s="135"/>
      <c r="M786" s="14"/>
      <c r="N786" s="14"/>
      <c r="O786" s="14"/>
    </row>
    <row r="787" spans="4:15" ht="14.25" customHeight="1" x14ac:dyDescent="0.25">
      <c r="D787" s="31"/>
      <c r="E787" s="14"/>
      <c r="F787" s="14"/>
      <c r="G787" s="14"/>
      <c r="H787" s="14"/>
      <c r="I787" s="14"/>
      <c r="J787" s="14"/>
      <c r="K787" s="14"/>
      <c r="L787" s="135"/>
      <c r="M787" s="14"/>
      <c r="N787" s="14"/>
      <c r="O787" s="14"/>
    </row>
    <row r="788" spans="4:15" ht="14.25" customHeight="1" x14ac:dyDescent="0.25">
      <c r="D788" s="31"/>
      <c r="E788" s="14"/>
      <c r="F788" s="14"/>
      <c r="G788" s="14"/>
      <c r="H788" s="14"/>
      <c r="I788" s="14"/>
      <c r="J788" s="14"/>
      <c r="K788" s="14"/>
      <c r="L788" s="135"/>
      <c r="M788" s="14"/>
      <c r="N788" s="14"/>
      <c r="O788" s="14"/>
    </row>
    <row r="789" spans="4:15" ht="14.25" customHeight="1" x14ac:dyDescent="0.25">
      <c r="D789" s="31"/>
      <c r="E789" s="14"/>
      <c r="F789" s="14"/>
      <c r="G789" s="14"/>
      <c r="H789" s="14"/>
      <c r="I789" s="14"/>
      <c r="J789" s="14"/>
      <c r="K789" s="14"/>
      <c r="L789" s="135"/>
      <c r="M789" s="14"/>
      <c r="N789" s="14"/>
      <c r="O789" s="14"/>
    </row>
    <row r="790" spans="4:15" ht="14.25" customHeight="1" x14ac:dyDescent="0.25">
      <c r="D790" s="31"/>
      <c r="E790" s="14"/>
      <c r="F790" s="14"/>
      <c r="G790" s="14"/>
      <c r="H790" s="14"/>
      <c r="I790" s="14"/>
      <c r="J790" s="14"/>
      <c r="K790" s="14"/>
      <c r="L790" s="135"/>
      <c r="M790" s="14"/>
      <c r="N790" s="14"/>
      <c r="O790" s="14"/>
    </row>
    <row r="791" spans="4:15" ht="14.25" customHeight="1" x14ac:dyDescent="0.25">
      <c r="D791" s="31"/>
      <c r="E791" s="14"/>
      <c r="F791" s="14"/>
      <c r="G791" s="14"/>
      <c r="H791" s="14"/>
      <c r="I791" s="14"/>
      <c r="J791" s="14"/>
      <c r="K791" s="14"/>
      <c r="L791" s="135"/>
      <c r="M791" s="14"/>
      <c r="N791" s="14"/>
      <c r="O791" s="14"/>
    </row>
    <row r="792" spans="4:15" ht="14.25" customHeight="1" x14ac:dyDescent="0.25">
      <c r="D792" s="31"/>
      <c r="E792" s="14"/>
      <c r="F792" s="14"/>
      <c r="G792" s="14"/>
      <c r="H792" s="14"/>
      <c r="I792" s="14"/>
      <c r="J792" s="14"/>
      <c r="K792" s="14"/>
      <c r="L792" s="135"/>
      <c r="M792" s="14"/>
      <c r="N792" s="14"/>
      <c r="O792" s="14"/>
    </row>
    <row r="793" spans="4:15" ht="14.25" customHeight="1" x14ac:dyDescent="0.25">
      <c r="D793" s="31"/>
      <c r="E793" s="14"/>
      <c r="F793" s="14"/>
      <c r="G793" s="14"/>
      <c r="H793" s="14"/>
      <c r="I793" s="14"/>
      <c r="J793" s="14"/>
      <c r="K793" s="14"/>
      <c r="L793" s="135"/>
      <c r="M793" s="14"/>
      <c r="N793" s="14"/>
      <c r="O793" s="14"/>
    </row>
    <row r="794" spans="4:15" ht="14.25" customHeight="1" x14ac:dyDescent="0.25">
      <c r="D794" s="31"/>
      <c r="E794" s="14"/>
      <c r="F794" s="14"/>
      <c r="G794" s="14"/>
      <c r="H794" s="14"/>
      <c r="I794" s="14"/>
      <c r="J794" s="14"/>
      <c r="K794" s="14"/>
      <c r="L794" s="135"/>
      <c r="M794" s="14"/>
      <c r="N794" s="14"/>
      <c r="O794" s="14"/>
    </row>
    <row r="795" spans="4:15" ht="14.25" customHeight="1" x14ac:dyDescent="0.25">
      <c r="D795" s="31"/>
      <c r="E795" s="14"/>
      <c r="F795" s="14"/>
      <c r="G795" s="14"/>
      <c r="H795" s="14"/>
      <c r="I795" s="14"/>
      <c r="J795" s="14"/>
      <c r="K795" s="14"/>
      <c r="L795" s="135"/>
      <c r="M795" s="14"/>
      <c r="N795" s="14"/>
      <c r="O795" s="14"/>
    </row>
    <row r="796" spans="4:15" ht="14.25" customHeight="1" x14ac:dyDescent="0.25">
      <c r="D796" s="31"/>
      <c r="E796" s="14"/>
      <c r="F796" s="14"/>
      <c r="G796" s="14"/>
      <c r="H796" s="14"/>
      <c r="I796" s="14"/>
      <c r="J796" s="14"/>
      <c r="K796" s="14"/>
      <c r="L796" s="135"/>
      <c r="M796" s="14"/>
      <c r="N796" s="14"/>
      <c r="O796" s="14"/>
    </row>
    <row r="797" spans="4:15" ht="14.25" customHeight="1" x14ac:dyDescent="0.25">
      <c r="D797" s="31"/>
      <c r="E797" s="14"/>
      <c r="F797" s="14"/>
      <c r="G797" s="14"/>
      <c r="H797" s="14"/>
      <c r="I797" s="14"/>
      <c r="J797" s="14"/>
      <c r="K797" s="14"/>
      <c r="L797" s="135"/>
      <c r="M797" s="14"/>
      <c r="N797" s="14"/>
      <c r="O797" s="14"/>
    </row>
    <row r="798" spans="4:15" ht="14.25" customHeight="1" x14ac:dyDescent="0.25">
      <c r="D798" s="31"/>
      <c r="E798" s="14"/>
      <c r="F798" s="14"/>
      <c r="G798" s="14"/>
      <c r="H798" s="14"/>
      <c r="I798" s="14"/>
      <c r="J798" s="14"/>
      <c r="K798" s="14"/>
      <c r="L798" s="135"/>
      <c r="M798" s="14"/>
      <c r="N798" s="14"/>
      <c r="O798" s="14"/>
    </row>
    <row r="799" spans="4:15" ht="14.25" customHeight="1" x14ac:dyDescent="0.25">
      <c r="D799" s="31"/>
      <c r="E799" s="14"/>
      <c r="F799" s="14"/>
      <c r="G799" s="14"/>
      <c r="H799" s="14"/>
      <c r="I799" s="14"/>
      <c r="J799" s="14"/>
      <c r="K799" s="14"/>
      <c r="L799" s="135"/>
      <c r="M799" s="14"/>
      <c r="N799" s="14"/>
      <c r="O799" s="14"/>
    </row>
    <row r="800" spans="4:15" ht="14.25" customHeight="1" x14ac:dyDescent="0.25">
      <c r="D800" s="31"/>
      <c r="E800" s="14"/>
      <c r="F800" s="14"/>
      <c r="G800" s="14"/>
      <c r="H800" s="14"/>
      <c r="I800" s="14"/>
      <c r="J800" s="14"/>
      <c r="K800" s="14"/>
      <c r="L800" s="135"/>
      <c r="M800" s="14"/>
      <c r="N800" s="14"/>
      <c r="O800" s="14"/>
    </row>
    <row r="801" spans="4:15" ht="14.25" customHeight="1" x14ac:dyDescent="0.25">
      <c r="D801" s="31"/>
      <c r="E801" s="14"/>
      <c r="F801" s="14"/>
      <c r="G801" s="14"/>
      <c r="H801" s="14"/>
      <c r="I801" s="14"/>
      <c r="J801" s="14"/>
      <c r="K801" s="14"/>
      <c r="L801" s="135"/>
      <c r="M801" s="14"/>
      <c r="N801" s="14"/>
      <c r="O801" s="14"/>
    </row>
    <row r="802" spans="4:15" ht="14.25" customHeight="1" x14ac:dyDescent="0.25">
      <c r="D802" s="31"/>
      <c r="E802" s="14"/>
      <c r="F802" s="14"/>
      <c r="G802" s="14"/>
      <c r="H802" s="14"/>
      <c r="I802" s="14"/>
      <c r="J802" s="14"/>
      <c r="K802" s="14"/>
      <c r="L802" s="135"/>
      <c r="M802" s="14"/>
      <c r="N802" s="14"/>
      <c r="O802" s="14"/>
    </row>
    <row r="803" spans="4:15" ht="14.25" customHeight="1" x14ac:dyDescent="0.25">
      <c r="D803" s="31"/>
      <c r="E803" s="14"/>
      <c r="F803" s="14"/>
      <c r="G803" s="14"/>
      <c r="H803" s="14"/>
      <c r="I803" s="14"/>
      <c r="J803" s="14"/>
      <c r="K803" s="14"/>
      <c r="L803" s="135"/>
      <c r="M803" s="14"/>
      <c r="N803" s="14"/>
      <c r="O803" s="14"/>
    </row>
    <row r="804" spans="4:15" ht="14.25" customHeight="1" x14ac:dyDescent="0.25">
      <c r="D804" s="31"/>
      <c r="E804" s="14"/>
      <c r="F804" s="14"/>
      <c r="G804" s="14"/>
      <c r="H804" s="14"/>
      <c r="I804" s="14"/>
      <c r="J804" s="14"/>
      <c r="K804" s="14"/>
      <c r="L804" s="135"/>
      <c r="M804" s="14"/>
      <c r="N804" s="14"/>
      <c r="O804" s="14"/>
    </row>
    <row r="805" spans="4:15" ht="14.25" customHeight="1" x14ac:dyDescent="0.25">
      <c r="D805" s="31"/>
      <c r="E805" s="14"/>
      <c r="F805" s="14"/>
      <c r="G805" s="14"/>
      <c r="H805" s="14"/>
      <c r="I805" s="14"/>
      <c r="J805" s="14"/>
      <c r="K805" s="14"/>
      <c r="L805" s="135"/>
      <c r="M805" s="14"/>
      <c r="N805" s="14"/>
      <c r="O805" s="14"/>
    </row>
    <row r="806" spans="4:15" ht="14.25" customHeight="1" x14ac:dyDescent="0.25">
      <c r="D806" s="31"/>
      <c r="E806" s="14"/>
      <c r="F806" s="14"/>
      <c r="G806" s="14"/>
      <c r="H806" s="14"/>
      <c r="I806" s="14"/>
      <c r="J806" s="14"/>
      <c r="K806" s="14"/>
      <c r="L806" s="135"/>
      <c r="M806" s="14"/>
      <c r="N806" s="14"/>
      <c r="O806" s="14"/>
    </row>
    <row r="807" spans="4:15" ht="14.25" customHeight="1" x14ac:dyDescent="0.25">
      <c r="D807" s="31"/>
      <c r="E807" s="14"/>
      <c r="F807" s="14"/>
      <c r="G807" s="14"/>
      <c r="H807" s="14"/>
      <c r="I807" s="14"/>
      <c r="J807" s="14"/>
      <c r="K807" s="14"/>
      <c r="L807" s="135"/>
      <c r="M807" s="14"/>
      <c r="N807" s="14"/>
      <c r="O807" s="14"/>
    </row>
    <row r="808" spans="4:15" ht="14.25" customHeight="1" x14ac:dyDescent="0.25">
      <c r="D808" s="31"/>
      <c r="E808" s="14"/>
      <c r="F808" s="14"/>
      <c r="G808" s="14"/>
      <c r="H808" s="14"/>
      <c r="I808" s="14"/>
      <c r="J808" s="14"/>
      <c r="K808" s="14"/>
      <c r="L808" s="135"/>
      <c r="M808" s="14"/>
      <c r="N808" s="14"/>
      <c r="O808" s="14"/>
    </row>
    <row r="809" spans="4:15" ht="14.25" customHeight="1" x14ac:dyDescent="0.25">
      <c r="D809" s="31"/>
      <c r="E809" s="14"/>
      <c r="F809" s="14"/>
      <c r="G809" s="14"/>
      <c r="H809" s="14"/>
      <c r="I809" s="14"/>
      <c r="J809" s="14"/>
      <c r="K809" s="14"/>
      <c r="L809" s="135"/>
      <c r="M809" s="14"/>
      <c r="N809" s="14"/>
      <c r="O809" s="14"/>
    </row>
    <row r="810" spans="4:15" ht="14.25" customHeight="1" x14ac:dyDescent="0.25">
      <c r="D810" s="31"/>
      <c r="E810" s="14"/>
      <c r="F810" s="14"/>
      <c r="G810" s="14"/>
      <c r="H810" s="14"/>
      <c r="I810" s="14"/>
      <c r="J810" s="14"/>
      <c r="K810" s="14"/>
      <c r="L810" s="135"/>
      <c r="M810" s="14"/>
      <c r="N810" s="14"/>
      <c r="O810" s="14"/>
    </row>
    <row r="811" spans="4:15" ht="14.25" customHeight="1" x14ac:dyDescent="0.25">
      <c r="D811" s="31"/>
      <c r="E811" s="14"/>
      <c r="F811" s="14"/>
      <c r="G811" s="14"/>
      <c r="H811" s="14"/>
      <c r="I811" s="14"/>
      <c r="J811" s="14"/>
      <c r="K811" s="14"/>
      <c r="L811" s="135"/>
      <c r="M811" s="14"/>
      <c r="N811" s="14"/>
      <c r="O811" s="14"/>
    </row>
    <row r="812" spans="4:15" ht="14.25" customHeight="1" x14ac:dyDescent="0.25">
      <c r="D812" s="31"/>
      <c r="E812" s="14"/>
      <c r="F812" s="14"/>
      <c r="G812" s="14"/>
      <c r="H812" s="14"/>
      <c r="I812" s="14"/>
      <c r="J812" s="14"/>
      <c r="K812" s="14"/>
      <c r="L812" s="135"/>
      <c r="M812" s="14"/>
      <c r="N812" s="14"/>
      <c r="O812" s="14"/>
    </row>
    <row r="813" spans="4:15" ht="14.25" customHeight="1" x14ac:dyDescent="0.25">
      <c r="D813" s="31"/>
      <c r="E813" s="14"/>
      <c r="F813" s="14"/>
      <c r="G813" s="14"/>
      <c r="H813" s="14"/>
      <c r="I813" s="14"/>
      <c r="J813" s="14"/>
      <c r="K813" s="14"/>
      <c r="L813" s="135"/>
      <c r="M813" s="14"/>
      <c r="N813" s="14"/>
      <c r="O813" s="14"/>
    </row>
    <row r="814" spans="4:15" ht="14.25" customHeight="1" x14ac:dyDescent="0.25">
      <c r="D814" s="31"/>
      <c r="E814" s="14"/>
      <c r="F814" s="14"/>
      <c r="G814" s="14"/>
      <c r="H814" s="14"/>
      <c r="I814" s="14"/>
      <c r="J814" s="14"/>
      <c r="K814" s="14"/>
      <c r="L814" s="135"/>
      <c r="M814" s="14"/>
      <c r="N814" s="14"/>
      <c r="O814" s="14"/>
    </row>
    <row r="815" spans="4:15" ht="14.25" customHeight="1" x14ac:dyDescent="0.25">
      <c r="D815" s="31"/>
      <c r="E815" s="14"/>
      <c r="F815" s="14"/>
      <c r="G815" s="14"/>
      <c r="H815" s="14"/>
      <c r="I815" s="14"/>
      <c r="J815" s="14"/>
      <c r="K815" s="14"/>
      <c r="L815" s="135"/>
      <c r="M815" s="14"/>
      <c r="N815" s="14"/>
      <c r="O815" s="14"/>
    </row>
    <row r="816" spans="4:15" ht="14.25" customHeight="1" x14ac:dyDescent="0.25">
      <c r="D816" s="31"/>
      <c r="E816" s="14"/>
      <c r="F816" s="14"/>
      <c r="G816" s="14"/>
      <c r="H816" s="14"/>
      <c r="I816" s="14"/>
      <c r="J816" s="14"/>
      <c r="K816" s="14"/>
      <c r="L816" s="135"/>
      <c r="M816" s="14"/>
      <c r="N816" s="14"/>
      <c r="O816" s="14"/>
    </row>
    <row r="817" spans="4:15" ht="14.25" customHeight="1" x14ac:dyDescent="0.25">
      <c r="D817" s="31"/>
      <c r="E817" s="14"/>
      <c r="F817" s="14"/>
      <c r="G817" s="14"/>
      <c r="H817" s="14"/>
      <c r="I817" s="14"/>
      <c r="J817" s="14"/>
      <c r="K817" s="14"/>
      <c r="L817" s="135"/>
      <c r="M817" s="14"/>
      <c r="N817" s="14"/>
      <c r="O817" s="14"/>
    </row>
    <row r="818" spans="4:15" ht="14.25" customHeight="1" x14ac:dyDescent="0.25">
      <c r="D818" s="31"/>
      <c r="E818" s="14"/>
      <c r="F818" s="14"/>
      <c r="G818" s="14"/>
      <c r="H818" s="14"/>
      <c r="I818" s="14"/>
      <c r="J818" s="14"/>
      <c r="K818" s="14"/>
      <c r="L818" s="135"/>
      <c r="M818" s="14"/>
      <c r="N818" s="14"/>
      <c r="O818" s="14"/>
    </row>
    <row r="819" spans="4:15" ht="14.25" customHeight="1" x14ac:dyDescent="0.25">
      <c r="D819" s="31"/>
      <c r="E819" s="14"/>
      <c r="F819" s="14"/>
      <c r="G819" s="14"/>
      <c r="H819" s="14"/>
      <c r="I819" s="14"/>
      <c r="J819" s="14"/>
      <c r="K819" s="14"/>
      <c r="L819" s="135"/>
      <c r="M819" s="14"/>
      <c r="N819" s="14"/>
      <c r="O819" s="14"/>
    </row>
    <row r="820" spans="4:15" ht="14.25" customHeight="1" x14ac:dyDescent="0.25">
      <c r="D820" s="31"/>
      <c r="E820" s="14"/>
      <c r="F820" s="14"/>
      <c r="G820" s="14"/>
      <c r="H820" s="14"/>
      <c r="I820" s="14"/>
      <c r="J820" s="14"/>
      <c r="K820" s="14"/>
      <c r="L820" s="135"/>
      <c r="M820" s="14"/>
      <c r="N820" s="14"/>
      <c r="O820" s="14"/>
    </row>
    <row r="821" spans="4:15" ht="14.25" customHeight="1" x14ac:dyDescent="0.25">
      <c r="D821" s="31"/>
      <c r="E821" s="14"/>
      <c r="F821" s="14"/>
      <c r="G821" s="14"/>
      <c r="H821" s="14"/>
      <c r="I821" s="14"/>
      <c r="J821" s="14"/>
      <c r="K821" s="14"/>
      <c r="L821" s="135"/>
      <c r="M821" s="14"/>
      <c r="N821" s="14"/>
      <c r="O821" s="14"/>
    </row>
    <row r="822" spans="4:15" ht="14.25" customHeight="1" x14ac:dyDescent="0.25">
      <c r="D822" s="31"/>
      <c r="E822" s="14"/>
      <c r="F822" s="14"/>
      <c r="G822" s="14"/>
      <c r="H822" s="14"/>
      <c r="I822" s="14"/>
      <c r="J822" s="14"/>
      <c r="K822" s="14"/>
      <c r="L822" s="135"/>
      <c r="M822" s="14"/>
      <c r="N822" s="14"/>
      <c r="O822" s="14"/>
    </row>
    <row r="823" spans="4:15" ht="14.25" customHeight="1" x14ac:dyDescent="0.25">
      <c r="D823" s="31"/>
      <c r="E823" s="14"/>
      <c r="F823" s="14"/>
      <c r="G823" s="14"/>
      <c r="H823" s="14"/>
      <c r="I823" s="14"/>
      <c r="J823" s="14"/>
      <c r="K823" s="14"/>
      <c r="L823" s="135"/>
      <c r="M823" s="14"/>
      <c r="N823" s="14"/>
      <c r="O823" s="14"/>
    </row>
    <row r="824" spans="4:15" ht="14.25" customHeight="1" x14ac:dyDescent="0.25">
      <c r="D824" s="31"/>
      <c r="E824" s="14"/>
      <c r="F824" s="14"/>
      <c r="G824" s="14"/>
      <c r="H824" s="14"/>
      <c r="I824" s="14"/>
      <c r="J824" s="14"/>
      <c r="K824" s="14"/>
      <c r="L824" s="135"/>
      <c r="M824" s="14"/>
      <c r="N824" s="14"/>
      <c r="O824" s="14"/>
    </row>
    <row r="825" spans="4:15" ht="14.25" customHeight="1" x14ac:dyDescent="0.25">
      <c r="D825" s="31"/>
      <c r="E825" s="14"/>
      <c r="F825" s="14"/>
      <c r="G825" s="14"/>
      <c r="H825" s="14"/>
      <c r="I825" s="14"/>
      <c r="J825" s="14"/>
      <c r="K825" s="14"/>
      <c r="L825" s="135"/>
      <c r="M825" s="14"/>
      <c r="N825" s="14"/>
      <c r="O825" s="14"/>
    </row>
    <row r="826" spans="4:15" ht="14.25" customHeight="1" x14ac:dyDescent="0.25">
      <c r="D826" s="31"/>
      <c r="E826" s="14"/>
      <c r="F826" s="14"/>
      <c r="G826" s="14"/>
      <c r="H826" s="14"/>
      <c r="I826" s="14"/>
      <c r="J826" s="14"/>
      <c r="K826" s="14"/>
      <c r="L826" s="135"/>
      <c r="M826" s="14"/>
      <c r="N826" s="14"/>
      <c r="O826" s="14"/>
    </row>
    <row r="827" spans="4:15" ht="14.25" customHeight="1" x14ac:dyDescent="0.25">
      <c r="D827" s="31"/>
      <c r="E827" s="14"/>
      <c r="F827" s="14"/>
      <c r="G827" s="14"/>
      <c r="H827" s="14"/>
      <c r="I827" s="14"/>
      <c r="J827" s="14"/>
      <c r="K827" s="14"/>
      <c r="L827" s="135"/>
      <c r="M827" s="14"/>
      <c r="N827" s="14"/>
      <c r="O827" s="14"/>
    </row>
    <row r="828" spans="4:15" ht="14.25" customHeight="1" x14ac:dyDescent="0.25">
      <c r="D828" s="31"/>
      <c r="E828" s="14"/>
      <c r="F828" s="14"/>
      <c r="G828" s="14"/>
      <c r="H828" s="14"/>
      <c r="I828" s="14"/>
      <c r="J828" s="14"/>
      <c r="K828" s="14"/>
      <c r="L828" s="135"/>
      <c r="M828" s="14"/>
      <c r="N828" s="14"/>
      <c r="O828" s="14"/>
    </row>
    <row r="829" spans="4:15" ht="14.25" customHeight="1" x14ac:dyDescent="0.25">
      <c r="D829" s="31"/>
      <c r="E829" s="14"/>
      <c r="F829" s="14"/>
      <c r="G829" s="14"/>
      <c r="H829" s="14"/>
      <c r="I829" s="14"/>
      <c r="J829" s="14"/>
      <c r="K829" s="14"/>
      <c r="L829" s="135"/>
      <c r="M829" s="14"/>
      <c r="N829" s="14"/>
      <c r="O829" s="14"/>
    </row>
    <row r="830" spans="4:15" ht="14.25" customHeight="1" x14ac:dyDescent="0.25">
      <c r="D830" s="31"/>
      <c r="E830" s="14"/>
      <c r="F830" s="14"/>
      <c r="G830" s="14"/>
      <c r="H830" s="14"/>
      <c r="I830" s="14"/>
      <c r="J830" s="14"/>
      <c r="K830" s="14"/>
      <c r="L830" s="135"/>
      <c r="M830" s="14"/>
      <c r="N830" s="14"/>
      <c r="O830" s="14"/>
    </row>
    <row r="831" spans="4:15" ht="14.25" customHeight="1" x14ac:dyDescent="0.25">
      <c r="D831" s="31"/>
      <c r="E831" s="14"/>
      <c r="F831" s="14"/>
      <c r="G831" s="14"/>
      <c r="H831" s="14"/>
      <c r="I831" s="14"/>
      <c r="J831" s="14"/>
      <c r="K831" s="14"/>
      <c r="L831" s="135"/>
      <c r="M831" s="14"/>
      <c r="N831" s="14"/>
      <c r="O831" s="14"/>
    </row>
    <row r="832" spans="4:15" ht="14.25" customHeight="1" x14ac:dyDescent="0.25">
      <c r="D832" s="31"/>
      <c r="E832" s="14"/>
      <c r="F832" s="14"/>
      <c r="G832" s="14"/>
      <c r="H832" s="14"/>
      <c r="I832" s="14"/>
      <c r="J832" s="14"/>
      <c r="K832" s="14"/>
      <c r="L832" s="135"/>
      <c r="M832" s="14"/>
      <c r="N832" s="14"/>
      <c r="O832" s="14"/>
    </row>
    <row r="833" spans="4:15" ht="14.25" customHeight="1" x14ac:dyDescent="0.25">
      <c r="D833" s="31"/>
      <c r="E833" s="14"/>
      <c r="F833" s="14"/>
      <c r="G833" s="14"/>
      <c r="H833" s="14"/>
      <c r="I833" s="14"/>
      <c r="J833" s="14"/>
      <c r="K833" s="14"/>
      <c r="L833" s="135"/>
      <c r="M833" s="14"/>
      <c r="N833" s="14"/>
      <c r="O833" s="14"/>
    </row>
    <row r="834" spans="4:15" ht="14.25" customHeight="1" x14ac:dyDescent="0.25">
      <c r="D834" s="31"/>
      <c r="E834" s="14"/>
      <c r="F834" s="14"/>
      <c r="G834" s="14"/>
      <c r="H834" s="14"/>
      <c r="I834" s="14"/>
      <c r="J834" s="14"/>
      <c r="K834" s="14"/>
      <c r="L834" s="135"/>
      <c r="M834" s="14"/>
      <c r="N834" s="14"/>
      <c r="O834" s="14"/>
    </row>
    <row r="835" spans="4:15" ht="14.25" customHeight="1" x14ac:dyDescent="0.25">
      <c r="D835" s="31"/>
      <c r="E835" s="14"/>
      <c r="F835" s="14"/>
      <c r="G835" s="14"/>
      <c r="H835" s="14"/>
      <c r="I835" s="14"/>
      <c r="J835" s="14"/>
      <c r="K835" s="14"/>
      <c r="L835" s="135"/>
      <c r="M835" s="14"/>
      <c r="N835" s="14"/>
      <c r="O835" s="14"/>
    </row>
    <row r="836" spans="4:15" ht="14.25" customHeight="1" x14ac:dyDescent="0.25">
      <c r="D836" s="31"/>
      <c r="E836" s="14"/>
      <c r="F836" s="14"/>
      <c r="G836" s="14"/>
      <c r="H836" s="14"/>
      <c r="I836" s="14"/>
      <c r="J836" s="14"/>
      <c r="K836" s="14"/>
      <c r="L836" s="135"/>
      <c r="M836" s="14"/>
      <c r="N836" s="14"/>
      <c r="O836" s="14"/>
    </row>
    <row r="837" spans="4:15" ht="14.25" customHeight="1" x14ac:dyDescent="0.25">
      <c r="D837" s="31"/>
      <c r="E837" s="14"/>
      <c r="F837" s="14"/>
      <c r="G837" s="14"/>
      <c r="H837" s="14"/>
      <c r="I837" s="14"/>
      <c r="J837" s="14"/>
      <c r="K837" s="14"/>
      <c r="L837" s="135"/>
      <c r="M837" s="14"/>
      <c r="N837" s="14"/>
      <c r="O837" s="14"/>
    </row>
    <row r="838" spans="4:15" ht="14.25" customHeight="1" x14ac:dyDescent="0.25">
      <c r="D838" s="31"/>
      <c r="E838" s="14"/>
      <c r="F838" s="14"/>
      <c r="G838" s="14"/>
      <c r="H838" s="14"/>
      <c r="I838" s="14"/>
      <c r="J838" s="14"/>
      <c r="K838" s="14"/>
      <c r="L838" s="135"/>
      <c r="M838" s="14"/>
      <c r="N838" s="14"/>
      <c r="O838" s="14"/>
    </row>
    <row r="839" spans="4:15" ht="14.25" customHeight="1" x14ac:dyDescent="0.25">
      <c r="D839" s="31"/>
      <c r="E839" s="14"/>
      <c r="F839" s="14"/>
      <c r="G839" s="14"/>
      <c r="H839" s="14"/>
      <c r="I839" s="14"/>
      <c r="J839" s="14"/>
      <c r="K839" s="14"/>
      <c r="L839" s="135"/>
      <c r="M839" s="14"/>
      <c r="N839" s="14"/>
      <c r="O839" s="14"/>
    </row>
    <row r="840" spans="4:15" ht="14.25" customHeight="1" x14ac:dyDescent="0.25">
      <c r="D840" s="31"/>
      <c r="E840" s="14"/>
      <c r="F840" s="14"/>
      <c r="G840" s="14"/>
      <c r="H840" s="14"/>
      <c r="I840" s="14"/>
      <c r="J840" s="14"/>
      <c r="K840" s="14"/>
      <c r="L840" s="135"/>
      <c r="M840" s="14"/>
      <c r="N840" s="14"/>
      <c r="O840" s="14"/>
    </row>
    <row r="841" spans="4:15" ht="14.25" customHeight="1" x14ac:dyDescent="0.25">
      <c r="D841" s="31"/>
      <c r="E841" s="14"/>
      <c r="F841" s="14"/>
      <c r="G841" s="14"/>
      <c r="H841" s="14"/>
      <c r="I841" s="14"/>
      <c r="J841" s="14"/>
      <c r="K841" s="14"/>
      <c r="L841" s="135"/>
      <c r="M841" s="14"/>
      <c r="N841" s="14"/>
      <c r="O841" s="14"/>
    </row>
    <row r="842" spans="4:15" ht="14.25" customHeight="1" x14ac:dyDescent="0.25">
      <c r="D842" s="31"/>
      <c r="E842" s="14"/>
      <c r="F842" s="14"/>
      <c r="G842" s="14"/>
      <c r="H842" s="14"/>
      <c r="I842" s="14"/>
      <c r="J842" s="14"/>
      <c r="K842" s="14"/>
      <c r="L842" s="135"/>
      <c r="M842" s="14"/>
      <c r="N842" s="14"/>
      <c r="O842" s="14"/>
    </row>
    <row r="843" spans="4:15" ht="14.25" customHeight="1" x14ac:dyDescent="0.25">
      <c r="D843" s="31"/>
      <c r="E843" s="14"/>
      <c r="F843" s="14"/>
      <c r="G843" s="14"/>
      <c r="H843" s="14"/>
      <c r="I843" s="14"/>
      <c r="J843" s="14"/>
      <c r="K843" s="14"/>
      <c r="L843" s="135"/>
      <c r="M843" s="14"/>
      <c r="N843" s="14"/>
      <c r="O843" s="14"/>
    </row>
    <row r="844" spans="4:15" ht="14.25" customHeight="1" x14ac:dyDescent="0.25">
      <c r="D844" s="31"/>
      <c r="E844" s="14"/>
      <c r="F844" s="14"/>
      <c r="G844" s="14"/>
      <c r="H844" s="14"/>
      <c r="I844" s="14"/>
      <c r="J844" s="14"/>
      <c r="K844" s="14"/>
      <c r="L844" s="135"/>
      <c r="M844" s="14"/>
      <c r="N844" s="14"/>
      <c r="O844" s="14"/>
    </row>
    <row r="845" spans="4:15" ht="14.25" customHeight="1" x14ac:dyDescent="0.25">
      <c r="D845" s="31"/>
      <c r="E845" s="14"/>
      <c r="F845" s="14"/>
      <c r="G845" s="14"/>
      <c r="H845" s="14"/>
      <c r="I845" s="14"/>
      <c r="J845" s="14"/>
      <c r="K845" s="14"/>
      <c r="L845" s="135"/>
      <c r="M845" s="14"/>
      <c r="N845" s="14"/>
      <c r="O845" s="14"/>
    </row>
    <row r="846" spans="4:15" ht="14.25" customHeight="1" x14ac:dyDescent="0.25">
      <c r="D846" s="31"/>
      <c r="E846" s="14"/>
      <c r="F846" s="14"/>
      <c r="G846" s="14"/>
      <c r="H846" s="14"/>
      <c r="I846" s="14"/>
      <c r="J846" s="14"/>
      <c r="K846" s="14"/>
      <c r="L846" s="135"/>
      <c r="M846" s="14"/>
      <c r="N846" s="14"/>
      <c r="O846" s="14"/>
    </row>
    <row r="847" spans="4:15" ht="14.25" customHeight="1" x14ac:dyDescent="0.25">
      <c r="D847" s="31"/>
      <c r="E847" s="14"/>
      <c r="F847" s="14"/>
      <c r="G847" s="14"/>
      <c r="H847" s="14"/>
      <c r="I847" s="14"/>
      <c r="J847" s="14"/>
      <c r="K847" s="14"/>
      <c r="L847" s="135"/>
      <c r="M847" s="14"/>
      <c r="N847" s="14"/>
      <c r="O847" s="14"/>
    </row>
    <row r="848" spans="4:15" ht="14.25" customHeight="1" x14ac:dyDescent="0.25">
      <c r="D848" s="31"/>
      <c r="E848" s="14"/>
      <c r="F848" s="14"/>
      <c r="G848" s="14"/>
      <c r="H848" s="14"/>
      <c r="I848" s="14"/>
      <c r="J848" s="14"/>
      <c r="K848" s="14"/>
      <c r="L848" s="135"/>
      <c r="M848" s="14"/>
      <c r="N848" s="14"/>
      <c r="O848" s="14"/>
    </row>
    <row r="849" spans="4:15" ht="14.25" customHeight="1" x14ac:dyDescent="0.25">
      <c r="D849" s="31"/>
      <c r="E849" s="14"/>
      <c r="F849" s="14"/>
      <c r="G849" s="14"/>
      <c r="H849" s="14"/>
      <c r="I849" s="14"/>
      <c r="J849" s="14"/>
      <c r="K849" s="14"/>
      <c r="L849" s="135"/>
      <c r="M849" s="14"/>
      <c r="N849" s="14"/>
      <c r="O849" s="14"/>
    </row>
    <row r="850" spans="4:15" ht="14.25" customHeight="1" x14ac:dyDescent="0.25">
      <c r="D850" s="31"/>
      <c r="E850" s="14"/>
      <c r="F850" s="14"/>
      <c r="G850" s="14"/>
      <c r="H850" s="14"/>
      <c r="I850" s="14"/>
      <c r="J850" s="14"/>
      <c r="K850" s="14"/>
      <c r="L850" s="135"/>
      <c r="M850" s="14"/>
      <c r="N850" s="14"/>
      <c r="O850" s="14"/>
    </row>
    <row r="851" spans="4:15" ht="14.25" customHeight="1" x14ac:dyDescent="0.25">
      <c r="D851" s="31"/>
      <c r="E851" s="14"/>
      <c r="F851" s="14"/>
      <c r="G851" s="14"/>
      <c r="H851" s="14"/>
      <c r="I851" s="14"/>
      <c r="J851" s="14"/>
      <c r="K851" s="14"/>
      <c r="L851" s="135"/>
      <c r="M851" s="14"/>
      <c r="N851" s="14"/>
      <c r="O851" s="14"/>
    </row>
    <row r="852" spans="4:15" ht="14.25" customHeight="1" x14ac:dyDescent="0.25">
      <c r="D852" s="31"/>
      <c r="E852" s="14"/>
      <c r="F852" s="14"/>
      <c r="G852" s="14"/>
      <c r="H852" s="14"/>
      <c r="I852" s="14"/>
      <c r="J852" s="14"/>
      <c r="K852" s="14"/>
      <c r="L852" s="135"/>
      <c r="M852" s="14"/>
      <c r="N852" s="14"/>
      <c r="O852" s="14"/>
    </row>
    <row r="853" spans="4:15" ht="14.25" customHeight="1" x14ac:dyDescent="0.25">
      <c r="D853" s="31"/>
      <c r="E853" s="14"/>
      <c r="F853" s="14"/>
      <c r="G853" s="14"/>
      <c r="H853" s="14"/>
      <c r="I853" s="14"/>
      <c r="J853" s="14"/>
      <c r="K853" s="14"/>
      <c r="L853" s="135"/>
      <c r="M853" s="14"/>
      <c r="N853" s="14"/>
      <c r="O853" s="14"/>
    </row>
    <row r="854" spans="4:15" ht="14.25" customHeight="1" x14ac:dyDescent="0.25">
      <c r="D854" s="31"/>
      <c r="E854" s="14"/>
      <c r="F854" s="14"/>
      <c r="G854" s="14"/>
      <c r="H854" s="14"/>
      <c r="I854" s="14"/>
      <c r="J854" s="14"/>
      <c r="K854" s="14"/>
      <c r="L854" s="135"/>
      <c r="M854" s="14"/>
      <c r="N854" s="14"/>
      <c r="O854" s="14"/>
    </row>
    <row r="855" spans="4:15" ht="14.25" customHeight="1" x14ac:dyDescent="0.25">
      <c r="D855" s="31"/>
      <c r="E855" s="14"/>
      <c r="F855" s="14"/>
      <c r="G855" s="14"/>
      <c r="H855" s="14"/>
      <c r="I855" s="14"/>
      <c r="J855" s="14"/>
      <c r="K855" s="14"/>
      <c r="L855" s="135"/>
      <c r="M855" s="14"/>
      <c r="N855" s="14"/>
      <c r="O855" s="14"/>
    </row>
    <row r="856" spans="4:15" ht="14.25" customHeight="1" x14ac:dyDescent="0.25">
      <c r="D856" s="31"/>
      <c r="E856" s="14"/>
      <c r="F856" s="14"/>
      <c r="G856" s="14"/>
      <c r="H856" s="14"/>
      <c r="I856" s="14"/>
      <c r="J856" s="14"/>
      <c r="K856" s="14"/>
      <c r="L856" s="135"/>
      <c r="M856" s="14"/>
      <c r="N856" s="14"/>
      <c r="O856" s="14"/>
    </row>
    <row r="857" spans="4:15" ht="14.25" customHeight="1" x14ac:dyDescent="0.25">
      <c r="D857" s="31"/>
      <c r="E857" s="14"/>
      <c r="F857" s="14"/>
      <c r="G857" s="14"/>
      <c r="H857" s="14"/>
      <c r="I857" s="14"/>
      <c r="J857" s="14"/>
      <c r="K857" s="14"/>
      <c r="L857" s="135"/>
      <c r="M857" s="14"/>
      <c r="N857" s="14"/>
      <c r="O857" s="14"/>
    </row>
    <row r="858" spans="4:15" ht="14.25" customHeight="1" x14ac:dyDescent="0.25">
      <c r="D858" s="31"/>
      <c r="E858" s="14"/>
      <c r="F858" s="14"/>
      <c r="G858" s="14"/>
      <c r="H858" s="14"/>
      <c r="I858" s="14"/>
      <c r="J858" s="14"/>
      <c r="K858" s="14"/>
      <c r="L858" s="135"/>
      <c r="M858" s="14"/>
      <c r="N858" s="14"/>
      <c r="O858" s="14"/>
    </row>
    <row r="859" spans="4:15" ht="14.25" customHeight="1" x14ac:dyDescent="0.25">
      <c r="D859" s="31"/>
      <c r="E859" s="14"/>
      <c r="F859" s="14"/>
      <c r="G859" s="14"/>
      <c r="H859" s="14"/>
      <c r="I859" s="14"/>
      <c r="J859" s="14"/>
      <c r="K859" s="14"/>
      <c r="L859" s="135"/>
      <c r="M859" s="14"/>
      <c r="N859" s="14"/>
      <c r="O859" s="14"/>
    </row>
    <row r="860" spans="4:15" ht="14.25" customHeight="1" x14ac:dyDescent="0.25">
      <c r="D860" s="31"/>
      <c r="E860" s="14"/>
      <c r="F860" s="14"/>
      <c r="G860" s="14"/>
      <c r="H860" s="14"/>
      <c r="I860" s="14"/>
      <c r="J860" s="14"/>
      <c r="K860" s="14"/>
      <c r="L860" s="135"/>
      <c r="M860" s="14"/>
      <c r="N860" s="14"/>
      <c r="O860" s="14"/>
    </row>
    <row r="861" spans="4:15" ht="14.25" customHeight="1" x14ac:dyDescent="0.25">
      <c r="D861" s="31"/>
      <c r="E861" s="14"/>
      <c r="F861" s="14"/>
      <c r="G861" s="14"/>
      <c r="H861" s="14"/>
      <c r="I861" s="14"/>
      <c r="J861" s="14"/>
      <c r="K861" s="14"/>
      <c r="L861" s="135"/>
      <c r="M861" s="14"/>
      <c r="N861" s="14"/>
      <c r="O861" s="14"/>
    </row>
    <row r="862" spans="4:15" ht="14.25" customHeight="1" x14ac:dyDescent="0.25">
      <c r="D862" s="31"/>
      <c r="E862" s="14"/>
      <c r="F862" s="14"/>
      <c r="G862" s="14"/>
      <c r="H862" s="14"/>
      <c r="I862" s="14"/>
      <c r="J862" s="14"/>
      <c r="K862" s="14"/>
      <c r="L862" s="135"/>
      <c r="M862" s="14"/>
      <c r="N862" s="14"/>
      <c r="O862" s="14"/>
    </row>
    <row r="863" spans="4:15" ht="14.25" customHeight="1" x14ac:dyDescent="0.25">
      <c r="D863" s="31"/>
      <c r="E863" s="14"/>
      <c r="F863" s="14"/>
      <c r="G863" s="14"/>
      <c r="H863" s="14"/>
      <c r="I863" s="14"/>
      <c r="J863" s="14"/>
      <c r="K863" s="14"/>
      <c r="L863" s="135"/>
      <c r="M863" s="14"/>
      <c r="N863" s="14"/>
      <c r="O863" s="14"/>
    </row>
    <row r="864" spans="4:15" ht="14.25" customHeight="1" x14ac:dyDescent="0.25">
      <c r="D864" s="31"/>
      <c r="E864" s="14"/>
      <c r="F864" s="14"/>
      <c r="G864" s="14"/>
      <c r="H864" s="14"/>
      <c r="I864" s="14"/>
      <c r="J864" s="14"/>
      <c r="K864" s="14"/>
      <c r="L864" s="135"/>
      <c r="M864" s="14"/>
      <c r="N864" s="14"/>
      <c r="O864" s="14"/>
    </row>
    <row r="865" spans="4:15" ht="14.25" customHeight="1" x14ac:dyDescent="0.25">
      <c r="D865" s="31"/>
      <c r="E865" s="14"/>
      <c r="F865" s="14"/>
      <c r="G865" s="14"/>
      <c r="H865" s="14"/>
      <c r="I865" s="14"/>
      <c r="J865" s="14"/>
      <c r="K865" s="14"/>
      <c r="L865" s="135"/>
      <c r="M865" s="14"/>
      <c r="N865" s="14"/>
      <c r="O865" s="14"/>
    </row>
    <row r="866" spans="4:15" ht="14.25" customHeight="1" x14ac:dyDescent="0.25">
      <c r="D866" s="31"/>
      <c r="E866" s="14"/>
      <c r="F866" s="14"/>
      <c r="G866" s="14"/>
      <c r="H866" s="14"/>
      <c r="I866" s="14"/>
      <c r="J866" s="14"/>
      <c r="K866" s="14"/>
      <c r="L866" s="135"/>
      <c r="M866" s="14"/>
      <c r="N866" s="14"/>
      <c r="O866" s="14"/>
    </row>
    <row r="867" spans="4:15" ht="14.25" customHeight="1" x14ac:dyDescent="0.25">
      <c r="D867" s="31"/>
      <c r="E867" s="14"/>
      <c r="F867" s="14"/>
      <c r="G867" s="14"/>
      <c r="H867" s="14"/>
      <c r="I867" s="14"/>
      <c r="J867" s="14"/>
      <c r="K867" s="14"/>
      <c r="L867" s="135"/>
      <c r="M867" s="14"/>
      <c r="N867" s="14"/>
      <c r="O867" s="14"/>
    </row>
    <row r="868" spans="4:15" ht="14.25" customHeight="1" x14ac:dyDescent="0.25">
      <c r="D868" s="31"/>
      <c r="E868" s="14"/>
      <c r="F868" s="14"/>
      <c r="G868" s="14"/>
      <c r="H868" s="14"/>
      <c r="I868" s="14"/>
      <c r="J868" s="14"/>
      <c r="K868" s="14"/>
      <c r="L868" s="135"/>
      <c r="M868" s="14"/>
      <c r="N868" s="14"/>
      <c r="O868" s="14"/>
    </row>
    <row r="869" spans="4:15" ht="14.25" customHeight="1" x14ac:dyDescent="0.25">
      <c r="D869" s="31"/>
      <c r="E869" s="14"/>
      <c r="F869" s="14"/>
      <c r="G869" s="14"/>
      <c r="H869" s="14"/>
      <c r="I869" s="14"/>
      <c r="J869" s="14"/>
      <c r="K869" s="14"/>
      <c r="L869" s="135"/>
      <c r="M869" s="14"/>
      <c r="N869" s="14"/>
      <c r="O869" s="14"/>
    </row>
    <row r="870" spans="4:15" ht="14.25" customHeight="1" x14ac:dyDescent="0.25">
      <c r="D870" s="31"/>
      <c r="E870" s="14"/>
      <c r="F870" s="14"/>
      <c r="G870" s="14"/>
      <c r="H870" s="14"/>
      <c r="I870" s="14"/>
      <c r="J870" s="14"/>
      <c r="K870" s="14"/>
      <c r="L870" s="135"/>
      <c r="M870" s="14"/>
      <c r="N870" s="14"/>
      <c r="O870" s="14"/>
    </row>
    <row r="871" spans="4:15" ht="14.25" customHeight="1" x14ac:dyDescent="0.25">
      <c r="D871" s="31"/>
      <c r="E871" s="14"/>
      <c r="F871" s="14"/>
      <c r="G871" s="14"/>
      <c r="H871" s="14"/>
      <c r="I871" s="14"/>
      <c r="J871" s="14"/>
      <c r="K871" s="14"/>
      <c r="L871" s="135"/>
      <c r="M871" s="14"/>
      <c r="N871" s="14"/>
      <c r="O871" s="14"/>
    </row>
    <row r="872" spans="4:15" ht="14.25" customHeight="1" x14ac:dyDescent="0.25">
      <c r="D872" s="31"/>
      <c r="E872" s="14"/>
      <c r="F872" s="14"/>
      <c r="G872" s="14"/>
      <c r="H872" s="14"/>
      <c r="I872" s="14"/>
      <c r="J872" s="14"/>
      <c r="K872" s="14"/>
      <c r="L872" s="135"/>
      <c r="M872" s="14"/>
      <c r="N872" s="14"/>
      <c r="O872" s="14"/>
    </row>
    <row r="873" spans="4:15" ht="14.25" customHeight="1" x14ac:dyDescent="0.25">
      <c r="D873" s="31"/>
      <c r="E873" s="14"/>
      <c r="F873" s="14"/>
      <c r="G873" s="14"/>
      <c r="H873" s="14"/>
      <c r="I873" s="14"/>
      <c r="J873" s="14"/>
      <c r="K873" s="14"/>
      <c r="L873" s="135"/>
      <c r="M873" s="14"/>
      <c r="N873" s="14"/>
      <c r="O873" s="14"/>
    </row>
    <row r="874" spans="4:15" ht="14.25" customHeight="1" x14ac:dyDescent="0.25">
      <c r="D874" s="31"/>
      <c r="E874" s="14"/>
      <c r="F874" s="14"/>
      <c r="G874" s="14"/>
      <c r="H874" s="14"/>
      <c r="I874" s="14"/>
      <c r="J874" s="14"/>
      <c r="K874" s="14"/>
      <c r="L874" s="135"/>
      <c r="M874" s="14"/>
      <c r="N874" s="14"/>
      <c r="O874" s="14"/>
    </row>
    <row r="875" spans="4:15" ht="14.25" customHeight="1" x14ac:dyDescent="0.25">
      <c r="D875" s="31"/>
      <c r="E875" s="14"/>
      <c r="F875" s="14"/>
      <c r="G875" s="14"/>
      <c r="H875" s="14"/>
      <c r="I875" s="14"/>
      <c r="J875" s="14"/>
      <c r="K875" s="14"/>
      <c r="L875" s="135"/>
      <c r="M875" s="14"/>
      <c r="N875" s="14"/>
      <c r="O875" s="14"/>
    </row>
    <row r="876" spans="4:15" ht="14.25" customHeight="1" x14ac:dyDescent="0.25">
      <c r="D876" s="31"/>
      <c r="E876" s="14"/>
      <c r="F876" s="14"/>
      <c r="G876" s="14"/>
      <c r="H876" s="14"/>
      <c r="I876" s="14"/>
      <c r="J876" s="14"/>
      <c r="K876" s="14"/>
      <c r="L876" s="135"/>
      <c r="M876" s="14"/>
      <c r="N876" s="14"/>
      <c r="O876" s="14"/>
    </row>
    <row r="877" spans="4:15" ht="14.25" customHeight="1" x14ac:dyDescent="0.25">
      <c r="D877" s="31"/>
      <c r="E877" s="14"/>
      <c r="F877" s="14"/>
      <c r="G877" s="14"/>
      <c r="H877" s="14"/>
      <c r="I877" s="14"/>
      <c r="J877" s="14"/>
      <c r="K877" s="14"/>
      <c r="L877" s="135"/>
      <c r="M877" s="14"/>
      <c r="N877" s="14"/>
      <c r="O877" s="14"/>
    </row>
    <row r="878" spans="4:15" ht="14.25" customHeight="1" x14ac:dyDescent="0.25">
      <c r="D878" s="31"/>
      <c r="E878" s="14"/>
      <c r="F878" s="14"/>
      <c r="G878" s="14"/>
      <c r="H878" s="14"/>
      <c r="I878" s="14"/>
      <c r="J878" s="14"/>
      <c r="K878" s="14"/>
      <c r="L878" s="135"/>
      <c r="M878" s="14"/>
      <c r="N878" s="14"/>
      <c r="O878" s="14"/>
    </row>
    <row r="879" spans="4:15" ht="14.25" customHeight="1" x14ac:dyDescent="0.25">
      <c r="D879" s="31"/>
      <c r="E879" s="14"/>
      <c r="F879" s="14"/>
      <c r="G879" s="14"/>
      <c r="H879" s="14"/>
      <c r="I879" s="14"/>
      <c r="J879" s="14"/>
      <c r="K879" s="14"/>
      <c r="L879" s="135"/>
      <c r="M879" s="14"/>
      <c r="N879" s="14"/>
      <c r="O879" s="14"/>
    </row>
    <row r="880" spans="4:15" ht="14.25" customHeight="1" x14ac:dyDescent="0.25">
      <c r="D880" s="31"/>
      <c r="E880" s="14"/>
      <c r="F880" s="14"/>
      <c r="G880" s="14"/>
      <c r="H880" s="14"/>
      <c r="I880" s="14"/>
      <c r="J880" s="14"/>
      <c r="K880" s="14"/>
      <c r="L880" s="135"/>
      <c r="M880" s="14"/>
      <c r="N880" s="14"/>
      <c r="O880" s="14"/>
    </row>
    <row r="881" spans="4:15" ht="14.25" customHeight="1" x14ac:dyDescent="0.25">
      <c r="D881" s="31"/>
      <c r="E881" s="14"/>
      <c r="F881" s="14"/>
      <c r="G881" s="14"/>
      <c r="H881" s="14"/>
      <c r="I881" s="14"/>
      <c r="J881" s="14"/>
      <c r="K881" s="14"/>
      <c r="L881" s="135"/>
      <c r="M881" s="14"/>
      <c r="N881" s="14"/>
      <c r="O881" s="14"/>
    </row>
    <row r="882" spans="4:15" ht="14.25" customHeight="1" x14ac:dyDescent="0.25">
      <c r="D882" s="31"/>
      <c r="E882" s="14"/>
      <c r="F882" s="14"/>
      <c r="G882" s="14"/>
      <c r="H882" s="14"/>
      <c r="I882" s="14"/>
      <c r="J882" s="14"/>
      <c r="K882" s="14"/>
      <c r="L882" s="135"/>
      <c r="M882" s="14"/>
      <c r="N882" s="14"/>
      <c r="O882" s="14"/>
    </row>
    <row r="883" spans="4:15" ht="14.25" customHeight="1" x14ac:dyDescent="0.25">
      <c r="D883" s="31"/>
      <c r="E883" s="14"/>
      <c r="F883" s="14"/>
      <c r="G883" s="14"/>
      <c r="H883" s="14"/>
      <c r="I883" s="14"/>
      <c r="J883" s="14"/>
      <c r="K883" s="14"/>
      <c r="L883" s="135"/>
      <c r="M883" s="14"/>
      <c r="N883" s="14"/>
      <c r="O883" s="14"/>
    </row>
    <row r="884" spans="4:15" ht="14.25" customHeight="1" x14ac:dyDescent="0.25">
      <c r="D884" s="31"/>
      <c r="E884" s="14"/>
      <c r="F884" s="14"/>
      <c r="G884" s="14"/>
      <c r="H884" s="14"/>
      <c r="I884" s="14"/>
      <c r="J884" s="14"/>
      <c r="K884" s="14"/>
      <c r="L884" s="135"/>
      <c r="M884" s="14"/>
      <c r="N884" s="14"/>
      <c r="O884" s="14"/>
    </row>
    <row r="885" spans="4:15" ht="14.25" customHeight="1" x14ac:dyDescent="0.25">
      <c r="D885" s="31"/>
      <c r="E885" s="14"/>
      <c r="F885" s="14"/>
      <c r="G885" s="14"/>
      <c r="H885" s="14"/>
      <c r="I885" s="14"/>
      <c r="J885" s="14"/>
      <c r="K885" s="14"/>
      <c r="L885" s="135"/>
      <c r="M885" s="14"/>
      <c r="N885" s="14"/>
      <c r="O885" s="14"/>
    </row>
    <row r="886" spans="4:15" ht="14.25" customHeight="1" x14ac:dyDescent="0.25">
      <c r="D886" s="31"/>
      <c r="E886" s="14"/>
      <c r="F886" s="14"/>
      <c r="G886" s="14"/>
      <c r="H886" s="14"/>
      <c r="I886" s="14"/>
      <c r="J886" s="14"/>
      <c r="K886" s="14"/>
      <c r="L886" s="135"/>
      <c r="M886" s="14"/>
      <c r="N886" s="14"/>
      <c r="O886" s="14"/>
    </row>
    <row r="887" spans="4:15" ht="14.25" customHeight="1" x14ac:dyDescent="0.25">
      <c r="D887" s="31"/>
      <c r="E887" s="14"/>
      <c r="F887" s="14"/>
      <c r="G887" s="14"/>
      <c r="H887" s="14"/>
      <c r="I887" s="14"/>
      <c r="J887" s="14"/>
      <c r="K887" s="14"/>
      <c r="L887" s="135"/>
      <c r="M887" s="14"/>
      <c r="N887" s="14"/>
      <c r="O887" s="14"/>
    </row>
    <row r="888" spans="4:15" ht="14.25" customHeight="1" x14ac:dyDescent="0.25">
      <c r="D888" s="31"/>
      <c r="E888" s="14"/>
      <c r="F888" s="14"/>
      <c r="G888" s="14"/>
      <c r="H888" s="14"/>
      <c r="I888" s="14"/>
      <c r="J888" s="14"/>
      <c r="K888" s="14"/>
      <c r="L888" s="135"/>
      <c r="M888" s="14"/>
      <c r="N888" s="14"/>
      <c r="O888" s="14"/>
    </row>
    <row r="889" spans="4:15" ht="14.25" customHeight="1" x14ac:dyDescent="0.25">
      <c r="D889" s="31"/>
      <c r="E889" s="14"/>
      <c r="F889" s="14"/>
      <c r="G889" s="14"/>
      <c r="H889" s="14"/>
      <c r="I889" s="14"/>
      <c r="J889" s="14"/>
      <c r="K889" s="14"/>
      <c r="L889" s="135"/>
      <c r="M889" s="14"/>
      <c r="N889" s="14"/>
      <c r="O889" s="14"/>
    </row>
    <row r="890" spans="4:15" ht="14.25" customHeight="1" x14ac:dyDescent="0.25">
      <c r="D890" s="31"/>
      <c r="E890" s="14"/>
      <c r="F890" s="14"/>
      <c r="G890" s="14"/>
      <c r="H890" s="14"/>
      <c r="I890" s="14"/>
      <c r="J890" s="14"/>
      <c r="K890" s="14"/>
      <c r="L890" s="135"/>
      <c r="M890" s="14"/>
      <c r="N890" s="14"/>
      <c r="O890" s="14"/>
    </row>
    <row r="891" spans="4:15" ht="14.25" customHeight="1" x14ac:dyDescent="0.25">
      <c r="D891" s="31"/>
      <c r="E891" s="14"/>
      <c r="F891" s="14"/>
      <c r="G891" s="14"/>
      <c r="H891" s="14"/>
      <c r="I891" s="14"/>
      <c r="J891" s="14"/>
      <c r="K891" s="14"/>
      <c r="L891" s="135"/>
      <c r="M891" s="14"/>
      <c r="N891" s="14"/>
      <c r="O891" s="14"/>
    </row>
    <row r="892" spans="4:15" ht="14.25" customHeight="1" x14ac:dyDescent="0.25">
      <c r="D892" s="31"/>
      <c r="E892" s="14"/>
      <c r="F892" s="14"/>
      <c r="G892" s="14"/>
      <c r="H892" s="14"/>
      <c r="I892" s="14"/>
      <c r="J892" s="14"/>
      <c r="K892" s="14"/>
      <c r="L892" s="135"/>
      <c r="M892" s="14"/>
      <c r="N892" s="14"/>
      <c r="O892" s="14"/>
    </row>
    <row r="893" spans="4:15" ht="14.25" customHeight="1" x14ac:dyDescent="0.25">
      <c r="D893" s="31"/>
      <c r="E893" s="14"/>
      <c r="F893" s="14"/>
      <c r="G893" s="14"/>
      <c r="H893" s="14"/>
      <c r="I893" s="14"/>
      <c r="J893" s="14"/>
      <c r="K893" s="14"/>
      <c r="L893" s="135"/>
      <c r="M893" s="14"/>
      <c r="N893" s="14"/>
      <c r="O893" s="14"/>
    </row>
    <row r="894" spans="4:15" ht="14.25" customHeight="1" x14ac:dyDescent="0.25">
      <c r="D894" s="31"/>
      <c r="E894" s="14"/>
      <c r="F894" s="14"/>
      <c r="G894" s="14"/>
      <c r="H894" s="14"/>
      <c r="I894" s="14"/>
      <c r="J894" s="14"/>
      <c r="K894" s="14"/>
      <c r="L894" s="135"/>
      <c r="M894" s="14"/>
      <c r="N894" s="14"/>
      <c r="O894" s="14"/>
    </row>
    <row r="895" spans="4:15" ht="14.25" customHeight="1" x14ac:dyDescent="0.25">
      <c r="D895" s="31"/>
      <c r="E895" s="14"/>
      <c r="F895" s="14"/>
      <c r="G895" s="14"/>
      <c r="H895" s="14"/>
      <c r="I895" s="14"/>
      <c r="J895" s="14"/>
      <c r="K895" s="14"/>
      <c r="L895" s="135"/>
      <c r="M895" s="14"/>
      <c r="N895" s="14"/>
      <c r="O895" s="14"/>
    </row>
    <row r="896" spans="4:15" ht="14.25" customHeight="1" x14ac:dyDescent="0.25">
      <c r="D896" s="31"/>
      <c r="E896" s="14"/>
      <c r="F896" s="14"/>
      <c r="G896" s="14"/>
      <c r="H896" s="14"/>
      <c r="I896" s="14"/>
      <c r="J896" s="14"/>
      <c r="K896" s="14"/>
      <c r="L896" s="135"/>
      <c r="M896" s="14"/>
      <c r="N896" s="14"/>
      <c r="O896" s="14"/>
    </row>
    <row r="897" spans="4:15" ht="14.25" customHeight="1" x14ac:dyDescent="0.25">
      <c r="D897" s="31"/>
      <c r="E897" s="14"/>
      <c r="F897" s="14"/>
      <c r="G897" s="14"/>
      <c r="H897" s="14"/>
      <c r="I897" s="14"/>
      <c r="J897" s="14"/>
      <c r="K897" s="14"/>
      <c r="L897" s="135"/>
      <c r="M897" s="14"/>
      <c r="N897" s="14"/>
      <c r="O897" s="14"/>
    </row>
    <row r="898" spans="4:15" ht="14.25" customHeight="1" x14ac:dyDescent="0.25">
      <c r="D898" s="31"/>
      <c r="E898" s="14"/>
      <c r="F898" s="14"/>
      <c r="G898" s="14"/>
      <c r="H898" s="14"/>
      <c r="I898" s="14"/>
      <c r="J898" s="14"/>
      <c r="K898" s="14"/>
      <c r="L898" s="135"/>
      <c r="M898" s="14"/>
      <c r="N898" s="14"/>
      <c r="O898" s="14"/>
    </row>
    <row r="899" spans="4:15" ht="14.25" customHeight="1" x14ac:dyDescent="0.25">
      <c r="D899" s="31"/>
      <c r="E899" s="14"/>
      <c r="F899" s="14"/>
      <c r="G899" s="14"/>
      <c r="H899" s="14"/>
      <c r="I899" s="14"/>
      <c r="J899" s="14"/>
      <c r="K899" s="14"/>
      <c r="L899" s="135"/>
      <c r="M899" s="14"/>
      <c r="N899" s="14"/>
      <c r="O899" s="14"/>
    </row>
    <row r="900" spans="4:15" ht="14.25" customHeight="1" x14ac:dyDescent="0.25">
      <c r="D900" s="31"/>
      <c r="E900" s="14"/>
      <c r="F900" s="14"/>
      <c r="G900" s="14"/>
      <c r="H900" s="14"/>
      <c r="I900" s="14"/>
      <c r="J900" s="14"/>
      <c r="K900" s="14"/>
      <c r="L900" s="135"/>
      <c r="M900" s="14"/>
      <c r="N900" s="14"/>
      <c r="O900" s="14"/>
    </row>
    <row r="901" spans="4:15" ht="14.25" customHeight="1" x14ac:dyDescent="0.25">
      <c r="D901" s="31"/>
      <c r="E901" s="14"/>
      <c r="F901" s="14"/>
      <c r="G901" s="14"/>
      <c r="H901" s="14"/>
      <c r="I901" s="14"/>
      <c r="J901" s="14"/>
      <c r="K901" s="14"/>
      <c r="L901" s="135"/>
      <c r="M901" s="14"/>
      <c r="N901" s="14"/>
      <c r="O901" s="14"/>
    </row>
    <row r="902" spans="4:15" ht="14.25" customHeight="1" x14ac:dyDescent="0.25">
      <c r="D902" s="31"/>
      <c r="E902" s="14"/>
      <c r="F902" s="14"/>
      <c r="G902" s="14"/>
      <c r="H902" s="14"/>
      <c r="I902" s="14"/>
      <c r="J902" s="14"/>
      <c r="K902" s="14"/>
      <c r="L902" s="135"/>
      <c r="M902" s="14"/>
      <c r="N902" s="14"/>
      <c r="O902" s="14"/>
    </row>
    <row r="903" spans="4:15" ht="14.25" customHeight="1" x14ac:dyDescent="0.25">
      <c r="D903" s="31"/>
      <c r="E903" s="14"/>
      <c r="F903" s="14"/>
      <c r="G903" s="14"/>
      <c r="H903" s="14"/>
      <c r="I903" s="14"/>
      <c r="J903" s="14"/>
      <c r="K903" s="14"/>
      <c r="L903" s="135"/>
      <c r="M903" s="14"/>
      <c r="N903" s="14"/>
      <c r="O903" s="14"/>
    </row>
    <row r="904" spans="4:15" ht="14.25" customHeight="1" x14ac:dyDescent="0.25">
      <c r="D904" s="31"/>
      <c r="E904" s="14"/>
      <c r="F904" s="14"/>
      <c r="G904" s="14"/>
      <c r="H904" s="14"/>
      <c r="I904" s="14"/>
      <c r="J904" s="14"/>
      <c r="K904" s="14"/>
      <c r="L904" s="135"/>
      <c r="M904" s="14"/>
      <c r="N904" s="14"/>
      <c r="O904" s="14"/>
    </row>
    <row r="905" spans="4:15" ht="14.25" customHeight="1" x14ac:dyDescent="0.25">
      <c r="D905" s="31"/>
      <c r="E905" s="14"/>
      <c r="F905" s="14"/>
      <c r="G905" s="14"/>
      <c r="H905" s="14"/>
      <c r="I905" s="14"/>
      <c r="J905" s="14"/>
      <c r="K905" s="14"/>
      <c r="L905" s="135"/>
      <c r="M905" s="14"/>
      <c r="N905" s="14"/>
      <c r="O905" s="14"/>
    </row>
    <row r="906" spans="4:15" ht="14.25" customHeight="1" x14ac:dyDescent="0.25">
      <c r="D906" s="31"/>
      <c r="E906" s="14"/>
      <c r="F906" s="14"/>
      <c r="G906" s="14"/>
      <c r="H906" s="14"/>
      <c r="I906" s="14"/>
      <c r="J906" s="14"/>
      <c r="K906" s="14"/>
      <c r="L906" s="135"/>
      <c r="M906" s="14"/>
      <c r="N906" s="14"/>
      <c r="O906" s="14"/>
    </row>
    <row r="907" spans="4:15" ht="14.25" customHeight="1" x14ac:dyDescent="0.25">
      <c r="D907" s="31"/>
      <c r="E907" s="14"/>
      <c r="F907" s="14"/>
      <c r="G907" s="14"/>
      <c r="H907" s="14"/>
      <c r="I907" s="14"/>
      <c r="J907" s="14"/>
      <c r="K907" s="14"/>
      <c r="L907" s="135"/>
      <c r="M907" s="14"/>
      <c r="N907" s="14"/>
      <c r="O907" s="14"/>
    </row>
    <row r="908" spans="4:15" ht="14.25" customHeight="1" x14ac:dyDescent="0.25">
      <c r="D908" s="31"/>
      <c r="E908" s="14"/>
      <c r="F908" s="14"/>
      <c r="G908" s="14"/>
      <c r="H908" s="14"/>
      <c r="I908" s="14"/>
      <c r="J908" s="14"/>
      <c r="K908" s="14"/>
      <c r="L908" s="135"/>
      <c r="M908" s="14"/>
      <c r="N908" s="14"/>
      <c r="O908" s="14"/>
    </row>
    <row r="909" spans="4:15" ht="14.25" customHeight="1" x14ac:dyDescent="0.25">
      <c r="D909" s="31"/>
      <c r="E909" s="14"/>
      <c r="F909" s="14"/>
      <c r="G909" s="14"/>
      <c r="H909" s="14"/>
      <c r="I909" s="14"/>
      <c r="J909" s="14"/>
      <c r="K909" s="14"/>
      <c r="L909" s="135"/>
      <c r="M909" s="14"/>
      <c r="N909" s="14"/>
      <c r="O909" s="14"/>
    </row>
    <row r="910" spans="4:15" ht="14.25" customHeight="1" x14ac:dyDescent="0.25">
      <c r="D910" s="31"/>
      <c r="E910" s="14"/>
      <c r="F910" s="14"/>
      <c r="G910" s="14"/>
      <c r="H910" s="14"/>
      <c r="I910" s="14"/>
      <c r="J910" s="14"/>
      <c r="K910" s="14"/>
      <c r="L910" s="135"/>
      <c r="M910" s="14"/>
      <c r="N910" s="14"/>
      <c r="O910" s="14"/>
    </row>
    <row r="911" spans="4:15" ht="14.25" customHeight="1" x14ac:dyDescent="0.25">
      <c r="D911" s="31"/>
      <c r="E911" s="14"/>
      <c r="F911" s="14"/>
      <c r="G911" s="14"/>
      <c r="H911" s="14"/>
      <c r="I911" s="14"/>
      <c r="J911" s="14"/>
      <c r="K911" s="14"/>
      <c r="L911" s="135"/>
      <c r="M911" s="14"/>
      <c r="N911" s="14"/>
      <c r="O911" s="14"/>
    </row>
    <row r="912" spans="4:15" ht="14.25" customHeight="1" x14ac:dyDescent="0.25">
      <c r="D912" s="31"/>
      <c r="E912" s="14"/>
      <c r="F912" s="14"/>
      <c r="G912" s="14"/>
      <c r="H912" s="14"/>
      <c r="I912" s="14"/>
      <c r="J912" s="14"/>
      <c r="K912" s="14"/>
      <c r="L912" s="135"/>
      <c r="M912" s="14"/>
      <c r="N912" s="14"/>
      <c r="O912" s="14"/>
    </row>
    <row r="913" spans="4:15" ht="14.25" customHeight="1" x14ac:dyDescent="0.25">
      <c r="D913" s="31"/>
      <c r="E913" s="14"/>
      <c r="F913" s="14"/>
      <c r="G913" s="14"/>
      <c r="H913" s="14"/>
      <c r="I913" s="14"/>
      <c r="J913" s="14"/>
      <c r="K913" s="14"/>
      <c r="L913" s="135"/>
      <c r="M913" s="14"/>
      <c r="N913" s="14"/>
      <c r="O913" s="14"/>
    </row>
    <row r="914" spans="4:15" ht="14.25" customHeight="1" x14ac:dyDescent="0.25">
      <c r="D914" s="31"/>
      <c r="E914" s="14"/>
      <c r="F914" s="14"/>
      <c r="G914" s="14"/>
      <c r="H914" s="14"/>
      <c r="I914" s="14"/>
      <c r="J914" s="14"/>
      <c r="K914" s="14"/>
      <c r="L914" s="135"/>
      <c r="M914" s="14"/>
      <c r="N914" s="14"/>
      <c r="O914" s="14"/>
    </row>
    <row r="915" spans="4:15" ht="14.25" customHeight="1" x14ac:dyDescent="0.25">
      <c r="D915" s="31"/>
      <c r="E915" s="14"/>
      <c r="F915" s="14"/>
      <c r="G915" s="14"/>
      <c r="H915" s="14"/>
      <c r="I915" s="14"/>
      <c r="J915" s="14"/>
      <c r="K915" s="14"/>
      <c r="L915" s="135"/>
      <c r="M915" s="14"/>
      <c r="N915" s="14"/>
      <c r="O915" s="14"/>
    </row>
    <row r="916" spans="4:15" ht="14.25" customHeight="1" x14ac:dyDescent="0.25">
      <c r="D916" s="31"/>
      <c r="E916" s="14"/>
      <c r="F916" s="14"/>
      <c r="G916" s="14"/>
      <c r="H916" s="14"/>
      <c r="I916" s="14"/>
      <c r="J916" s="14"/>
      <c r="K916" s="14"/>
      <c r="L916" s="135"/>
      <c r="M916" s="14"/>
      <c r="N916" s="14"/>
      <c r="O916" s="14"/>
    </row>
    <row r="917" spans="4:15" ht="14.25" customHeight="1" x14ac:dyDescent="0.25">
      <c r="D917" s="31"/>
      <c r="E917" s="14"/>
      <c r="F917" s="14"/>
      <c r="G917" s="14"/>
      <c r="H917" s="14"/>
      <c r="I917" s="14"/>
      <c r="J917" s="14"/>
      <c r="K917" s="14"/>
      <c r="L917" s="135"/>
      <c r="M917" s="14"/>
      <c r="N917" s="14"/>
      <c r="O917" s="14"/>
    </row>
    <row r="918" spans="4:15" ht="14.25" customHeight="1" x14ac:dyDescent="0.25">
      <c r="D918" s="31"/>
      <c r="E918" s="14"/>
      <c r="F918" s="14"/>
      <c r="G918" s="14"/>
      <c r="H918" s="14"/>
      <c r="I918" s="14"/>
      <c r="J918" s="14"/>
      <c r="K918" s="14"/>
      <c r="L918" s="135"/>
      <c r="M918" s="14"/>
      <c r="N918" s="14"/>
      <c r="O918" s="14"/>
    </row>
    <row r="919" spans="4:15" ht="14.25" customHeight="1" x14ac:dyDescent="0.25">
      <c r="D919" s="31"/>
      <c r="E919" s="14"/>
      <c r="F919" s="14"/>
      <c r="G919" s="14"/>
      <c r="H919" s="14"/>
      <c r="I919" s="14"/>
      <c r="J919" s="14"/>
      <c r="K919" s="14"/>
      <c r="L919" s="135"/>
      <c r="M919" s="14"/>
      <c r="N919" s="14"/>
      <c r="O919" s="14"/>
    </row>
    <row r="920" spans="4:15" ht="14.25" customHeight="1" x14ac:dyDescent="0.25">
      <c r="D920" s="31"/>
      <c r="E920" s="14"/>
      <c r="F920" s="14"/>
      <c r="G920" s="14"/>
      <c r="H920" s="14"/>
      <c r="I920" s="14"/>
      <c r="J920" s="14"/>
      <c r="K920" s="14"/>
      <c r="L920" s="135"/>
      <c r="M920" s="14"/>
      <c r="N920" s="14"/>
      <c r="O920" s="14"/>
    </row>
    <row r="921" spans="4:15" ht="14.25" customHeight="1" x14ac:dyDescent="0.25">
      <c r="D921" s="31"/>
      <c r="E921" s="14"/>
      <c r="F921" s="14"/>
      <c r="G921" s="14"/>
      <c r="H921" s="14"/>
      <c r="I921" s="14"/>
      <c r="J921" s="14"/>
      <c r="K921" s="14"/>
      <c r="L921" s="135"/>
      <c r="M921" s="14"/>
      <c r="N921" s="14"/>
      <c r="O921" s="14"/>
    </row>
    <row r="922" spans="4:15" ht="14.25" customHeight="1" x14ac:dyDescent="0.25">
      <c r="D922" s="31"/>
      <c r="E922" s="14"/>
      <c r="F922" s="14"/>
      <c r="G922" s="14"/>
      <c r="H922" s="14"/>
      <c r="I922" s="14"/>
      <c r="J922" s="14"/>
      <c r="K922" s="14"/>
      <c r="L922" s="135"/>
      <c r="M922" s="14"/>
      <c r="N922" s="14"/>
      <c r="O922" s="14"/>
    </row>
    <row r="923" spans="4:15" ht="14.25" customHeight="1" x14ac:dyDescent="0.25">
      <c r="D923" s="31"/>
      <c r="E923" s="14"/>
      <c r="F923" s="14"/>
      <c r="G923" s="14"/>
      <c r="H923" s="14"/>
      <c r="I923" s="14"/>
      <c r="J923" s="14"/>
      <c r="K923" s="14"/>
      <c r="L923" s="135"/>
      <c r="M923" s="14"/>
      <c r="N923" s="14"/>
      <c r="O923" s="14"/>
    </row>
    <row r="924" spans="4:15" ht="14.25" customHeight="1" x14ac:dyDescent="0.25">
      <c r="D924" s="31"/>
      <c r="E924" s="14"/>
      <c r="F924" s="14"/>
      <c r="G924" s="14"/>
      <c r="H924" s="14"/>
      <c r="I924" s="14"/>
      <c r="J924" s="14"/>
      <c r="K924" s="14"/>
      <c r="L924" s="135"/>
      <c r="M924" s="14"/>
      <c r="N924" s="14"/>
      <c r="O924" s="14"/>
    </row>
    <row r="925" spans="4:15" ht="14.25" customHeight="1" x14ac:dyDescent="0.25">
      <c r="D925" s="31"/>
      <c r="E925" s="14"/>
      <c r="F925" s="14"/>
      <c r="G925" s="14"/>
      <c r="H925" s="14"/>
      <c r="I925" s="14"/>
      <c r="J925" s="14"/>
      <c r="K925" s="14"/>
      <c r="L925" s="135"/>
      <c r="M925" s="14"/>
      <c r="N925" s="14"/>
      <c r="O925" s="14"/>
    </row>
    <row r="926" spans="4:15" ht="14.25" customHeight="1" x14ac:dyDescent="0.25">
      <c r="D926" s="31"/>
      <c r="E926" s="14"/>
      <c r="F926" s="14"/>
      <c r="G926" s="14"/>
      <c r="H926" s="14"/>
      <c r="I926" s="14"/>
      <c r="J926" s="14"/>
      <c r="K926" s="14"/>
      <c r="L926" s="135"/>
      <c r="M926" s="14"/>
      <c r="N926" s="14"/>
      <c r="O926" s="14"/>
    </row>
    <row r="927" spans="4:15" ht="14.25" customHeight="1" x14ac:dyDescent="0.25">
      <c r="D927" s="31"/>
      <c r="E927" s="14"/>
      <c r="F927" s="14"/>
      <c r="G927" s="14"/>
      <c r="H927" s="14"/>
      <c r="I927" s="14"/>
      <c r="J927" s="14"/>
      <c r="K927" s="14"/>
      <c r="L927" s="135"/>
      <c r="M927" s="14"/>
      <c r="N927" s="14"/>
      <c r="O927" s="14"/>
    </row>
    <row r="928" spans="4:15" ht="14.25" customHeight="1" x14ac:dyDescent="0.25">
      <c r="D928" s="31"/>
      <c r="E928" s="14"/>
      <c r="F928" s="14"/>
      <c r="G928" s="14"/>
      <c r="H928" s="14"/>
      <c r="I928" s="14"/>
      <c r="J928" s="14"/>
      <c r="K928" s="14"/>
      <c r="L928" s="135"/>
      <c r="M928" s="14"/>
      <c r="N928" s="14"/>
      <c r="O928" s="14"/>
    </row>
    <row r="929" spans="4:15" ht="14.25" customHeight="1" x14ac:dyDescent="0.25">
      <c r="D929" s="31"/>
      <c r="E929" s="14"/>
      <c r="F929" s="14"/>
      <c r="G929" s="14"/>
      <c r="H929" s="14"/>
      <c r="I929" s="14"/>
      <c r="J929" s="14"/>
      <c r="K929" s="14"/>
      <c r="L929" s="135"/>
      <c r="M929" s="14"/>
      <c r="N929" s="14"/>
      <c r="O929" s="14"/>
    </row>
    <row r="930" spans="4:15" ht="14.25" customHeight="1" x14ac:dyDescent="0.25">
      <c r="D930" s="31"/>
      <c r="E930" s="14"/>
      <c r="F930" s="14"/>
      <c r="G930" s="14"/>
      <c r="H930" s="14"/>
      <c r="I930" s="14"/>
      <c r="J930" s="14"/>
      <c r="K930" s="14"/>
      <c r="L930" s="135"/>
      <c r="M930" s="14"/>
      <c r="N930" s="14"/>
      <c r="O930" s="14"/>
    </row>
    <row r="931" spans="4:15" ht="14.25" customHeight="1" x14ac:dyDescent="0.25">
      <c r="D931" s="31"/>
      <c r="E931" s="14"/>
      <c r="F931" s="14"/>
      <c r="G931" s="14"/>
      <c r="H931" s="14"/>
      <c r="I931" s="14"/>
      <c r="J931" s="14"/>
      <c r="K931" s="14"/>
      <c r="L931" s="135"/>
      <c r="M931" s="14"/>
      <c r="N931" s="14"/>
      <c r="O931" s="14"/>
    </row>
    <row r="932" spans="4:15" ht="14.25" customHeight="1" x14ac:dyDescent="0.25">
      <c r="D932" s="31"/>
      <c r="E932" s="14"/>
      <c r="F932" s="14"/>
      <c r="G932" s="14"/>
      <c r="H932" s="14"/>
      <c r="I932" s="14"/>
      <c r="J932" s="14"/>
      <c r="K932" s="14"/>
      <c r="L932" s="135"/>
      <c r="M932" s="14"/>
      <c r="N932" s="14"/>
      <c r="O932" s="14"/>
    </row>
    <row r="933" spans="4:15" ht="14.25" customHeight="1" x14ac:dyDescent="0.25">
      <c r="D933" s="31"/>
      <c r="E933" s="14"/>
      <c r="F933" s="14"/>
      <c r="G933" s="14"/>
      <c r="H933" s="14"/>
      <c r="I933" s="14"/>
      <c r="J933" s="14"/>
      <c r="K933" s="14"/>
      <c r="L933" s="135"/>
      <c r="M933" s="14"/>
      <c r="N933" s="14"/>
      <c r="O933" s="14"/>
    </row>
    <row r="934" spans="4:15" ht="14.25" customHeight="1" x14ac:dyDescent="0.25">
      <c r="D934" s="31"/>
      <c r="E934" s="14"/>
      <c r="F934" s="14"/>
      <c r="G934" s="14"/>
      <c r="H934" s="14"/>
      <c r="I934" s="14"/>
      <c r="J934" s="14"/>
      <c r="K934" s="14"/>
      <c r="L934" s="135"/>
      <c r="M934" s="14"/>
      <c r="N934" s="14"/>
      <c r="O934" s="14"/>
    </row>
    <row r="935" spans="4:15" ht="14.25" customHeight="1" x14ac:dyDescent="0.25">
      <c r="D935" s="31"/>
      <c r="E935" s="14"/>
      <c r="F935" s="14"/>
      <c r="G935" s="14"/>
      <c r="H935" s="14"/>
      <c r="I935" s="14"/>
      <c r="J935" s="14"/>
      <c r="K935" s="14"/>
      <c r="L935" s="135"/>
      <c r="M935" s="14"/>
      <c r="N935" s="14"/>
      <c r="O935" s="14"/>
    </row>
    <row r="936" spans="4:15" ht="14.25" customHeight="1" x14ac:dyDescent="0.25">
      <c r="D936" s="31"/>
      <c r="E936" s="14"/>
      <c r="F936" s="14"/>
      <c r="G936" s="14"/>
      <c r="H936" s="14"/>
      <c r="I936" s="14"/>
      <c r="J936" s="14"/>
      <c r="K936" s="14"/>
      <c r="L936" s="135"/>
      <c r="M936" s="14"/>
      <c r="N936" s="14"/>
      <c r="O936" s="14"/>
    </row>
    <row r="937" spans="4:15" ht="14.25" customHeight="1" x14ac:dyDescent="0.25">
      <c r="D937" s="31"/>
      <c r="E937" s="14"/>
      <c r="F937" s="14"/>
      <c r="G937" s="14"/>
      <c r="H937" s="14"/>
      <c r="I937" s="14"/>
      <c r="J937" s="14"/>
      <c r="K937" s="14"/>
      <c r="L937" s="135"/>
      <c r="M937" s="14"/>
      <c r="N937" s="14"/>
      <c r="O937" s="14"/>
    </row>
    <row r="938" spans="4:15" ht="14.25" customHeight="1" x14ac:dyDescent="0.25">
      <c r="D938" s="31"/>
      <c r="E938" s="14"/>
      <c r="F938" s="14"/>
      <c r="G938" s="14"/>
      <c r="H938" s="14"/>
      <c r="I938" s="14"/>
      <c r="J938" s="14"/>
      <c r="K938" s="14"/>
      <c r="L938" s="135"/>
      <c r="M938" s="14"/>
      <c r="N938" s="14"/>
      <c r="O938" s="14"/>
    </row>
    <row r="939" spans="4:15" ht="14.25" customHeight="1" x14ac:dyDescent="0.25">
      <c r="D939" s="31"/>
      <c r="E939" s="14"/>
      <c r="F939" s="14"/>
      <c r="G939" s="14"/>
      <c r="H939" s="14"/>
      <c r="I939" s="14"/>
      <c r="J939" s="14"/>
      <c r="K939" s="14"/>
      <c r="L939" s="135"/>
      <c r="M939" s="14"/>
      <c r="N939" s="14"/>
      <c r="O939" s="14"/>
    </row>
    <row r="940" spans="4:15" ht="14.25" customHeight="1" x14ac:dyDescent="0.25">
      <c r="D940" s="31"/>
      <c r="E940" s="14"/>
      <c r="F940" s="14"/>
      <c r="G940" s="14"/>
      <c r="H940" s="14"/>
      <c r="I940" s="14"/>
      <c r="J940" s="14"/>
      <c r="K940" s="14"/>
      <c r="L940" s="135"/>
      <c r="M940" s="14"/>
      <c r="N940" s="14"/>
      <c r="O940" s="14"/>
    </row>
    <row r="941" spans="4:15" ht="14.25" customHeight="1" x14ac:dyDescent="0.25">
      <c r="D941" s="31"/>
      <c r="E941" s="14"/>
      <c r="F941" s="14"/>
      <c r="G941" s="14"/>
      <c r="H941" s="14"/>
      <c r="I941" s="14"/>
      <c r="J941" s="14"/>
      <c r="K941" s="14"/>
      <c r="L941" s="135"/>
      <c r="M941" s="14"/>
      <c r="N941" s="14"/>
      <c r="O941" s="14"/>
    </row>
    <row r="942" spans="4:15" ht="14.25" customHeight="1" x14ac:dyDescent="0.25">
      <c r="D942" s="31"/>
      <c r="E942" s="14"/>
      <c r="F942" s="14"/>
      <c r="G942" s="14"/>
      <c r="H942" s="14"/>
      <c r="I942" s="14"/>
      <c r="J942" s="14"/>
      <c r="K942" s="14"/>
      <c r="L942" s="135"/>
      <c r="M942" s="14"/>
      <c r="N942" s="14"/>
      <c r="O942" s="14"/>
    </row>
    <row r="943" spans="4:15" ht="14.25" customHeight="1" x14ac:dyDescent="0.25">
      <c r="D943" s="31"/>
      <c r="E943" s="14"/>
      <c r="F943" s="14"/>
      <c r="G943" s="14"/>
      <c r="H943" s="14"/>
      <c r="I943" s="14"/>
      <c r="J943" s="14"/>
      <c r="K943" s="14"/>
      <c r="L943" s="135"/>
      <c r="M943" s="14"/>
      <c r="N943" s="14"/>
      <c r="O943" s="14"/>
    </row>
    <row r="944" spans="4:15" ht="14.25" customHeight="1" x14ac:dyDescent="0.25">
      <c r="D944" s="31"/>
      <c r="E944" s="14"/>
      <c r="F944" s="14"/>
      <c r="G944" s="14"/>
      <c r="H944" s="14"/>
      <c r="I944" s="14"/>
      <c r="J944" s="14"/>
      <c r="K944" s="14"/>
      <c r="L944" s="135"/>
      <c r="M944" s="14"/>
      <c r="N944" s="14"/>
      <c r="O944" s="14"/>
    </row>
    <row r="945" spans="4:15" ht="14.25" customHeight="1" x14ac:dyDescent="0.25">
      <c r="D945" s="31"/>
      <c r="E945" s="14"/>
      <c r="F945" s="14"/>
      <c r="G945" s="14"/>
      <c r="H945" s="14"/>
      <c r="I945" s="14"/>
      <c r="J945" s="14"/>
      <c r="K945" s="14"/>
      <c r="L945" s="135"/>
      <c r="M945" s="14"/>
      <c r="N945" s="14"/>
      <c r="O945" s="14"/>
    </row>
    <row r="946" spans="4:15" ht="14.25" customHeight="1" x14ac:dyDescent="0.25">
      <c r="D946" s="31"/>
      <c r="E946" s="14"/>
      <c r="F946" s="14"/>
      <c r="G946" s="14"/>
      <c r="H946" s="14"/>
      <c r="I946" s="14"/>
      <c r="J946" s="14"/>
      <c r="K946" s="14"/>
      <c r="L946" s="135"/>
      <c r="M946" s="14"/>
      <c r="N946" s="14"/>
      <c r="O946" s="14"/>
    </row>
    <row r="947" spans="4:15" ht="14.25" customHeight="1" x14ac:dyDescent="0.25">
      <c r="D947" s="31"/>
      <c r="E947" s="14"/>
      <c r="F947" s="14"/>
      <c r="G947" s="14"/>
      <c r="H947" s="14"/>
      <c r="I947" s="14"/>
      <c r="J947" s="14"/>
      <c r="K947" s="14"/>
      <c r="L947" s="135"/>
      <c r="M947" s="14"/>
      <c r="N947" s="14"/>
      <c r="O947" s="14"/>
    </row>
    <row r="948" spans="4:15" ht="14.25" customHeight="1" x14ac:dyDescent="0.25">
      <c r="D948" s="31"/>
      <c r="E948" s="14"/>
      <c r="F948" s="14"/>
      <c r="G948" s="14"/>
      <c r="H948" s="14"/>
      <c r="I948" s="14"/>
      <c r="J948" s="14"/>
      <c r="K948" s="14"/>
      <c r="L948" s="135"/>
      <c r="M948" s="14"/>
      <c r="N948" s="14"/>
      <c r="O948" s="14"/>
    </row>
    <row r="949" spans="4:15" ht="14.25" customHeight="1" x14ac:dyDescent="0.25">
      <c r="D949" s="31"/>
      <c r="E949" s="14"/>
      <c r="F949" s="14"/>
      <c r="G949" s="14"/>
      <c r="H949" s="14"/>
      <c r="I949" s="14"/>
      <c r="J949" s="14"/>
      <c r="K949" s="14"/>
      <c r="L949" s="135"/>
      <c r="M949" s="14"/>
      <c r="N949" s="14"/>
      <c r="O949" s="14"/>
    </row>
    <row r="950" spans="4:15" ht="14.25" customHeight="1" x14ac:dyDescent="0.25">
      <c r="D950" s="31"/>
      <c r="E950" s="14"/>
      <c r="F950" s="14"/>
      <c r="G950" s="14"/>
      <c r="H950" s="14"/>
      <c r="I950" s="14"/>
      <c r="J950" s="14"/>
      <c r="K950" s="14"/>
      <c r="L950" s="135"/>
      <c r="M950" s="14"/>
      <c r="N950" s="14"/>
      <c r="O950" s="14"/>
    </row>
    <row r="951" spans="4:15" ht="14.25" customHeight="1" x14ac:dyDescent="0.25">
      <c r="D951" s="31"/>
      <c r="E951" s="14"/>
      <c r="F951" s="14"/>
      <c r="G951" s="14"/>
      <c r="H951" s="14"/>
      <c r="I951" s="14"/>
      <c r="J951" s="14"/>
      <c r="K951" s="14"/>
      <c r="L951" s="135"/>
      <c r="M951" s="14"/>
      <c r="N951" s="14"/>
      <c r="O951" s="14"/>
    </row>
    <row r="952" spans="4:15" ht="14.25" customHeight="1" x14ac:dyDescent="0.25">
      <c r="D952" s="31"/>
      <c r="E952" s="14"/>
      <c r="F952" s="14"/>
      <c r="G952" s="14"/>
      <c r="H952" s="14"/>
      <c r="I952" s="14"/>
      <c r="J952" s="14"/>
      <c r="K952" s="14"/>
      <c r="L952" s="135"/>
      <c r="M952" s="14"/>
      <c r="N952" s="14"/>
      <c r="O952" s="14"/>
    </row>
    <row r="953" spans="4:15" ht="14.25" customHeight="1" x14ac:dyDescent="0.25">
      <c r="D953" s="31"/>
      <c r="E953" s="14"/>
      <c r="F953" s="14"/>
      <c r="G953" s="14"/>
      <c r="H953" s="14"/>
      <c r="I953" s="14"/>
      <c r="J953" s="14"/>
      <c r="K953" s="14"/>
      <c r="L953" s="135"/>
      <c r="M953" s="14"/>
      <c r="N953" s="14"/>
      <c r="O953" s="14"/>
    </row>
    <row r="954" spans="4:15" ht="14.25" customHeight="1" x14ac:dyDescent="0.25">
      <c r="D954" s="31"/>
      <c r="E954" s="14"/>
      <c r="F954" s="14"/>
      <c r="G954" s="14"/>
      <c r="H954" s="14"/>
      <c r="I954" s="14"/>
      <c r="J954" s="14"/>
      <c r="K954" s="14"/>
      <c r="L954" s="135"/>
      <c r="M954" s="14"/>
      <c r="N954" s="14"/>
      <c r="O954" s="14"/>
    </row>
    <row r="955" spans="4:15" ht="14.25" customHeight="1" x14ac:dyDescent="0.25">
      <c r="D955" s="31"/>
      <c r="E955" s="14"/>
      <c r="F955" s="14"/>
      <c r="G955" s="14"/>
      <c r="H955" s="14"/>
      <c r="I955" s="14"/>
      <c r="J955" s="14"/>
      <c r="K955" s="14"/>
      <c r="L955" s="135"/>
      <c r="M955" s="14"/>
      <c r="N955" s="14"/>
      <c r="O955" s="14"/>
    </row>
    <row r="956" spans="4:15" ht="14.25" customHeight="1" x14ac:dyDescent="0.25">
      <c r="D956" s="31"/>
      <c r="E956" s="14"/>
      <c r="F956" s="14"/>
      <c r="G956" s="14"/>
      <c r="H956" s="14"/>
      <c r="I956" s="14"/>
      <c r="J956" s="14"/>
      <c r="K956" s="14"/>
      <c r="L956" s="135"/>
      <c r="M956" s="14"/>
      <c r="N956" s="14"/>
      <c r="O956" s="14"/>
    </row>
    <row r="957" spans="4:15" ht="14.25" customHeight="1" x14ac:dyDescent="0.25">
      <c r="D957" s="31"/>
      <c r="E957" s="14"/>
      <c r="F957" s="14"/>
      <c r="G957" s="14"/>
      <c r="H957" s="14"/>
      <c r="I957" s="14"/>
      <c r="J957" s="14"/>
      <c r="K957" s="14"/>
      <c r="L957" s="135"/>
      <c r="M957" s="14"/>
      <c r="N957" s="14"/>
      <c r="O957" s="14"/>
    </row>
    <row r="958" spans="4:15" ht="14.25" customHeight="1" x14ac:dyDescent="0.25">
      <c r="D958" s="31"/>
      <c r="E958" s="14"/>
      <c r="F958" s="14"/>
      <c r="G958" s="14"/>
      <c r="H958" s="14"/>
      <c r="I958" s="14"/>
      <c r="J958" s="14"/>
      <c r="K958" s="14"/>
      <c r="L958" s="135"/>
      <c r="M958" s="14"/>
      <c r="N958" s="14"/>
      <c r="O958" s="14"/>
    </row>
    <row r="959" spans="4:15" ht="14.25" customHeight="1" x14ac:dyDescent="0.25">
      <c r="D959" s="31"/>
      <c r="E959" s="14"/>
      <c r="F959" s="14"/>
      <c r="G959" s="14"/>
      <c r="H959" s="14"/>
      <c r="I959" s="14"/>
      <c r="J959" s="14"/>
      <c r="K959" s="14"/>
      <c r="L959" s="135"/>
      <c r="M959" s="14"/>
      <c r="N959" s="14"/>
      <c r="O959" s="14"/>
    </row>
    <row r="960" spans="4:15" ht="14.25" customHeight="1" x14ac:dyDescent="0.25">
      <c r="D960" s="31"/>
      <c r="E960" s="14"/>
      <c r="F960" s="14"/>
      <c r="G960" s="14"/>
      <c r="H960" s="14"/>
      <c r="I960" s="14"/>
      <c r="J960" s="14"/>
      <c r="K960" s="14"/>
      <c r="L960" s="135"/>
      <c r="M960" s="14"/>
      <c r="N960" s="14"/>
      <c r="O960" s="14"/>
    </row>
    <row r="961" spans="4:15" ht="14.25" customHeight="1" x14ac:dyDescent="0.25">
      <c r="D961" s="31"/>
      <c r="E961" s="14"/>
      <c r="F961" s="14"/>
      <c r="G961" s="14"/>
      <c r="H961" s="14"/>
      <c r="I961" s="14"/>
      <c r="J961" s="14"/>
      <c r="K961" s="14"/>
      <c r="L961" s="135"/>
      <c r="M961" s="14"/>
      <c r="N961" s="14"/>
      <c r="O961" s="14"/>
    </row>
    <row r="962" spans="4:15" ht="14.25" customHeight="1" x14ac:dyDescent="0.25">
      <c r="D962" s="31"/>
      <c r="E962" s="14"/>
      <c r="F962" s="14"/>
      <c r="G962" s="14"/>
      <c r="H962" s="14"/>
      <c r="I962" s="14"/>
      <c r="J962" s="14"/>
      <c r="K962" s="14"/>
      <c r="L962" s="135"/>
      <c r="M962" s="14"/>
      <c r="N962" s="14"/>
      <c r="O962" s="14"/>
    </row>
    <row r="963" spans="4:15" ht="14.25" customHeight="1" x14ac:dyDescent="0.25">
      <c r="D963" s="31"/>
      <c r="E963" s="14"/>
      <c r="F963" s="14"/>
      <c r="G963" s="14"/>
      <c r="H963" s="14"/>
      <c r="I963" s="14"/>
      <c r="J963" s="14"/>
      <c r="K963" s="14"/>
      <c r="L963" s="135"/>
      <c r="M963" s="14"/>
      <c r="N963" s="14"/>
      <c r="O963" s="14"/>
    </row>
    <row r="964" spans="4:15" ht="14.25" customHeight="1" x14ac:dyDescent="0.25">
      <c r="D964" s="31"/>
      <c r="E964" s="14"/>
      <c r="F964" s="14"/>
      <c r="G964" s="14"/>
      <c r="H964" s="14"/>
      <c r="I964" s="14"/>
      <c r="J964" s="14"/>
      <c r="K964" s="14"/>
      <c r="L964" s="135"/>
      <c r="M964" s="14"/>
      <c r="N964" s="14"/>
      <c r="O964" s="14"/>
    </row>
    <row r="965" spans="4:15" ht="14.25" customHeight="1" x14ac:dyDescent="0.25">
      <c r="D965" s="31"/>
      <c r="E965" s="14"/>
      <c r="F965" s="14"/>
      <c r="G965" s="14"/>
      <c r="H965" s="14"/>
      <c r="I965" s="14"/>
      <c r="J965" s="14"/>
      <c r="K965" s="14"/>
      <c r="L965" s="135"/>
      <c r="M965" s="14"/>
      <c r="N965" s="14"/>
      <c r="O965" s="14"/>
    </row>
    <row r="966" spans="4:15" ht="14.25" customHeight="1" x14ac:dyDescent="0.25">
      <c r="D966" s="31"/>
      <c r="E966" s="14"/>
      <c r="F966" s="14"/>
      <c r="G966" s="14"/>
      <c r="H966" s="14"/>
      <c r="I966" s="14"/>
      <c r="J966" s="14"/>
      <c r="K966" s="14"/>
      <c r="L966" s="135"/>
      <c r="M966" s="14"/>
      <c r="N966" s="14"/>
      <c r="O966" s="14"/>
    </row>
    <row r="967" spans="4:15" ht="14.25" customHeight="1" x14ac:dyDescent="0.25">
      <c r="D967" s="31"/>
      <c r="E967" s="14"/>
      <c r="F967" s="14"/>
      <c r="G967" s="14"/>
      <c r="H967" s="14"/>
      <c r="I967" s="14"/>
      <c r="J967" s="14"/>
      <c r="K967" s="14"/>
      <c r="L967" s="135"/>
      <c r="M967" s="14"/>
      <c r="N967" s="14"/>
      <c r="O967" s="14"/>
    </row>
    <row r="968" spans="4:15" ht="14.25" customHeight="1" x14ac:dyDescent="0.25">
      <c r="D968" s="31"/>
      <c r="E968" s="14"/>
      <c r="F968" s="14"/>
      <c r="G968" s="14"/>
      <c r="H968" s="14"/>
      <c r="I968" s="14"/>
      <c r="J968" s="14"/>
      <c r="K968" s="14"/>
      <c r="L968" s="135"/>
      <c r="M968" s="14"/>
      <c r="N968" s="14"/>
      <c r="O968" s="14"/>
    </row>
    <row r="969" spans="4:15" ht="14.25" customHeight="1" x14ac:dyDescent="0.25">
      <c r="D969" s="31"/>
      <c r="E969" s="14"/>
      <c r="F969" s="14"/>
      <c r="G969" s="14"/>
      <c r="H969" s="14"/>
      <c r="I969" s="14"/>
      <c r="J969" s="14"/>
      <c r="K969" s="14"/>
      <c r="L969" s="135"/>
      <c r="M969" s="14"/>
      <c r="N969" s="14"/>
      <c r="O969" s="14"/>
    </row>
    <row r="970" spans="4:15" ht="14.25" customHeight="1" x14ac:dyDescent="0.25">
      <c r="D970" s="31"/>
      <c r="E970" s="14"/>
      <c r="F970" s="14"/>
      <c r="G970" s="14"/>
      <c r="H970" s="14"/>
      <c r="I970" s="14"/>
      <c r="J970" s="14"/>
      <c r="K970" s="14"/>
      <c r="L970" s="135"/>
      <c r="M970" s="14"/>
      <c r="N970" s="14"/>
      <c r="O970" s="14"/>
    </row>
    <row r="971" spans="4:15" ht="14.25" customHeight="1" x14ac:dyDescent="0.25">
      <c r="D971" s="31"/>
      <c r="E971" s="14"/>
      <c r="F971" s="14"/>
      <c r="G971" s="14"/>
      <c r="H971" s="14"/>
      <c r="I971" s="14"/>
      <c r="J971" s="14"/>
      <c r="K971" s="14"/>
      <c r="L971" s="135"/>
      <c r="M971" s="14"/>
      <c r="N971" s="14"/>
      <c r="O971" s="14"/>
    </row>
    <row r="972" spans="4:15" ht="14.25" customHeight="1" x14ac:dyDescent="0.25">
      <c r="D972" s="31"/>
      <c r="E972" s="14"/>
      <c r="F972" s="14"/>
      <c r="G972" s="14"/>
      <c r="H972" s="14"/>
      <c r="I972" s="14"/>
      <c r="J972" s="14"/>
      <c r="K972" s="14"/>
      <c r="L972" s="135"/>
      <c r="M972" s="14"/>
      <c r="N972" s="14"/>
      <c r="O972" s="14"/>
    </row>
    <row r="973" spans="4:15" ht="14.25" customHeight="1" x14ac:dyDescent="0.25">
      <c r="D973" s="31"/>
      <c r="E973" s="14"/>
      <c r="F973" s="14"/>
      <c r="G973" s="14"/>
      <c r="H973" s="14"/>
      <c r="I973" s="14"/>
      <c r="J973" s="14"/>
      <c r="K973" s="14"/>
      <c r="L973" s="135"/>
      <c r="M973" s="14"/>
      <c r="N973" s="14"/>
      <c r="O973" s="14"/>
    </row>
    <row r="974" spans="4:15" ht="14.25" customHeight="1" x14ac:dyDescent="0.25">
      <c r="D974" s="31"/>
      <c r="E974" s="14"/>
      <c r="F974" s="14"/>
      <c r="G974" s="14"/>
      <c r="H974" s="14"/>
      <c r="I974" s="14"/>
      <c r="J974" s="14"/>
      <c r="K974" s="14"/>
      <c r="L974" s="135"/>
      <c r="M974" s="14"/>
      <c r="N974" s="14"/>
      <c r="O974" s="14"/>
    </row>
    <row r="975" spans="4:15" ht="14.25" customHeight="1" x14ac:dyDescent="0.25">
      <c r="D975" s="31"/>
      <c r="E975" s="14"/>
      <c r="F975" s="14"/>
      <c r="G975" s="14"/>
      <c r="H975" s="14"/>
      <c r="I975" s="14"/>
      <c r="J975" s="14"/>
      <c r="K975" s="14"/>
      <c r="L975" s="135"/>
      <c r="M975" s="14"/>
      <c r="N975" s="14"/>
      <c r="O975" s="14"/>
    </row>
    <row r="976" spans="4:15" ht="14.25" customHeight="1" x14ac:dyDescent="0.25">
      <c r="D976" s="31"/>
      <c r="E976" s="14"/>
      <c r="F976" s="14"/>
      <c r="G976" s="14"/>
      <c r="H976" s="14"/>
      <c r="I976" s="14"/>
      <c r="J976" s="14"/>
      <c r="K976" s="14"/>
      <c r="L976" s="135"/>
      <c r="M976" s="14"/>
      <c r="N976" s="14"/>
      <c r="O976" s="14"/>
    </row>
    <row r="977" spans="4:15" ht="14.25" customHeight="1" x14ac:dyDescent="0.25">
      <c r="D977" s="31"/>
      <c r="E977" s="14"/>
      <c r="F977" s="14"/>
      <c r="G977" s="14"/>
      <c r="H977" s="14"/>
      <c r="I977" s="14"/>
      <c r="J977" s="14"/>
      <c r="K977" s="14"/>
      <c r="L977" s="135"/>
      <c r="M977" s="14"/>
      <c r="N977" s="14"/>
      <c r="O977" s="14"/>
    </row>
    <row r="978" spans="4:15" ht="14.25" customHeight="1" x14ac:dyDescent="0.25">
      <c r="D978" s="31"/>
      <c r="E978" s="14"/>
      <c r="F978" s="14"/>
      <c r="G978" s="14"/>
      <c r="H978" s="14"/>
      <c r="I978" s="14"/>
      <c r="J978" s="14"/>
      <c r="K978" s="14"/>
      <c r="L978" s="135"/>
      <c r="M978" s="14"/>
      <c r="N978" s="14"/>
      <c r="O978" s="14"/>
    </row>
    <row r="979" spans="4:15" ht="14.25" customHeight="1" x14ac:dyDescent="0.25">
      <c r="D979" s="31"/>
      <c r="E979" s="14"/>
      <c r="F979" s="14"/>
      <c r="G979" s="14"/>
      <c r="H979" s="14"/>
      <c r="I979" s="14"/>
      <c r="J979" s="14"/>
      <c r="K979" s="14"/>
      <c r="L979" s="135"/>
      <c r="M979" s="14"/>
      <c r="N979" s="14"/>
      <c r="O979" s="14"/>
    </row>
    <row r="980" spans="4:15" ht="14.25" customHeight="1" x14ac:dyDescent="0.25">
      <c r="D980" s="31"/>
      <c r="E980" s="14"/>
      <c r="F980" s="14"/>
      <c r="G980" s="14"/>
      <c r="H980" s="14"/>
      <c r="I980" s="14"/>
      <c r="J980" s="14"/>
      <c r="K980" s="14"/>
      <c r="L980" s="135"/>
      <c r="M980" s="14"/>
      <c r="N980" s="14"/>
      <c r="O980" s="14"/>
    </row>
    <row r="981" spans="4:15" ht="14.25" customHeight="1" x14ac:dyDescent="0.25">
      <c r="D981" s="31"/>
      <c r="E981" s="14"/>
      <c r="F981" s="14"/>
      <c r="G981" s="14"/>
      <c r="H981" s="14"/>
      <c r="I981" s="14"/>
      <c r="J981" s="14"/>
      <c r="K981" s="14"/>
      <c r="L981" s="135"/>
      <c r="M981" s="14"/>
      <c r="N981" s="14"/>
      <c r="O981" s="14"/>
    </row>
    <row r="982" spans="4:15" ht="14.25" customHeight="1" x14ac:dyDescent="0.25">
      <c r="D982" s="31"/>
      <c r="E982" s="14"/>
      <c r="F982" s="14"/>
      <c r="G982" s="14"/>
      <c r="H982" s="14"/>
      <c r="I982" s="14"/>
      <c r="J982" s="14"/>
      <c r="K982" s="14"/>
      <c r="L982" s="135"/>
      <c r="M982" s="14"/>
      <c r="N982" s="14"/>
      <c r="O982" s="14"/>
    </row>
    <row r="983" spans="4:15" ht="14.25" customHeight="1" x14ac:dyDescent="0.25">
      <c r="D983" s="31"/>
      <c r="E983" s="14"/>
      <c r="F983" s="14"/>
      <c r="G983" s="14"/>
      <c r="H983" s="14"/>
      <c r="I983" s="14"/>
      <c r="J983" s="14"/>
      <c r="K983" s="14"/>
      <c r="L983" s="135"/>
      <c r="M983" s="14"/>
      <c r="N983" s="14"/>
      <c r="O983" s="14"/>
    </row>
    <row r="984" spans="4:15" ht="14.25" customHeight="1" x14ac:dyDescent="0.25">
      <c r="D984" s="31"/>
      <c r="E984" s="14"/>
      <c r="F984" s="14"/>
      <c r="G984" s="14"/>
      <c r="H984" s="14"/>
      <c r="I984" s="14"/>
      <c r="J984" s="14"/>
      <c r="K984" s="14"/>
      <c r="L984" s="135"/>
      <c r="M984" s="14"/>
      <c r="N984" s="14"/>
      <c r="O984" s="14"/>
    </row>
    <row r="985" spans="4:15" ht="14.25" customHeight="1" x14ac:dyDescent="0.25">
      <c r="D985" s="31"/>
      <c r="E985" s="14"/>
      <c r="F985" s="14"/>
      <c r="G985" s="14"/>
      <c r="H985" s="14"/>
      <c r="I985" s="14"/>
      <c r="J985" s="14"/>
      <c r="K985" s="14"/>
      <c r="L985" s="135"/>
      <c r="M985" s="14"/>
      <c r="N985" s="14"/>
      <c r="O985" s="14"/>
    </row>
    <row r="986" spans="4:15" ht="14.25" customHeight="1" x14ac:dyDescent="0.25">
      <c r="D986" s="31"/>
      <c r="E986" s="14"/>
      <c r="F986" s="14"/>
      <c r="G986" s="14"/>
      <c r="H986" s="14"/>
      <c r="I986" s="14"/>
      <c r="J986" s="14"/>
      <c r="K986" s="14"/>
      <c r="L986" s="135"/>
      <c r="M986" s="14"/>
      <c r="N986" s="14"/>
      <c r="O986" s="14"/>
    </row>
    <row r="987" spans="4:15" ht="14.25" customHeight="1" x14ac:dyDescent="0.25">
      <c r="D987" s="31"/>
      <c r="E987" s="14"/>
      <c r="F987" s="14"/>
      <c r="G987" s="14"/>
      <c r="H987" s="14"/>
      <c r="I987" s="14"/>
      <c r="J987" s="14"/>
      <c r="K987" s="14"/>
      <c r="L987" s="135"/>
      <c r="M987" s="14"/>
      <c r="N987" s="14"/>
      <c r="O987" s="14"/>
    </row>
    <row r="988" spans="4:15" ht="14.25" customHeight="1" x14ac:dyDescent="0.25">
      <c r="D988" s="31"/>
      <c r="E988" s="14"/>
      <c r="F988" s="14"/>
      <c r="G988" s="14"/>
      <c r="H988" s="14"/>
      <c r="I988" s="14"/>
      <c r="J988" s="14"/>
      <c r="K988" s="14"/>
      <c r="L988" s="135"/>
      <c r="M988" s="14"/>
      <c r="N988" s="14"/>
      <c r="O988" s="14"/>
    </row>
    <row r="989" spans="4:15" ht="14.25" customHeight="1" x14ac:dyDescent="0.25">
      <c r="D989" s="31"/>
      <c r="E989" s="14"/>
      <c r="F989" s="14"/>
      <c r="G989" s="14"/>
      <c r="H989" s="14"/>
      <c r="I989" s="14"/>
      <c r="J989" s="14"/>
      <c r="K989" s="14"/>
      <c r="L989" s="135"/>
      <c r="M989" s="14"/>
      <c r="N989" s="14"/>
      <c r="O989" s="14"/>
    </row>
    <row r="990" spans="4:15" ht="14.25" customHeight="1" x14ac:dyDescent="0.25">
      <c r="D990" s="31"/>
      <c r="E990" s="14"/>
      <c r="F990" s="14"/>
      <c r="G990" s="14"/>
      <c r="H990" s="14"/>
      <c r="I990" s="14"/>
      <c r="J990" s="14"/>
      <c r="K990" s="14"/>
      <c r="L990" s="135"/>
      <c r="M990" s="14"/>
      <c r="N990" s="14"/>
      <c r="O990" s="14"/>
    </row>
    <row r="991" spans="4:15" ht="14.25" customHeight="1" x14ac:dyDescent="0.25">
      <c r="D991" s="31"/>
      <c r="E991" s="14"/>
      <c r="F991" s="14"/>
      <c r="G991" s="14"/>
      <c r="H991" s="14"/>
      <c r="I991" s="14"/>
      <c r="J991" s="14"/>
      <c r="K991" s="14"/>
      <c r="L991" s="135"/>
      <c r="M991" s="14"/>
      <c r="N991" s="14"/>
      <c r="O991" s="14"/>
    </row>
    <row r="992" spans="4:15" ht="14.25" customHeight="1" x14ac:dyDescent="0.25">
      <c r="D992" s="31"/>
      <c r="E992" s="14"/>
      <c r="F992" s="14"/>
      <c r="G992" s="14"/>
      <c r="H992" s="14"/>
      <c r="I992" s="14"/>
      <c r="J992" s="14"/>
      <c r="K992" s="14"/>
      <c r="L992" s="135"/>
      <c r="M992" s="14"/>
      <c r="N992" s="14"/>
      <c r="O992" s="14"/>
    </row>
    <row r="993" spans="4:15" ht="14.25" customHeight="1" x14ac:dyDescent="0.25">
      <c r="D993" s="31"/>
      <c r="E993" s="14"/>
      <c r="F993" s="14"/>
      <c r="G993" s="14"/>
      <c r="H993" s="14"/>
      <c r="I993" s="14"/>
      <c r="J993" s="14"/>
      <c r="K993" s="14"/>
      <c r="L993" s="135"/>
      <c r="M993" s="14"/>
      <c r="N993" s="14"/>
      <c r="O993" s="14"/>
    </row>
    <row r="994" spans="4:15" ht="14.25" customHeight="1" x14ac:dyDescent="0.25">
      <c r="D994" s="31"/>
      <c r="E994" s="14"/>
      <c r="F994" s="14"/>
      <c r="G994" s="14"/>
      <c r="H994" s="14"/>
      <c r="I994" s="14"/>
      <c r="J994" s="14"/>
      <c r="K994" s="14"/>
      <c r="L994" s="135"/>
      <c r="M994" s="14"/>
      <c r="N994" s="14"/>
      <c r="O994" s="14"/>
    </row>
    <row r="995" spans="4:15" ht="14.25" customHeight="1" x14ac:dyDescent="0.25">
      <c r="D995" s="31"/>
      <c r="E995" s="14"/>
      <c r="F995" s="14"/>
      <c r="G995" s="14"/>
      <c r="H995" s="14"/>
      <c r="I995" s="14"/>
      <c r="J995" s="14"/>
      <c r="K995" s="14"/>
      <c r="L995" s="135"/>
      <c r="M995" s="14"/>
      <c r="N995" s="14"/>
      <c r="O995" s="14"/>
    </row>
    <row r="996" spans="4:15" ht="14.25" customHeight="1" x14ac:dyDescent="0.25">
      <c r="D996" s="31"/>
      <c r="E996" s="14"/>
      <c r="F996" s="14"/>
      <c r="G996" s="14"/>
      <c r="H996" s="14"/>
      <c r="I996" s="14"/>
      <c r="J996" s="14"/>
      <c r="K996" s="14"/>
      <c r="L996" s="135"/>
      <c r="M996" s="14"/>
      <c r="N996" s="14"/>
      <c r="O996" s="14"/>
    </row>
    <row r="997" spans="4:15" ht="14.25" customHeight="1" x14ac:dyDescent="0.25">
      <c r="D997" s="31"/>
      <c r="E997" s="14"/>
      <c r="F997" s="14"/>
      <c r="G997" s="14"/>
      <c r="H997" s="14"/>
      <c r="I997" s="14"/>
      <c r="J997" s="14"/>
      <c r="K997" s="14"/>
      <c r="L997" s="135"/>
      <c r="M997" s="14"/>
      <c r="N997" s="14"/>
      <c r="O997" s="14"/>
    </row>
    <row r="998" spans="4:15" ht="14.25" customHeight="1" x14ac:dyDescent="0.25">
      <c r="D998" s="31"/>
      <c r="E998" s="14"/>
      <c r="F998" s="14"/>
      <c r="G998" s="14"/>
      <c r="H998" s="14"/>
      <c r="I998" s="14"/>
      <c r="J998" s="14"/>
      <c r="K998" s="14"/>
      <c r="L998" s="135"/>
      <c r="M998" s="14"/>
      <c r="N998" s="14"/>
      <c r="O998" s="14"/>
    </row>
    <row r="999" spans="4:15" ht="14.25" customHeight="1" x14ac:dyDescent="0.25">
      <c r="D999" s="31"/>
      <c r="E999" s="14"/>
      <c r="F999" s="14"/>
      <c r="G999" s="14"/>
      <c r="H999" s="14"/>
      <c r="I999" s="14"/>
      <c r="J999" s="14"/>
      <c r="K999" s="14"/>
      <c r="L999" s="135"/>
      <c r="M999" s="14"/>
      <c r="N999" s="14"/>
      <c r="O999" s="14"/>
    </row>
    <row r="1000" spans="4:15" ht="14.25" customHeight="1" x14ac:dyDescent="0.25">
      <c r="D1000" s="31"/>
      <c r="E1000" s="14"/>
      <c r="F1000" s="14"/>
      <c r="G1000" s="14"/>
      <c r="H1000" s="14"/>
      <c r="I1000" s="14"/>
      <c r="J1000" s="14"/>
      <c r="K1000" s="14"/>
      <c r="L1000" s="135"/>
      <c r="M1000" s="14"/>
      <c r="N1000" s="14"/>
      <c r="O1000" s="14"/>
    </row>
    <row r="1001" spans="4:15" ht="14.25" customHeight="1" x14ac:dyDescent="0.25">
      <c r="D1001" s="31"/>
      <c r="E1001" s="14"/>
      <c r="F1001" s="14"/>
      <c r="G1001" s="14"/>
      <c r="H1001" s="14"/>
      <c r="I1001" s="14"/>
      <c r="J1001" s="14"/>
      <c r="K1001" s="14"/>
      <c r="L1001" s="135"/>
      <c r="M1001" s="14"/>
      <c r="N1001" s="14"/>
      <c r="O1001" s="14"/>
    </row>
    <row r="1002" spans="4:15" ht="14.25" customHeight="1" x14ac:dyDescent="0.25">
      <c r="D1002" s="31"/>
      <c r="E1002" s="14"/>
      <c r="F1002" s="14"/>
      <c r="G1002" s="14"/>
      <c r="H1002" s="14"/>
      <c r="I1002" s="14"/>
      <c r="J1002" s="14"/>
      <c r="K1002" s="14"/>
      <c r="L1002" s="135"/>
      <c r="M1002" s="14"/>
      <c r="N1002" s="14"/>
      <c r="O1002" s="14"/>
    </row>
    <row r="1003" spans="4:15" ht="14.25" customHeight="1" x14ac:dyDescent="0.25">
      <c r="D1003" s="31"/>
      <c r="E1003" s="14"/>
      <c r="F1003" s="14"/>
      <c r="G1003" s="14"/>
      <c r="H1003" s="14"/>
      <c r="I1003" s="14"/>
      <c r="J1003" s="14"/>
      <c r="K1003" s="14"/>
      <c r="L1003" s="135"/>
      <c r="M1003" s="14"/>
      <c r="N1003" s="14"/>
      <c r="O1003" s="14"/>
    </row>
    <row r="1004" spans="4:15" ht="14.25" customHeight="1" x14ac:dyDescent="0.25">
      <c r="D1004" s="31"/>
      <c r="E1004" s="14"/>
      <c r="F1004" s="14"/>
      <c r="G1004" s="14"/>
      <c r="H1004" s="14"/>
      <c r="I1004" s="14"/>
      <c r="J1004" s="14"/>
      <c r="K1004" s="14"/>
      <c r="L1004" s="135"/>
      <c r="M1004" s="14"/>
      <c r="N1004" s="14"/>
      <c r="O1004" s="14"/>
    </row>
    <row r="1005" spans="4:15" ht="14.25" customHeight="1" x14ac:dyDescent="0.25">
      <c r="D1005" s="31"/>
      <c r="E1005" s="14"/>
      <c r="F1005" s="14"/>
      <c r="G1005" s="14"/>
      <c r="H1005" s="14"/>
      <c r="I1005" s="14"/>
      <c r="J1005" s="14"/>
      <c r="K1005" s="14"/>
      <c r="L1005" s="135"/>
      <c r="M1005" s="14"/>
      <c r="N1005" s="14"/>
      <c r="O1005" s="14"/>
    </row>
    <row r="1006" spans="4:15" ht="14.25" customHeight="1" x14ac:dyDescent="0.25">
      <c r="D1006" s="31"/>
      <c r="E1006" s="14"/>
      <c r="F1006" s="14"/>
      <c r="G1006" s="14"/>
      <c r="H1006" s="14"/>
      <c r="I1006" s="14"/>
      <c r="J1006" s="14"/>
      <c r="K1006" s="14"/>
      <c r="L1006" s="135"/>
      <c r="M1006" s="14"/>
      <c r="N1006" s="14"/>
      <c r="O1006" s="14"/>
    </row>
    <row r="1007" spans="4:15" ht="14.25" customHeight="1" x14ac:dyDescent="0.25">
      <c r="D1007" s="31"/>
      <c r="E1007" s="14"/>
      <c r="F1007" s="14"/>
      <c r="G1007" s="14"/>
      <c r="H1007" s="14"/>
      <c r="I1007" s="14"/>
      <c r="J1007" s="14"/>
      <c r="K1007" s="14"/>
      <c r="L1007" s="135"/>
      <c r="M1007" s="14"/>
      <c r="N1007" s="14"/>
      <c r="O1007" s="14"/>
    </row>
    <row r="1008" spans="4:15" ht="14.25" customHeight="1" x14ac:dyDescent="0.25">
      <c r="D1008" s="31"/>
      <c r="E1008" s="14"/>
      <c r="F1008" s="14"/>
      <c r="G1008" s="14"/>
      <c r="H1008" s="14"/>
      <c r="I1008" s="14"/>
      <c r="J1008" s="14"/>
      <c r="K1008" s="14"/>
      <c r="L1008" s="135"/>
      <c r="M1008" s="14"/>
      <c r="N1008" s="14"/>
      <c r="O1008" s="14"/>
    </row>
    <row r="1009" spans="4:15" ht="14.25" customHeight="1" x14ac:dyDescent="0.25">
      <c r="D1009" s="31"/>
      <c r="E1009" s="14"/>
      <c r="F1009" s="14"/>
      <c r="G1009" s="14"/>
      <c r="H1009" s="14"/>
      <c r="I1009" s="14"/>
      <c r="J1009" s="14"/>
      <c r="K1009" s="14"/>
      <c r="L1009" s="135"/>
      <c r="M1009" s="14"/>
      <c r="N1009" s="14"/>
      <c r="O1009" s="14"/>
    </row>
    <row r="1010" spans="4:15" ht="14.25" customHeight="1" x14ac:dyDescent="0.25">
      <c r="D1010" s="31"/>
      <c r="E1010" s="14"/>
      <c r="F1010" s="14"/>
      <c r="G1010" s="14"/>
      <c r="H1010" s="14"/>
      <c r="I1010" s="14"/>
      <c r="J1010" s="14"/>
      <c r="K1010" s="14"/>
      <c r="L1010" s="135"/>
      <c r="M1010" s="14"/>
      <c r="N1010" s="14"/>
      <c r="O1010" s="14"/>
    </row>
    <row r="1011" spans="4:15" ht="14.25" customHeight="1" x14ac:dyDescent="0.25">
      <c r="D1011" s="31"/>
      <c r="E1011" s="14"/>
      <c r="F1011" s="14"/>
      <c r="G1011" s="14"/>
      <c r="H1011" s="14"/>
      <c r="I1011" s="14"/>
      <c r="J1011" s="14"/>
      <c r="K1011" s="14"/>
      <c r="L1011" s="135"/>
      <c r="M1011" s="14"/>
      <c r="N1011" s="14"/>
      <c r="O1011" s="14"/>
    </row>
    <row r="1012" spans="4:15" ht="14.25" customHeight="1" x14ac:dyDescent="0.25">
      <c r="D1012" s="31"/>
      <c r="E1012" s="14"/>
      <c r="F1012" s="14"/>
      <c r="G1012" s="14"/>
      <c r="H1012" s="14"/>
      <c r="I1012" s="14"/>
      <c r="J1012" s="14"/>
      <c r="K1012" s="14"/>
      <c r="L1012" s="135"/>
      <c r="M1012" s="14"/>
      <c r="N1012" s="14"/>
      <c r="O1012" s="14"/>
    </row>
    <row r="1013" spans="4:15" ht="14.25" customHeight="1" x14ac:dyDescent="0.25">
      <c r="D1013" s="31"/>
      <c r="E1013" s="14"/>
      <c r="F1013" s="14"/>
      <c r="G1013" s="14"/>
      <c r="H1013" s="14"/>
      <c r="I1013" s="14"/>
      <c r="J1013" s="14"/>
      <c r="K1013" s="14"/>
      <c r="L1013" s="135"/>
      <c r="M1013" s="14"/>
      <c r="N1013" s="14"/>
      <c r="O1013" s="14"/>
    </row>
    <row r="1014" spans="4:15" ht="14.25" customHeight="1" x14ac:dyDescent="0.25">
      <c r="D1014" s="31"/>
      <c r="E1014" s="14"/>
      <c r="F1014" s="14"/>
      <c r="G1014" s="14"/>
      <c r="H1014" s="14"/>
      <c r="I1014" s="14"/>
      <c r="J1014" s="14"/>
      <c r="K1014" s="14"/>
      <c r="L1014" s="135"/>
      <c r="M1014" s="14"/>
      <c r="N1014" s="14"/>
      <c r="O1014" s="14"/>
    </row>
    <row r="1015" spans="4:15" ht="14.25" customHeight="1" x14ac:dyDescent="0.25">
      <c r="D1015" s="31"/>
      <c r="E1015" s="14"/>
      <c r="F1015" s="14"/>
      <c r="G1015" s="14"/>
      <c r="H1015" s="14"/>
      <c r="I1015" s="14"/>
      <c r="J1015" s="14"/>
      <c r="K1015" s="14"/>
      <c r="L1015" s="135"/>
      <c r="M1015" s="14"/>
      <c r="N1015" s="14"/>
      <c r="O1015" s="14"/>
    </row>
    <row r="1016" spans="4:15" ht="14.25" customHeight="1" x14ac:dyDescent="0.25">
      <c r="D1016" s="31"/>
      <c r="E1016" s="14"/>
      <c r="F1016" s="14"/>
      <c r="G1016" s="14"/>
      <c r="H1016" s="14"/>
      <c r="I1016" s="14"/>
      <c r="J1016" s="14"/>
      <c r="K1016" s="14"/>
      <c r="L1016" s="135"/>
      <c r="M1016" s="14"/>
      <c r="N1016" s="14"/>
      <c r="O1016" s="14"/>
    </row>
    <row r="1017" spans="4:15" ht="14.25" customHeight="1" x14ac:dyDescent="0.25">
      <c r="D1017" s="31"/>
      <c r="E1017" s="14"/>
      <c r="F1017" s="14"/>
      <c r="G1017" s="14"/>
      <c r="H1017" s="14"/>
      <c r="I1017" s="14"/>
      <c r="J1017" s="14"/>
      <c r="K1017" s="14"/>
      <c r="L1017" s="135"/>
      <c r="M1017" s="14"/>
      <c r="N1017" s="14"/>
      <c r="O1017" s="14"/>
    </row>
    <row r="1018" spans="4:15" ht="14.25" customHeight="1" x14ac:dyDescent="0.25">
      <c r="D1018" s="31"/>
      <c r="E1018" s="14"/>
      <c r="F1018" s="14"/>
      <c r="G1018" s="14"/>
      <c r="H1018" s="14"/>
      <c r="I1018" s="14"/>
      <c r="J1018" s="14"/>
      <c r="K1018" s="14"/>
      <c r="L1018" s="135"/>
      <c r="M1018" s="14"/>
      <c r="N1018" s="14"/>
      <c r="O1018" s="14"/>
    </row>
    <row r="1019" spans="4:15" ht="14.25" customHeight="1" x14ac:dyDescent="0.25">
      <c r="D1019" s="31"/>
      <c r="E1019" s="14"/>
      <c r="F1019" s="14"/>
      <c r="G1019" s="14"/>
      <c r="H1019" s="14"/>
      <c r="I1019" s="14"/>
      <c r="J1019" s="14"/>
      <c r="K1019" s="14"/>
      <c r="L1019" s="135"/>
      <c r="M1019" s="14"/>
      <c r="N1019" s="14"/>
      <c r="O1019" s="14"/>
    </row>
    <row r="1020" spans="4:15" ht="14.25" customHeight="1" x14ac:dyDescent="0.25">
      <c r="D1020" s="31"/>
      <c r="E1020" s="14"/>
      <c r="F1020" s="14"/>
      <c r="G1020" s="14"/>
      <c r="H1020" s="14"/>
      <c r="I1020" s="14"/>
      <c r="J1020" s="14"/>
      <c r="K1020" s="14"/>
      <c r="L1020" s="135"/>
      <c r="M1020" s="14"/>
      <c r="N1020" s="14"/>
      <c r="O1020" s="14"/>
    </row>
    <row r="1021" spans="4:15" ht="14.25" customHeight="1" x14ac:dyDescent="0.25">
      <c r="D1021" s="31"/>
      <c r="E1021" s="14"/>
      <c r="F1021" s="14"/>
      <c r="G1021" s="14"/>
      <c r="H1021" s="14"/>
      <c r="I1021" s="14"/>
      <c r="J1021" s="14"/>
      <c r="K1021" s="14"/>
      <c r="L1021" s="135"/>
      <c r="M1021" s="14"/>
      <c r="N1021" s="14"/>
      <c r="O1021" s="14"/>
    </row>
    <row r="1022" spans="4:15" ht="14.25" customHeight="1" x14ac:dyDescent="0.25">
      <c r="D1022" s="31"/>
      <c r="E1022" s="14"/>
      <c r="F1022" s="14"/>
      <c r="G1022" s="14"/>
      <c r="H1022" s="14"/>
      <c r="I1022" s="14"/>
      <c r="J1022" s="14"/>
      <c r="K1022" s="14"/>
      <c r="L1022" s="135"/>
      <c r="M1022" s="14"/>
      <c r="N1022" s="14"/>
      <c r="O1022" s="14"/>
    </row>
    <row r="1023" spans="4:15" ht="14.25" customHeight="1" x14ac:dyDescent="0.25">
      <c r="D1023" s="31"/>
      <c r="E1023" s="14"/>
      <c r="F1023" s="14"/>
      <c r="G1023" s="14"/>
      <c r="H1023" s="14"/>
      <c r="I1023" s="14"/>
      <c r="J1023" s="14"/>
      <c r="K1023" s="14"/>
      <c r="L1023" s="135"/>
      <c r="M1023" s="14"/>
      <c r="N1023" s="14"/>
      <c r="O1023" s="14"/>
    </row>
    <row r="1024" spans="4:15" ht="14.25" customHeight="1" x14ac:dyDescent="0.25">
      <c r="D1024" s="31"/>
      <c r="E1024" s="14"/>
      <c r="F1024" s="14"/>
      <c r="G1024" s="14"/>
      <c r="H1024" s="14"/>
      <c r="I1024" s="14"/>
      <c r="J1024" s="14"/>
      <c r="K1024" s="14"/>
      <c r="L1024" s="135"/>
      <c r="M1024" s="14"/>
      <c r="N1024" s="14"/>
      <c r="O1024" s="14"/>
    </row>
    <row r="1025" spans="4:15" ht="14.25" customHeight="1" x14ac:dyDescent="0.25">
      <c r="D1025" s="31"/>
      <c r="E1025" s="14"/>
      <c r="F1025" s="14"/>
      <c r="G1025" s="14"/>
      <c r="H1025" s="14"/>
      <c r="I1025" s="14"/>
      <c r="J1025" s="14"/>
      <c r="K1025" s="14"/>
      <c r="L1025" s="135"/>
      <c r="M1025" s="14"/>
      <c r="N1025" s="14"/>
      <c r="O1025" s="14"/>
    </row>
    <row r="1026" spans="4:15" ht="14.25" customHeight="1" x14ac:dyDescent="0.25">
      <c r="D1026" s="31"/>
      <c r="E1026" s="14"/>
      <c r="F1026" s="14"/>
      <c r="G1026" s="14"/>
      <c r="H1026" s="14"/>
      <c r="I1026" s="14"/>
      <c r="J1026" s="14"/>
      <c r="K1026" s="14"/>
      <c r="L1026" s="135"/>
      <c r="M1026" s="14"/>
      <c r="N1026" s="14"/>
      <c r="O1026" s="14"/>
    </row>
    <row r="1027" spans="4:15" ht="14.25" customHeight="1" x14ac:dyDescent="0.25">
      <c r="D1027" s="31"/>
      <c r="E1027" s="14"/>
      <c r="F1027" s="14"/>
      <c r="G1027" s="14"/>
      <c r="H1027" s="14"/>
      <c r="I1027" s="14"/>
      <c r="J1027" s="14"/>
      <c r="K1027" s="14"/>
      <c r="L1027" s="135"/>
      <c r="M1027" s="14"/>
      <c r="N1027" s="14"/>
      <c r="O1027" s="14"/>
    </row>
    <row r="1028" spans="4:15" ht="14.25" customHeight="1" x14ac:dyDescent="0.25">
      <c r="D1028" s="31"/>
      <c r="E1028" s="14"/>
      <c r="F1028" s="14"/>
      <c r="G1028" s="14"/>
      <c r="H1028" s="14"/>
      <c r="I1028" s="14"/>
      <c r="J1028" s="14"/>
      <c r="K1028" s="14"/>
      <c r="L1028" s="135"/>
      <c r="M1028" s="14"/>
      <c r="N1028" s="14"/>
      <c r="O1028" s="14"/>
    </row>
    <row r="1029" spans="4:15" ht="14.25" customHeight="1" x14ac:dyDescent="0.25">
      <c r="D1029" s="31"/>
      <c r="E1029" s="14"/>
      <c r="F1029" s="14"/>
      <c r="G1029" s="14"/>
      <c r="H1029" s="14"/>
      <c r="I1029" s="14"/>
      <c r="J1029" s="14"/>
      <c r="K1029" s="14"/>
      <c r="L1029" s="135"/>
      <c r="M1029" s="14"/>
      <c r="N1029" s="14"/>
      <c r="O1029" s="14"/>
    </row>
    <row r="1030" spans="4:15" ht="14.25" customHeight="1" x14ac:dyDescent="0.25">
      <c r="D1030" s="31"/>
      <c r="E1030" s="14"/>
      <c r="F1030" s="14"/>
      <c r="G1030" s="14"/>
      <c r="H1030" s="14"/>
      <c r="I1030" s="14"/>
      <c r="J1030" s="14"/>
      <c r="K1030" s="14"/>
      <c r="L1030" s="135"/>
      <c r="M1030" s="14"/>
      <c r="N1030" s="14"/>
      <c r="O1030" s="14"/>
    </row>
    <row r="1031" spans="4:15" ht="14.25" customHeight="1" x14ac:dyDescent="0.25">
      <c r="D1031" s="31"/>
      <c r="E1031" s="14"/>
      <c r="F1031" s="14"/>
      <c r="G1031" s="14"/>
      <c r="H1031" s="14"/>
      <c r="I1031" s="14"/>
      <c r="J1031" s="14"/>
      <c r="K1031" s="14"/>
      <c r="L1031" s="135"/>
      <c r="M1031" s="14"/>
      <c r="N1031" s="14"/>
      <c r="O1031" s="14"/>
    </row>
    <row r="1032" spans="4:15" ht="14.25" customHeight="1" x14ac:dyDescent="0.25">
      <c r="D1032" s="31"/>
      <c r="E1032" s="14"/>
      <c r="F1032" s="14"/>
      <c r="G1032" s="14"/>
      <c r="H1032" s="14"/>
      <c r="I1032" s="14"/>
      <c r="J1032" s="14"/>
      <c r="K1032" s="14"/>
      <c r="L1032" s="135"/>
      <c r="M1032" s="14"/>
      <c r="N1032" s="14"/>
      <c r="O1032" s="14"/>
    </row>
    <row r="1033" spans="4:15" ht="14.25" customHeight="1" x14ac:dyDescent="0.25">
      <c r="D1033" s="31"/>
      <c r="E1033" s="14"/>
      <c r="F1033" s="14"/>
      <c r="G1033" s="14"/>
      <c r="H1033" s="14"/>
      <c r="I1033" s="14"/>
      <c r="J1033" s="14"/>
      <c r="K1033" s="14"/>
      <c r="L1033" s="135"/>
      <c r="M1033" s="14"/>
      <c r="N1033" s="14"/>
      <c r="O1033" s="14"/>
    </row>
    <row r="1034" spans="4:15" ht="14.25" customHeight="1" x14ac:dyDescent="0.25">
      <c r="D1034" s="31"/>
      <c r="E1034" s="14"/>
      <c r="F1034" s="14"/>
      <c r="G1034" s="14"/>
      <c r="H1034" s="14"/>
      <c r="I1034" s="14"/>
      <c r="J1034" s="14"/>
      <c r="K1034" s="14"/>
      <c r="L1034" s="135"/>
      <c r="M1034" s="14"/>
      <c r="N1034" s="14"/>
      <c r="O1034" s="14"/>
    </row>
    <row r="1035" spans="4:15" ht="14.25" customHeight="1" x14ac:dyDescent="0.25">
      <c r="D1035" s="31"/>
      <c r="E1035" s="14"/>
      <c r="F1035" s="14"/>
      <c r="G1035" s="14"/>
      <c r="H1035" s="14"/>
      <c r="I1035" s="14"/>
      <c r="J1035" s="14"/>
      <c r="K1035" s="14"/>
      <c r="L1035" s="135"/>
      <c r="M1035" s="14"/>
      <c r="N1035" s="14"/>
      <c r="O1035" s="14"/>
    </row>
    <row r="1036" spans="4:15" ht="14.25" customHeight="1" x14ac:dyDescent="0.25">
      <c r="D1036" s="31"/>
      <c r="E1036" s="14"/>
      <c r="F1036" s="14"/>
      <c r="G1036" s="14"/>
      <c r="H1036" s="14"/>
      <c r="I1036" s="14"/>
      <c r="J1036" s="14"/>
      <c r="K1036" s="14"/>
      <c r="L1036" s="135"/>
      <c r="M1036" s="14"/>
      <c r="N1036" s="14"/>
      <c r="O1036" s="14"/>
    </row>
    <row r="1037" spans="4:15" ht="14.25" customHeight="1" x14ac:dyDescent="0.25">
      <c r="D1037" s="31"/>
      <c r="E1037" s="14"/>
      <c r="F1037" s="14"/>
      <c r="G1037" s="14"/>
      <c r="H1037" s="14"/>
      <c r="I1037" s="14"/>
      <c r="J1037" s="14"/>
      <c r="K1037" s="14"/>
      <c r="L1037" s="135"/>
      <c r="M1037" s="14"/>
      <c r="N1037" s="14"/>
      <c r="O1037" s="14"/>
    </row>
    <row r="1038" spans="4:15" ht="14.25" customHeight="1" x14ac:dyDescent="0.25">
      <c r="D1038" s="31"/>
      <c r="E1038" s="14"/>
      <c r="F1038" s="14"/>
      <c r="G1038" s="14"/>
      <c r="H1038" s="14"/>
      <c r="I1038" s="14"/>
      <c r="J1038" s="14"/>
      <c r="K1038" s="14"/>
      <c r="L1038" s="135"/>
      <c r="M1038" s="14"/>
      <c r="N1038" s="14"/>
      <c r="O1038" s="14"/>
    </row>
    <row r="1039" spans="4:15" ht="14.25" customHeight="1" x14ac:dyDescent="0.25">
      <c r="D1039" s="31"/>
      <c r="E1039" s="14"/>
      <c r="F1039" s="14"/>
      <c r="G1039" s="14"/>
      <c r="H1039" s="14"/>
      <c r="I1039" s="14"/>
      <c r="J1039" s="14"/>
      <c r="K1039" s="14"/>
      <c r="L1039" s="135"/>
      <c r="M1039" s="14"/>
      <c r="N1039" s="14"/>
      <c r="O1039" s="14"/>
    </row>
    <row r="1040" spans="4:15" ht="14.25" customHeight="1" x14ac:dyDescent="0.25">
      <c r="D1040" s="31"/>
      <c r="E1040" s="14"/>
      <c r="F1040" s="14"/>
      <c r="G1040" s="14"/>
      <c r="H1040" s="14"/>
      <c r="I1040" s="14"/>
      <c r="J1040" s="14"/>
      <c r="K1040" s="14"/>
      <c r="L1040" s="135"/>
      <c r="M1040" s="14"/>
      <c r="N1040" s="14"/>
      <c r="O1040" s="14"/>
    </row>
    <row r="1041" spans="4:15" ht="14.25" customHeight="1" x14ac:dyDescent="0.25">
      <c r="D1041" s="31"/>
      <c r="E1041" s="14"/>
      <c r="F1041" s="14"/>
      <c r="G1041" s="14"/>
      <c r="H1041" s="14"/>
      <c r="I1041" s="14"/>
      <c r="J1041" s="14"/>
      <c r="K1041" s="14"/>
      <c r="L1041" s="135"/>
      <c r="M1041" s="14"/>
      <c r="N1041" s="14"/>
      <c r="O1041" s="14"/>
    </row>
    <row r="1042" spans="4:15" ht="14.25" customHeight="1" x14ac:dyDescent="0.25">
      <c r="D1042" s="31"/>
      <c r="E1042" s="14"/>
      <c r="F1042" s="14"/>
      <c r="G1042" s="14"/>
      <c r="H1042" s="14"/>
      <c r="I1042" s="14"/>
      <c r="J1042" s="14"/>
      <c r="K1042" s="14"/>
      <c r="L1042" s="135"/>
      <c r="M1042" s="14"/>
      <c r="N1042" s="14"/>
      <c r="O1042" s="14"/>
    </row>
  </sheetData>
  <autoFilter ref="B10:T217" xr:uid="{00000000-0001-0000-0500-000000000000}">
    <filterColumn colId="12">
      <customFilters>
        <customFilter operator="notEqual" val=" "/>
      </customFilters>
    </filterColumn>
    <sortState xmlns:xlrd2="http://schemas.microsoft.com/office/spreadsheetml/2017/richdata2" ref="B11:T176">
      <sortCondition ref="B11:B176"/>
    </sortState>
  </autoFilter>
  <mergeCells count="5">
    <mergeCell ref="I9:K9"/>
    <mergeCell ref="B1:H2"/>
    <mergeCell ref="B3:B5"/>
    <mergeCell ref="H3:H9"/>
    <mergeCell ref="P9:T9"/>
  </mergeCells>
  <conditionalFormatting sqref="I187:I190">
    <cfRule type="cellIs" dxfId="10" priority="4" operator="equal">
      <formula>"Baixa"</formula>
    </cfRule>
    <cfRule type="cellIs" dxfId="9" priority="5" operator="equal">
      <formula>"Média"</formula>
    </cfRule>
    <cfRule type="cellIs" dxfId="8" priority="6" operator="equal">
      <formula>"Alta"</formula>
    </cfRule>
  </conditionalFormatting>
  <conditionalFormatting sqref="I195:I198">
    <cfRule type="cellIs" dxfId="7" priority="1" operator="equal">
      <formula>"Baixa"</formula>
    </cfRule>
    <cfRule type="cellIs" dxfId="6" priority="2" operator="equal">
      <formula>"Média"</formula>
    </cfRule>
    <cfRule type="cellIs" dxfId="5" priority="3" operator="equal">
      <formula>"Alta"</formula>
    </cfRule>
  </conditionalFormatting>
  <conditionalFormatting sqref="M1:N1048576">
    <cfRule type="cellIs" dxfId="4" priority="7" operator="equal">
      <formula>"Baixa"</formula>
    </cfRule>
    <cfRule type="cellIs" dxfId="3" priority="8" operator="equal">
      <formula>"Média"</formula>
    </cfRule>
    <cfRule type="cellIs" dxfId="2" priority="9" operator="equal">
      <formula>"Alta"</formula>
    </cfRule>
  </conditionalFormatting>
  <dataValidations count="1">
    <dataValidation type="list" allowBlank="1" showInputMessage="1" showErrorMessage="1" sqref="C7" xr:uid="{076B7ECE-64CA-412E-83D9-F0492B25C559}">
      <formula1>$O$10:$R$10</formula1>
    </dataValidation>
  </dataValidations>
  <pageMargins left="0.511811024" right="0.511811024" top="0.78740157499999996" bottom="0.78740157499999996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0000000}">
          <x14:formula1>
            <xm:f>Listas!$B$7:$B$11</xm:f>
          </x14:formula1>
          <xm:sqref>D224:D1042</xm:sqref>
        </x14:dataValidation>
        <x14:dataValidation type="list" allowBlank="1" showErrorMessage="1" xr:uid="{00000000-0002-0000-0500-000001000000}">
          <x14:formula1>
            <xm:f>Listas!$B$6:$B$12</xm:f>
          </x14:formula1>
          <xm:sqref>D11:D223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4EE3-1E41-4C26-81A2-DF77E54C4A68}">
  <sheetPr>
    <tabColor rgb="FF00B050"/>
  </sheetPr>
  <dimension ref="B1:AL872"/>
  <sheetViews>
    <sheetView topLeftCell="A134" zoomScaleNormal="100" workbookViewId="0">
      <pane xSplit="5" topLeftCell="S1" activePane="topRight" state="frozen"/>
      <selection pane="topRight" activeCell="U157" sqref="U157"/>
    </sheetView>
  </sheetViews>
  <sheetFormatPr defaultColWidth="14.42578125" defaultRowHeight="15" customHeight="1" outlineLevelRow="1" x14ac:dyDescent="0.25"/>
  <cols>
    <col min="1" max="1" width="2.5703125" customWidth="1"/>
    <col min="2" max="2" width="43.85546875" customWidth="1"/>
    <col min="3" max="3" width="7.42578125" customWidth="1"/>
    <col min="4" max="4" width="6.7109375" style="102" customWidth="1"/>
    <col min="5" max="5" width="6.85546875" customWidth="1"/>
    <col min="6" max="6" width="18.7109375" customWidth="1"/>
    <col min="7" max="11" width="16.7109375" customWidth="1"/>
    <col min="12" max="12" width="12.42578125" bestFit="1" customWidth="1"/>
    <col min="13" max="13" width="16.7109375" customWidth="1"/>
    <col min="14" max="14" width="14.7109375" customWidth="1"/>
    <col min="15" max="15" width="14.28515625" bestFit="1" customWidth="1"/>
    <col min="16" max="16" width="16" customWidth="1"/>
    <col min="17" max="17" width="16.28515625" customWidth="1"/>
    <col min="18" max="19" width="14" customWidth="1"/>
    <col min="20" max="20" width="17.140625" customWidth="1"/>
    <col min="21" max="21" width="12" customWidth="1"/>
    <col min="22" max="23" width="12.85546875" customWidth="1"/>
    <col min="24" max="24" width="13" customWidth="1"/>
    <col min="25" max="27" width="12.85546875" customWidth="1"/>
    <col min="28" max="28" width="22.42578125" bestFit="1" customWidth="1"/>
    <col min="29" max="29" width="24" bestFit="1" customWidth="1"/>
    <col min="30" max="31" width="14.5703125" customWidth="1"/>
    <col min="32" max="33" width="14.85546875" customWidth="1"/>
    <col min="34" max="34" width="18.28515625" customWidth="1"/>
    <col min="35" max="35" width="14.42578125" customWidth="1"/>
    <col min="36" max="36" width="14.140625" customWidth="1"/>
    <col min="37" max="37" width="10.7109375" customWidth="1"/>
    <col min="38" max="38" width="14.28515625" bestFit="1" customWidth="1"/>
  </cols>
  <sheetData>
    <row r="1" spans="2:38" ht="14.25" customHeight="1" x14ac:dyDescent="0.25">
      <c r="C1" s="12"/>
      <c r="D1" s="100"/>
      <c r="E1" s="13"/>
      <c r="G1" s="14"/>
      <c r="H1" s="14"/>
      <c r="I1" s="14"/>
      <c r="J1" s="15"/>
      <c r="K1" s="15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2:38" ht="14.25" customHeight="1" outlineLevel="1" x14ac:dyDescent="0.45">
      <c r="B2" s="16"/>
      <c r="C2" s="17"/>
      <c r="D2" s="99"/>
      <c r="E2" s="262" t="s">
        <v>15</v>
      </c>
      <c r="F2" s="19" t="s">
        <v>16</v>
      </c>
      <c r="G2" s="20">
        <v>176</v>
      </c>
      <c r="H2" s="20"/>
      <c r="I2" s="19" t="s">
        <v>17</v>
      </c>
      <c r="J2" s="19">
        <f>SUBTOTAL(9,J9:J50012)</f>
        <v>2773439.8422222231</v>
      </c>
      <c r="L2" s="19" t="s">
        <v>18</v>
      </c>
      <c r="M2" s="21">
        <v>0.08</v>
      </c>
      <c r="N2" s="19" t="s">
        <v>19</v>
      </c>
      <c r="O2" s="22">
        <f>COUNTIF(E9:E5012, "Sim")</f>
        <v>151</v>
      </c>
      <c r="P2" s="19" t="s">
        <v>20</v>
      </c>
      <c r="Q2" s="23">
        <v>600</v>
      </c>
      <c r="R2" s="19" t="s">
        <v>204</v>
      </c>
      <c r="S2" s="21">
        <v>0.27500000000000002</v>
      </c>
      <c r="T2" s="25"/>
      <c r="U2" s="25"/>
      <c r="V2" s="18"/>
      <c r="W2" s="189" t="s">
        <v>209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26"/>
      <c r="AL2" s="140"/>
    </row>
    <row r="3" spans="2:38" ht="14.25" customHeight="1" outlineLevel="1" x14ac:dyDescent="0.45">
      <c r="B3" s="27"/>
      <c r="C3" s="106" t="s">
        <v>119</v>
      </c>
      <c r="D3" s="105" t="s">
        <v>109</v>
      </c>
      <c r="E3" s="282"/>
      <c r="F3" s="19" t="s">
        <v>21</v>
      </c>
      <c r="G3" s="30">
        <v>0.03</v>
      </c>
      <c r="H3" s="30"/>
      <c r="I3" s="19" t="s">
        <v>22</v>
      </c>
      <c r="J3" s="19">
        <f>SUBTOTAL(9,T9:T50012)</f>
        <v>5284789.6193544464</v>
      </c>
      <c r="L3" s="19" t="s">
        <v>23</v>
      </c>
      <c r="M3" s="21">
        <v>0.4</v>
      </c>
      <c r="N3" s="19" t="s">
        <v>24</v>
      </c>
      <c r="O3" s="22">
        <f>COUNTIF(E9:E5012, "Não")</f>
        <v>0</v>
      </c>
      <c r="P3" s="19" t="s">
        <v>25</v>
      </c>
      <c r="Q3" s="23">
        <f>SUM(R9:R54)</f>
        <v>36444.547243333342</v>
      </c>
      <c r="R3" s="31"/>
      <c r="S3" s="31"/>
      <c r="T3" s="32"/>
      <c r="U3" s="32"/>
      <c r="V3" s="33"/>
      <c r="W3" s="186" t="s">
        <v>207</v>
      </c>
      <c r="X3" s="32"/>
      <c r="Y3" s="32"/>
      <c r="Z3" s="34"/>
      <c r="AA3" s="176"/>
      <c r="AB3" s="176"/>
      <c r="AC3" s="176"/>
      <c r="AD3" s="34"/>
      <c r="AE3" s="176"/>
      <c r="AF3" s="32"/>
      <c r="AG3" s="34"/>
      <c r="AH3" s="34"/>
      <c r="AI3" s="33"/>
      <c r="AJ3" s="32"/>
      <c r="AK3" s="35"/>
    </row>
    <row r="4" spans="2:38" ht="14.25" customHeight="1" outlineLevel="1" x14ac:dyDescent="0.45">
      <c r="B4" s="27"/>
      <c r="C4" s="107" t="s">
        <v>120</v>
      </c>
      <c r="D4" s="105" t="s">
        <v>74</v>
      </c>
      <c r="E4" s="282"/>
      <c r="F4" s="19" t="s">
        <v>26</v>
      </c>
      <c r="G4" s="30">
        <v>0.23</v>
      </c>
      <c r="H4" s="30"/>
      <c r="I4" s="19" t="s">
        <v>27</v>
      </c>
      <c r="J4" s="19">
        <f>SUBTOTAL(9,K9:K5012)+Q3</f>
        <v>4025386.0019170768</v>
      </c>
      <c r="L4" s="19" t="s">
        <v>28</v>
      </c>
      <c r="M4" s="21">
        <v>0.09</v>
      </c>
      <c r="N4" s="19" t="s">
        <v>29</v>
      </c>
      <c r="O4" s="37">
        <v>0</v>
      </c>
      <c r="P4" s="23" t="s">
        <v>95</v>
      </c>
      <c r="Q4" s="94">
        <f>SUM(D9:D5012)</f>
        <v>26576</v>
      </c>
      <c r="R4" s="95"/>
      <c r="S4" s="39"/>
      <c r="T4" s="32"/>
      <c r="U4" s="32"/>
      <c r="V4" s="40"/>
      <c r="W4" s="187" t="s">
        <v>206</v>
      </c>
      <c r="X4" s="32"/>
      <c r="Y4" s="32"/>
      <c r="Z4" s="40"/>
      <c r="AA4" s="177"/>
      <c r="AB4" s="177"/>
      <c r="AC4" s="177"/>
      <c r="AD4" s="40"/>
      <c r="AE4" s="177"/>
      <c r="AF4" s="32"/>
      <c r="AG4" s="40"/>
      <c r="AH4" s="40"/>
      <c r="AI4" s="33"/>
      <c r="AJ4" s="32"/>
      <c r="AK4" s="35"/>
    </row>
    <row r="5" spans="2:38" ht="14.25" customHeight="1" outlineLevel="1" x14ac:dyDescent="0.25">
      <c r="B5" s="41"/>
      <c r="C5" s="107" t="s">
        <v>121</v>
      </c>
      <c r="D5" s="108">
        <v>0</v>
      </c>
      <c r="E5" s="282"/>
      <c r="F5" s="19"/>
      <c r="G5" s="30">
        <v>0.85</v>
      </c>
      <c r="H5" s="30"/>
      <c r="I5" s="19" t="s">
        <v>30</v>
      </c>
      <c r="J5" s="19">
        <f>J3-J4</f>
        <v>1259403.6174373697</v>
      </c>
      <c r="L5" s="19" t="s">
        <v>31</v>
      </c>
      <c r="M5" s="42">
        <v>25</v>
      </c>
      <c r="N5" s="19" t="s">
        <v>32</v>
      </c>
      <c r="O5" s="19">
        <f>L12</f>
        <v>113.61332070707071</v>
      </c>
      <c r="P5" s="96" t="s">
        <v>96</v>
      </c>
      <c r="Q5" s="23">
        <f>J3/Q4</f>
        <v>198.85572017438466</v>
      </c>
      <c r="R5" s="97"/>
      <c r="S5" s="32"/>
      <c r="T5" s="32"/>
      <c r="U5" s="32"/>
      <c r="V5" s="40"/>
      <c r="W5" s="188" t="s">
        <v>208</v>
      </c>
      <c r="X5" s="32"/>
      <c r="Y5" s="32"/>
      <c r="Z5" s="40"/>
      <c r="AA5" s="177"/>
      <c r="AB5" s="177"/>
      <c r="AC5" s="177"/>
      <c r="AD5" s="40"/>
      <c r="AE5" s="177"/>
      <c r="AF5" s="32"/>
      <c r="AG5" s="40"/>
      <c r="AH5" s="40"/>
      <c r="AI5" s="33"/>
      <c r="AJ5" s="32"/>
      <c r="AK5" s="35"/>
    </row>
    <row r="6" spans="2:38" ht="14.25" customHeight="1" outlineLevel="1" x14ac:dyDescent="0.25">
      <c r="B6" s="43"/>
      <c r="C6" s="44"/>
      <c r="D6" s="101"/>
      <c r="E6" s="264"/>
      <c r="F6" s="19" t="s">
        <v>33</v>
      </c>
      <c r="G6" s="37">
        <v>0</v>
      </c>
      <c r="H6" s="37"/>
      <c r="I6" s="19" t="s">
        <v>34</v>
      </c>
      <c r="J6" s="37">
        <f>J5/J3</f>
        <v>0.23830723796933467</v>
      </c>
      <c r="L6" s="19" t="s">
        <v>35</v>
      </c>
      <c r="M6" s="19">
        <f>SUM(T9:T5012)/SUM(D9:D5012)</f>
        <v>198.85572017438466</v>
      </c>
      <c r="N6" s="19" t="s">
        <v>36</v>
      </c>
      <c r="O6" s="19">
        <f>SUMIF(E9:E5012,"Não",Q9:Q5012)</f>
        <v>0</v>
      </c>
      <c r="P6" s="98"/>
      <c r="Q6" s="98"/>
      <c r="R6" s="46"/>
      <c r="S6" s="46"/>
      <c r="T6" s="46"/>
      <c r="U6" s="46"/>
      <c r="V6" s="47"/>
      <c r="W6" s="190" t="s">
        <v>210</v>
      </c>
      <c r="X6" s="46"/>
      <c r="Y6" s="46"/>
      <c r="Z6" s="47"/>
      <c r="AA6" s="178"/>
      <c r="AB6" s="178"/>
      <c r="AC6" s="178"/>
      <c r="AD6" s="47"/>
      <c r="AE6" s="178"/>
      <c r="AF6" s="46"/>
      <c r="AG6" s="47"/>
      <c r="AH6" s="47"/>
      <c r="AI6" s="48"/>
      <c r="AJ6" s="46"/>
      <c r="AK6" s="49"/>
    </row>
    <row r="7" spans="2:38" ht="14.25" customHeight="1" x14ac:dyDescent="0.25">
      <c r="B7" s="147" t="s">
        <v>37</v>
      </c>
      <c r="C7" s="283" t="s">
        <v>38</v>
      </c>
      <c r="D7" s="284"/>
      <c r="E7" s="281"/>
      <c r="F7" s="280" t="s">
        <v>39</v>
      </c>
      <c r="G7" s="284"/>
      <c r="H7" s="284"/>
      <c r="I7" s="284"/>
      <c r="J7" s="284"/>
      <c r="K7" s="281"/>
      <c r="L7" s="148"/>
      <c r="M7" s="285" t="s">
        <v>40</v>
      </c>
      <c r="N7" s="284"/>
      <c r="O7" s="284"/>
      <c r="P7" s="284"/>
      <c r="Q7" s="284"/>
      <c r="R7" s="284"/>
      <c r="S7" s="284"/>
      <c r="T7" s="281"/>
      <c r="U7" s="148"/>
      <c r="V7" s="286" t="s">
        <v>41</v>
      </c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1"/>
      <c r="AI7" s="149" t="s">
        <v>42</v>
      </c>
      <c r="AJ7" s="280" t="s">
        <v>43</v>
      </c>
      <c r="AK7" s="281"/>
    </row>
    <row r="8" spans="2:38" ht="14.25" customHeight="1" x14ac:dyDescent="0.25">
      <c r="B8" s="173" t="s">
        <v>44</v>
      </c>
      <c r="C8" s="172" t="s">
        <v>45</v>
      </c>
      <c r="D8" s="156" t="s">
        <v>46</v>
      </c>
      <c r="E8" s="157" t="s">
        <v>47</v>
      </c>
      <c r="F8" s="169" t="s">
        <v>48</v>
      </c>
      <c r="G8" s="169" t="s">
        <v>49</v>
      </c>
      <c r="H8" s="169" t="s">
        <v>346</v>
      </c>
      <c r="I8" s="158" t="s">
        <v>50</v>
      </c>
      <c r="J8" s="158" t="s">
        <v>51</v>
      </c>
      <c r="K8" s="158" t="s">
        <v>52</v>
      </c>
      <c r="L8" s="159" t="s">
        <v>92</v>
      </c>
      <c r="M8" s="159" t="s">
        <v>53</v>
      </c>
      <c r="N8" s="160" t="s">
        <v>54</v>
      </c>
      <c r="O8" s="160" t="s">
        <v>55</v>
      </c>
      <c r="P8" s="159" t="s">
        <v>93</v>
      </c>
      <c r="Q8" s="159" t="s">
        <v>57</v>
      </c>
      <c r="R8" s="159" t="s">
        <v>58</v>
      </c>
      <c r="S8" s="161" t="s">
        <v>94</v>
      </c>
      <c r="T8" s="159" t="s">
        <v>59</v>
      </c>
      <c r="U8" s="159" t="s">
        <v>60</v>
      </c>
      <c r="V8" s="183" t="s">
        <v>18</v>
      </c>
      <c r="W8" s="179" t="s">
        <v>61</v>
      </c>
      <c r="X8" s="184" t="s">
        <v>62</v>
      </c>
      <c r="Y8" s="183" t="s">
        <v>63</v>
      </c>
      <c r="Z8" s="183" t="s">
        <v>64</v>
      </c>
      <c r="AA8" s="179" t="s">
        <v>204</v>
      </c>
      <c r="AB8" s="179" t="s">
        <v>203</v>
      </c>
      <c r="AC8" s="179" t="s">
        <v>205</v>
      </c>
      <c r="AD8" s="181" t="s">
        <v>65</v>
      </c>
      <c r="AE8" s="179" t="s">
        <v>202</v>
      </c>
      <c r="AF8" s="185" t="s">
        <v>28</v>
      </c>
      <c r="AG8" s="159" t="s">
        <v>67</v>
      </c>
      <c r="AH8" s="159" t="s">
        <v>68</v>
      </c>
      <c r="AI8" s="159" t="s">
        <v>69</v>
      </c>
      <c r="AJ8" s="159" t="s">
        <v>70</v>
      </c>
      <c r="AK8" s="159" t="s">
        <v>71</v>
      </c>
      <c r="AL8" s="159" t="s">
        <v>211</v>
      </c>
    </row>
    <row r="9" spans="2:38" ht="14.25" customHeight="1" x14ac:dyDescent="0.25">
      <c r="B9" s="174" t="s">
        <v>244</v>
      </c>
      <c r="C9" s="171" t="s">
        <v>109</v>
      </c>
      <c r="D9" s="103">
        <v>176</v>
      </c>
      <c r="E9" s="104" t="s">
        <v>76</v>
      </c>
      <c r="F9" s="92">
        <v>0</v>
      </c>
      <c r="G9" s="219">
        <f>IF(F9&gt;0,F9,
IF(B9&lt;&gt;"",
IF(C9="CLT",VLOOKUP(B9,'Lista Profissionais'!$C$11:$H$348,3,0),
VLOOKUP(B9,'Lista Profissionais'!$C$11:$H$348,6,0)), 0))</f>
        <v>10800</v>
      </c>
      <c r="H9" s="219">
        <f>IF(B9&lt;&gt;"",
IF(C9="CLT",
       22*$M$5 + (G9*'Lista Profissionais'!$G$9),0),0)</f>
        <v>2710</v>
      </c>
      <c r="I9" s="66">
        <f t="shared" ref="I9" si="0">(G9/$G$2)*D9</f>
        <v>10800</v>
      </c>
      <c r="J9" s="66">
        <f t="shared" ref="J9:J44" si="1">I9+AH9</f>
        <v>23273.5</v>
      </c>
      <c r="K9" s="66">
        <f t="shared" ref="K9:K44" si="2">J9+S9+AI9</f>
        <v>33473.460477500004</v>
      </c>
      <c r="L9" s="93">
        <f>IF(D9&gt;0,J9/D9,0)</f>
        <v>132.23579545454547</v>
      </c>
      <c r="M9" s="151"/>
      <c r="N9" s="152">
        <v>0</v>
      </c>
      <c r="O9" s="69">
        <f t="shared" ref="O9" si="3">J9*$G$6</f>
        <v>0</v>
      </c>
      <c r="P9" s="69">
        <f t="shared" ref="P9" si="4">IF(M9&gt;0,M9,  J9*(1+$G$5))</f>
        <v>43055.974999999999</v>
      </c>
      <c r="Q9" s="70">
        <f t="shared" ref="Q9" si="5">(P9+O9)</f>
        <v>43055.974999999999</v>
      </c>
      <c r="R9" s="153">
        <f>IF(E9="Sim", Q9*$G$3,0)</f>
        <v>1291.6792499999999</v>
      </c>
      <c r="S9" s="70">
        <v>0</v>
      </c>
      <c r="T9" s="165">
        <f t="shared" ref="T9" si="6">IF($D$4="Sim",(IF(E9="Não",0,(Q9+(Q9*$O$4)+R9+S9)*$D$5)+Q9),
IF(E9="Não",0,Q9+(Q9*$O$4)+R9+S9
))</f>
        <v>44347.65425</v>
      </c>
      <c r="U9" s="163">
        <f t="shared" ref="U9" si="7">IF(D9&gt;0,T9/D9,0)</f>
        <v>251.97530823863636</v>
      </c>
      <c r="V9" s="164">
        <f>IF(C9="CLT",
       I9*$M$2, 0)</f>
        <v>864</v>
      </c>
      <c r="W9" s="164">
        <f t="shared" ref="W9" si="8">IF(C9="CLT",
       V9*$M$3, 0)</f>
        <v>345.6</v>
      </c>
      <c r="X9" s="144">
        <f t="shared" ref="X9" si="9">IF(C9="CLT",
       I9/12, 0)</f>
        <v>900</v>
      </c>
      <c r="Y9" s="150">
        <f t="shared" ref="Y9" si="10">IF(C9="CLT",
       X9/3, 0)</f>
        <v>300</v>
      </c>
      <c r="Z9" s="150">
        <f t="shared" ref="Z9" si="11">IF(C9="CLT",
       I9/12, 0)</f>
        <v>900</v>
      </c>
      <c r="AA9" s="150">
        <f t="shared" ref="AA9:AA23" si="12">IF(C9="CLT", I9*$S$2,0)</f>
        <v>2970.0000000000005</v>
      </c>
      <c r="AB9" s="182">
        <f t="shared" ref="AB9:AB23" si="13">IF(C9="CLT", SUM(X9:Z9) * $M$2,0)</f>
        <v>168</v>
      </c>
      <c r="AC9" s="182">
        <f t="shared" ref="AC9:AC23" si="14">IF(C9="CLT", SUM(X9:Z9)*$S$2,0)</f>
        <v>577.5</v>
      </c>
      <c r="AD9" s="182">
        <f t="shared" ref="AD9:AD23" si="15">IF(C9="CLT",
       I9/30*3, 0)</f>
        <v>1080</v>
      </c>
      <c r="AE9" s="180">
        <f t="shared" ref="AE9:AE23" si="16">IF(C9="CLT",  AD9*$M$2, 0)</f>
        <v>86.4</v>
      </c>
      <c r="AF9" s="150">
        <f t="shared" ref="AF9:AF44" si="17">IF(C9="CLT",
       I9*$M$4, 0)</f>
        <v>972</v>
      </c>
      <c r="AG9" s="150">
        <f t="shared" ref="AG9:AG44" si="18">IF(B9&lt;&gt;"",
IF(C9="CLT",
       $Q$2, 0),0)</f>
        <v>600</v>
      </c>
      <c r="AH9" s="150">
        <f>SUM(V9:AG9)+H9</f>
        <v>12473.5</v>
      </c>
      <c r="AI9" s="154">
        <f t="shared" ref="AI9:AI44" si="19">IF(E9="Sim", T9*$G$4, 0)</f>
        <v>10199.960477500001</v>
      </c>
      <c r="AJ9" s="70">
        <f t="shared" ref="AJ9:AJ44" si="20">T9-AI9-J9-R9</f>
        <v>9582.5145225000033</v>
      </c>
      <c r="AK9" s="155">
        <f t="shared" ref="AK9:AK44" si="21">(IF(AJ9&gt;0,AJ9/T9,0))</f>
        <v>0.21607714510627141</v>
      </c>
      <c r="AL9" s="155">
        <f t="shared" ref="AL9:AL44" si="22">(IF(AJ9&gt;0,AJ9/(T9-AI9),0))</f>
        <v>0.28061966896918361</v>
      </c>
    </row>
    <row r="10" spans="2:38" ht="14.25" customHeight="1" x14ac:dyDescent="0.25">
      <c r="B10" s="174" t="s">
        <v>218</v>
      </c>
      <c r="C10" s="171" t="s">
        <v>109</v>
      </c>
      <c r="D10" s="103">
        <v>176</v>
      </c>
      <c r="E10" s="104" t="s">
        <v>76</v>
      </c>
      <c r="F10" s="92">
        <v>0</v>
      </c>
      <c r="G10" s="219">
        <f>IF(F10&gt;0,F10,
IF(B10&lt;&gt;"",
IF(C10="CLT",VLOOKUP(B10,'Lista Profissionais'!$C$11:$H$348,3,0),
VLOOKUP(B10,'Lista Profissionais'!$C$11:$H$348,6,0)), 0))</f>
        <v>3920</v>
      </c>
      <c r="H10" s="219">
        <f>IF(B10&lt;&gt;"",
IF(C10="CLT",
       22*$M$5 + (G10*'Lista Profissionais'!$G$9),0),0)</f>
        <v>1334</v>
      </c>
      <c r="I10" s="66">
        <f t="shared" ref="I10:I18" si="23">(G10/$G$2)*D10</f>
        <v>3920</v>
      </c>
      <c r="J10" s="66">
        <f t="shared" si="1"/>
        <v>9180.0111111111109</v>
      </c>
      <c r="K10" s="66">
        <f t="shared" si="2"/>
        <v>13203.288680722222</v>
      </c>
      <c r="L10" s="93">
        <f t="shared" ref="L10:L23" si="24">IF(D10&gt;0,J10/D10,0)</f>
        <v>52.15915404040404</v>
      </c>
      <c r="M10" s="151"/>
      <c r="N10" s="152">
        <v>0</v>
      </c>
      <c r="O10" s="69">
        <f t="shared" ref="O10:O23" si="25">J10*$G$6</f>
        <v>0</v>
      </c>
      <c r="P10" s="69">
        <f t="shared" ref="P10:P23" si="26">IF(M10&gt;0,M10,  J10*(1+$G$5))</f>
        <v>16983.020555555555</v>
      </c>
      <c r="Q10" s="70">
        <f t="shared" ref="Q10:Q18" si="27">(P10+O10)</f>
        <v>16983.020555555555</v>
      </c>
      <c r="R10" s="153">
        <f t="shared" ref="R10:R18" si="28">IF(E10="Sim", Q10*$G$3,0)</f>
        <v>509.49061666666665</v>
      </c>
      <c r="S10" s="70">
        <v>0</v>
      </c>
      <c r="T10" s="165">
        <f t="shared" ref="T10:T18" si="29">IF($D$4="Sim",(IF(E10="Não",0,(Q10+(Q10*$O$4)+R10+S10)*$D$5)+Q10),
IF(E10="Não",0,Q10+(Q10*$O$4)+R10+S10
))</f>
        <v>17492.511172222221</v>
      </c>
      <c r="U10" s="163">
        <f t="shared" ref="U10:U18" si="30">IF(D10&gt;0,T10/D10,0)</f>
        <v>99.389268023989885</v>
      </c>
      <c r="V10" s="164">
        <f t="shared" ref="V10:V23" si="31">IF(C10="CLT",
       I10*$M$2, 0)</f>
        <v>313.60000000000002</v>
      </c>
      <c r="W10" s="164">
        <f t="shared" ref="W10:W18" si="32">IF(C10="CLT",
       V10*$M$3, 0)</f>
        <v>125.44000000000001</v>
      </c>
      <c r="X10" s="144">
        <f t="shared" ref="X10:X23" si="33">IF(C10="CLT",
       I10/12, 0)</f>
        <v>326.66666666666669</v>
      </c>
      <c r="Y10" s="150">
        <f t="shared" ref="Y10:Y18" si="34">IF(C10="CLT",
       X10/3, 0)</f>
        <v>108.8888888888889</v>
      </c>
      <c r="Z10" s="150">
        <f t="shared" ref="Z10:Z23" si="35">IF(C10="CLT",
       I10/12, 0)</f>
        <v>326.66666666666669</v>
      </c>
      <c r="AA10" s="150">
        <f t="shared" si="12"/>
        <v>1078</v>
      </c>
      <c r="AB10" s="182">
        <f t="shared" si="13"/>
        <v>60.977777777777781</v>
      </c>
      <c r="AC10" s="182">
        <f t="shared" si="14"/>
        <v>209.61111111111114</v>
      </c>
      <c r="AD10" s="182">
        <f t="shared" si="15"/>
        <v>392</v>
      </c>
      <c r="AE10" s="180">
        <f t="shared" si="16"/>
        <v>31.36</v>
      </c>
      <c r="AF10" s="150">
        <f t="shared" si="17"/>
        <v>352.8</v>
      </c>
      <c r="AG10" s="150">
        <f t="shared" si="18"/>
        <v>600</v>
      </c>
      <c r="AH10" s="150">
        <f t="shared" ref="AH10:AH81" si="36">SUM(V10:AG10)+H10</f>
        <v>5260.0111111111119</v>
      </c>
      <c r="AI10" s="154">
        <f t="shared" si="19"/>
        <v>4023.2775696111112</v>
      </c>
      <c r="AJ10" s="70">
        <f t="shared" si="20"/>
        <v>3779.7318748333323</v>
      </c>
      <c r="AK10" s="155">
        <f t="shared" si="21"/>
        <v>0.21607714510627127</v>
      </c>
      <c r="AL10" s="155">
        <f t="shared" si="22"/>
        <v>0.2806196689691835</v>
      </c>
    </row>
    <row r="11" spans="2:38" ht="14.25" customHeight="1" x14ac:dyDescent="0.25">
      <c r="B11" s="174" t="s">
        <v>245</v>
      </c>
      <c r="C11" s="171" t="s">
        <v>109</v>
      </c>
      <c r="D11" s="103">
        <v>176</v>
      </c>
      <c r="E11" s="104" t="s">
        <v>76</v>
      </c>
      <c r="F11" s="92">
        <v>0</v>
      </c>
      <c r="G11" s="219">
        <f>IF(F11&gt;0,F11,
IF(B11&lt;&gt;"",
IF(C11="CLT",VLOOKUP(B11,'Lista Profissionais'!$C$11:$H$348,3,0),
VLOOKUP(B11,'Lista Profissionais'!$C$11:$H$348,6,0)), 0))</f>
        <v>6320</v>
      </c>
      <c r="H11" s="219">
        <f>IF(B11&lt;&gt;"",
IF(C11="CLT",
       22*$M$5 + (G11*'Lista Profissionais'!$G$9),0),0)</f>
        <v>1814</v>
      </c>
      <c r="I11" s="66">
        <f t="shared" si="23"/>
        <v>6320</v>
      </c>
      <c r="J11" s="66">
        <f t="shared" si="1"/>
        <v>14096.344444444445</v>
      </c>
      <c r="K11" s="66">
        <f t="shared" si="2"/>
        <v>20274.278842388892</v>
      </c>
      <c r="L11" s="93">
        <f t="shared" si="24"/>
        <v>80.092866161616158</v>
      </c>
      <c r="M11" s="151"/>
      <c r="N11" s="152">
        <v>0</v>
      </c>
      <c r="O11" s="69">
        <f t="shared" si="25"/>
        <v>0</v>
      </c>
      <c r="P11" s="69">
        <f t="shared" si="26"/>
        <v>26078.237222222226</v>
      </c>
      <c r="Q11" s="70">
        <f t="shared" si="27"/>
        <v>26078.237222222226</v>
      </c>
      <c r="R11" s="153">
        <f t="shared" si="28"/>
        <v>782.34711666666669</v>
      </c>
      <c r="S11" s="70">
        <v>0</v>
      </c>
      <c r="T11" s="165">
        <f t="shared" si="29"/>
        <v>26860.584338888893</v>
      </c>
      <c r="U11" s="163">
        <f t="shared" si="30"/>
        <v>152.61695647095962</v>
      </c>
      <c r="V11" s="164">
        <f t="shared" si="31"/>
        <v>505.6</v>
      </c>
      <c r="W11" s="164">
        <f t="shared" si="32"/>
        <v>202.24</v>
      </c>
      <c r="X11" s="144">
        <f t="shared" si="33"/>
        <v>526.66666666666663</v>
      </c>
      <c r="Y11" s="150">
        <f t="shared" si="34"/>
        <v>175.55555555555554</v>
      </c>
      <c r="Z11" s="150">
        <f t="shared" si="35"/>
        <v>526.66666666666663</v>
      </c>
      <c r="AA11" s="150">
        <f t="shared" si="12"/>
        <v>1738.0000000000002</v>
      </c>
      <c r="AB11" s="182">
        <f t="shared" si="13"/>
        <v>98.311111111111103</v>
      </c>
      <c r="AC11" s="182">
        <f t="shared" si="14"/>
        <v>337.9444444444444</v>
      </c>
      <c r="AD11" s="182">
        <f t="shared" si="15"/>
        <v>632</v>
      </c>
      <c r="AE11" s="180">
        <f t="shared" si="16"/>
        <v>50.56</v>
      </c>
      <c r="AF11" s="150">
        <f t="shared" si="17"/>
        <v>568.79999999999995</v>
      </c>
      <c r="AG11" s="150">
        <f t="shared" si="18"/>
        <v>600</v>
      </c>
      <c r="AH11" s="150">
        <f t="shared" si="36"/>
        <v>7776.3444444444449</v>
      </c>
      <c r="AI11" s="154">
        <f t="shared" si="19"/>
        <v>6177.9343979444457</v>
      </c>
      <c r="AJ11" s="70">
        <f t="shared" si="20"/>
        <v>5803.958379833336</v>
      </c>
      <c r="AK11" s="155">
        <f t="shared" si="21"/>
        <v>0.21607714510627138</v>
      </c>
      <c r="AL11" s="155">
        <f t="shared" si="22"/>
        <v>0.28061966896918361</v>
      </c>
    </row>
    <row r="12" spans="2:38" ht="14.25" customHeight="1" x14ac:dyDescent="0.25">
      <c r="B12" s="174" t="s">
        <v>246</v>
      </c>
      <c r="C12" s="171" t="s">
        <v>109</v>
      </c>
      <c r="D12" s="103">
        <v>176</v>
      </c>
      <c r="E12" s="104" t="s">
        <v>76</v>
      </c>
      <c r="F12" s="92">
        <v>0</v>
      </c>
      <c r="G12" s="219">
        <f>IF(F12&gt;0,F12,
IF(B12&lt;&gt;"",
IF(C12="CLT",VLOOKUP(B12,'Lista Profissionais'!$C$11:$H$348,3,0),
VLOOKUP(B12,'Lista Profissionais'!$C$11:$H$348,6,0)), 0))</f>
        <v>9200</v>
      </c>
      <c r="H12" s="219">
        <f>IF(B12&lt;&gt;"",
IF(C12="CLT",
       22*$M$5 + (G12*'Lista Profissionais'!$G$9),0),0)</f>
        <v>2390</v>
      </c>
      <c r="I12" s="66">
        <f t="shared" si="23"/>
        <v>9200</v>
      </c>
      <c r="J12" s="66">
        <f t="shared" si="1"/>
        <v>19995.944444444445</v>
      </c>
      <c r="K12" s="66">
        <f t="shared" si="2"/>
        <v>28759.467036388894</v>
      </c>
      <c r="L12" s="93">
        <f t="shared" si="24"/>
        <v>113.61332070707071</v>
      </c>
      <c r="M12" s="151"/>
      <c r="N12" s="152">
        <v>0</v>
      </c>
      <c r="O12" s="69">
        <f t="shared" si="25"/>
        <v>0</v>
      </c>
      <c r="P12" s="69">
        <f t="shared" si="26"/>
        <v>36992.497222222228</v>
      </c>
      <c r="Q12" s="70">
        <f t="shared" si="27"/>
        <v>36992.497222222228</v>
      </c>
      <c r="R12" s="153">
        <f t="shared" si="28"/>
        <v>1109.7749166666667</v>
      </c>
      <c r="S12" s="70">
        <v>0</v>
      </c>
      <c r="T12" s="165">
        <f t="shared" si="29"/>
        <v>38102.272138888897</v>
      </c>
      <c r="U12" s="163">
        <f>IF(D12&gt;0,T12/D12,0)</f>
        <v>216.49018260732328</v>
      </c>
      <c r="V12" s="164">
        <f t="shared" si="31"/>
        <v>736</v>
      </c>
      <c r="W12" s="164">
        <f t="shared" si="32"/>
        <v>294.40000000000003</v>
      </c>
      <c r="X12" s="144">
        <f t="shared" si="33"/>
        <v>766.66666666666663</v>
      </c>
      <c r="Y12" s="150">
        <f t="shared" si="34"/>
        <v>255.55555555555554</v>
      </c>
      <c r="Z12" s="150">
        <f t="shared" si="35"/>
        <v>766.66666666666663</v>
      </c>
      <c r="AA12" s="150">
        <f t="shared" si="12"/>
        <v>2530</v>
      </c>
      <c r="AB12" s="182">
        <f t="shared" si="13"/>
        <v>143.11111111111109</v>
      </c>
      <c r="AC12" s="182">
        <f t="shared" si="14"/>
        <v>491.9444444444444</v>
      </c>
      <c r="AD12" s="182">
        <f t="shared" si="15"/>
        <v>920</v>
      </c>
      <c r="AE12" s="180">
        <f t="shared" si="16"/>
        <v>73.600000000000009</v>
      </c>
      <c r="AF12" s="150">
        <f t="shared" si="17"/>
        <v>828</v>
      </c>
      <c r="AG12" s="150">
        <f t="shared" si="18"/>
        <v>600</v>
      </c>
      <c r="AH12" s="150">
        <f t="shared" si="36"/>
        <v>10795.944444444445</v>
      </c>
      <c r="AI12" s="154">
        <f t="shared" si="19"/>
        <v>8763.5225919444474</v>
      </c>
      <c r="AJ12" s="70">
        <f t="shared" si="20"/>
        <v>8233.0301858333351</v>
      </c>
      <c r="AK12" s="155">
        <f t="shared" si="21"/>
        <v>0.21607714510627132</v>
      </c>
      <c r="AL12" s="155">
        <f t="shared" si="22"/>
        <v>0.28061966896918356</v>
      </c>
    </row>
    <row r="13" spans="2:38" ht="14.25" customHeight="1" x14ac:dyDescent="0.25">
      <c r="B13" s="174" t="s">
        <v>247</v>
      </c>
      <c r="C13" s="171" t="s">
        <v>109</v>
      </c>
      <c r="D13" s="103">
        <v>176</v>
      </c>
      <c r="E13" s="104" t="s">
        <v>76</v>
      </c>
      <c r="F13" s="92">
        <v>0</v>
      </c>
      <c r="G13" s="219">
        <f>IF(F13&gt;0,F13,
IF(B13&lt;&gt;"",
IF(C13="CLT",VLOOKUP(B13,'Lista Profissionais'!$C$11:$H$348,3,0),
VLOOKUP(B13,'Lista Profissionais'!$C$11:$H$348,6,0)), 0))</f>
        <v>8800</v>
      </c>
      <c r="H13" s="219">
        <f>IF(B13&lt;&gt;"",
IF(C13="CLT",
       22*$M$5 + (G13*'Lista Profissionais'!$G$9),0),0)</f>
        <v>2310</v>
      </c>
      <c r="I13" s="66">
        <f t="shared" si="23"/>
        <v>8800</v>
      </c>
      <c r="J13" s="66">
        <f t="shared" si="1"/>
        <v>19176.555555555555</v>
      </c>
      <c r="K13" s="66">
        <f t="shared" si="2"/>
        <v>27580.968676111112</v>
      </c>
      <c r="L13" s="93">
        <f t="shared" si="24"/>
        <v>108.95770202020202</v>
      </c>
      <c r="M13" s="151"/>
      <c r="N13" s="152">
        <v>0</v>
      </c>
      <c r="O13" s="69">
        <f t="shared" si="25"/>
        <v>0</v>
      </c>
      <c r="P13" s="69">
        <f t="shared" si="26"/>
        <v>35476.62777777778</v>
      </c>
      <c r="Q13" s="70">
        <f t="shared" si="27"/>
        <v>35476.62777777778</v>
      </c>
      <c r="R13" s="153">
        <f t="shared" si="28"/>
        <v>1064.2988333333333</v>
      </c>
      <c r="S13" s="70">
        <v>0</v>
      </c>
      <c r="T13" s="165">
        <f t="shared" si="29"/>
        <v>36540.926611111114</v>
      </c>
      <c r="U13" s="163">
        <f t="shared" si="30"/>
        <v>207.61890119949496</v>
      </c>
      <c r="V13" s="164">
        <f t="shared" si="31"/>
        <v>704</v>
      </c>
      <c r="W13" s="164">
        <f t="shared" si="32"/>
        <v>281.60000000000002</v>
      </c>
      <c r="X13" s="144">
        <f t="shared" si="33"/>
        <v>733.33333333333337</v>
      </c>
      <c r="Y13" s="150">
        <f t="shared" si="34"/>
        <v>244.44444444444446</v>
      </c>
      <c r="Z13" s="150">
        <f t="shared" si="35"/>
        <v>733.33333333333337</v>
      </c>
      <c r="AA13" s="150">
        <f t="shared" si="12"/>
        <v>2420</v>
      </c>
      <c r="AB13" s="182">
        <f t="shared" si="13"/>
        <v>136.88888888888891</v>
      </c>
      <c r="AC13" s="182">
        <f t="shared" si="14"/>
        <v>470.55555555555566</v>
      </c>
      <c r="AD13" s="182">
        <f t="shared" si="15"/>
        <v>880</v>
      </c>
      <c r="AE13" s="180">
        <f t="shared" si="16"/>
        <v>70.400000000000006</v>
      </c>
      <c r="AF13" s="150">
        <f t="shared" si="17"/>
        <v>792</v>
      </c>
      <c r="AG13" s="150">
        <f t="shared" si="18"/>
        <v>600</v>
      </c>
      <c r="AH13" s="150">
        <f t="shared" si="36"/>
        <v>10376.555555555555</v>
      </c>
      <c r="AI13" s="154">
        <f t="shared" si="19"/>
        <v>8404.4131205555568</v>
      </c>
      <c r="AJ13" s="70">
        <f t="shared" si="20"/>
        <v>7895.6591016666689</v>
      </c>
      <c r="AK13" s="155">
        <f t="shared" si="21"/>
        <v>0.21607714510627138</v>
      </c>
      <c r="AL13" s="155">
        <f t="shared" si="22"/>
        <v>0.28061966896918361</v>
      </c>
    </row>
    <row r="14" spans="2:38" ht="14.25" customHeight="1" x14ac:dyDescent="0.25">
      <c r="B14" s="174" t="s">
        <v>248</v>
      </c>
      <c r="C14" s="171" t="s">
        <v>109</v>
      </c>
      <c r="D14" s="103">
        <v>176</v>
      </c>
      <c r="E14" s="104" t="s">
        <v>76</v>
      </c>
      <c r="F14" s="92">
        <v>0</v>
      </c>
      <c r="G14" s="219">
        <f>IF(F14&gt;0,F14,
IF(B14&lt;&gt;"",
IF(C14="CLT",VLOOKUP(B14,'Lista Profissionais'!$C$11:$H$348,3,0),
VLOOKUP(B14,'Lista Profissionais'!$C$11:$H$348,6,0)), 0))</f>
        <v>3360</v>
      </c>
      <c r="H14" s="219">
        <f>IF(B14&lt;&gt;"",
IF(C14="CLT",
       22*$M$5 + (G14*'Lista Profissionais'!$G$9),0),0)</f>
        <v>1222</v>
      </c>
      <c r="I14" s="66">
        <f t="shared" si="23"/>
        <v>3360</v>
      </c>
      <c r="J14" s="66">
        <f t="shared" si="1"/>
        <v>8032.8666666666668</v>
      </c>
      <c r="K14" s="66">
        <f t="shared" si="2"/>
        <v>11553.390976333334</v>
      </c>
      <c r="L14" s="93">
        <f t="shared" si="24"/>
        <v>45.641287878787878</v>
      </c>
      <c r="M14" s="151"/>
      <c r="N14" s="152">
        <v>0</v>
      </c>
      <c r="O14" s="69">
        <f t="shared" si="25"/>
        <v>0</v>
      </c>
      <c r="P14" s="69">
        <f t="shared" si="26"/>
        <v>14860.803333333335</v>
      </c>
      <c r="Q14" s="70">
        <f t="shared" si="27"/>
        <v>14860.803333333335</v>
      </c>
      <c r="R14" s="153">
        <f t="shared" si="28"/>
        <v>445.82410000000004</v>
      </c>
      <c r="S14" s="70">
        <v>0</v>
      </c>
      <c r="T14" s="165">
        <f t="shared" si="29"/>
        <v>15306.627433333335</v>
      </c>
      <c r="U14" s="163">
        <f t="shared" si="30"/>
        <v>86.969474053030311</v>
      </c>
      <c r="V14" s="164">
        <f t="shared" si="31"/>
        <v>268.8</v>
      </c>
      <c r="W14" s="164">
        <f t="shared" si="32"/>
        <v>107.52000000000001</v>
      </c>
      <c r="X14" s="144">
        <f t="shared" si="33"/>
        <v>280</v>
      </c>
      <c r="Y14" s="150">
        <f t="shared" si="34"/>
        <v>93.333333333333329</v>
      </c>
      <c r="Z14" s="150">
        <f t="shared" si="35"/>
        <v>280</v>
      </c>
      <c r="AA14" s="150">
        <f t="shared" si="12"/>
        <v>924.00000000000011</v>
      </c>
      <c r="AB14" s="182">
        <f t="shared" si="13"/>
        <v>52.266666666666659</v>
      </c>
      <c r="AC14" s="182">
        <f t="shared" si="14"/>
        <v>179.66666666666666</v>
      </c>
      <c r="AD14" s="182">
        <f t="shared" si="15"/>
        <v>336</v>
      </c>
      <c r="AE14" s="180">
        <f t="shared" si="16"/>
        <v>26.88</v>
      </c>
      <c r="AF14" s="150">
        <f t="shared" si="17"/>
        <v>302.39999999999998</v>
      </c>
      <c r="AG14" s="150">
        <f t="shared" si="18"/>
        <v>600</v>
      </c>
      <c r="AH14" s="150">
        <f t="shared" si="36"/>
        <v>4672.8666666666668</v>
      </c>
      <c r="AI14" s="154">
        <f t="shared" si="19"/>
        <v>3520.5243096666672</v>
      </c>
      <c r="AJ14" s="70">
        <f t="shared" si="20"/>
        <v>3307.4123570000011</v>
      </c>
      <c r="AK14" s="155">
        <f t="shared" si="21"/>
        <v>0.21607714510627138</v>
      </c>
      <c r="AL14" s="155">
        <f t="shared" si="22"/>
        <v>0.28061966896918361</v>
      </c>
    </row>
    <row r="15" spans="2:38" ht="14.25" customHeight="1" x14ac:dyDescent="0.25">
      <c r="B15" s="174" t="s">
        <v>249</v>
      </c>
      <c r="C15" s="171" t="s">
        <v>109</v>
      </c>
      <c r="D15" s="103">
        <v>176</v>
      </c>
      <c r="E15" s="104" t="s">
        <v>76</v>
      </c>
      <c r="F15" s="92">
        <v>0</v>
      </c>
      <c r="G15" s="219">
        <f>IF(F15&gt;0,F15,
IF(B15&lt;&gt;"",
IF(C15="CLT",VLOOKUP(B15,'Lista Profissionais'!$C$11:$H$348,3,0),
VLOOKUP(B15,'Lista Profissionais'!$C$11:$H$348,6,0)), 0))</f>
        <v>6000</v>
      </c>
      <c r="H15" s="219">
        <f>IF(B15&lt;&gt;"",
IF(C15="CLT",
       22*$M$5 + (G15*'Lista Profissionais'!$G$9),0),0)</f>
        <v>1750</v>
      </c>
      <c r="I15" s="66">
        <f t="shared" si="23"/>
        <v>6000</v>
      </c>
      <c r="J15" s="66">
        <f t="shared" si="1"/>
        <v>13440.833333333334</v>
      </c>
      <c r="K15" s="66">
        <f t="shared" si="2"/>
        <v>19331.480154166667</v>
      </c>
      <c r="L15" s="93">
        <f t="shared" si="24"/>
        <v>76.368371212121218</v>
      </c>
      <c r="M15" s="151"/>
      <c r="N15" s="152">
        <v>0</v>
      </c>
      <c r="O15" s="69">
        <f t="shared" si="25"/>
        <v>0</v>
      </c>
      <c r="P15" s="69">
        <f t="shared" si="26"/>
        <v>24865.541666666668</v>
      </c>
      <c r="Q15" s="70">
        <f t="shared" si="27"/>
        <v>24865.541666666668</v>
      </c>
      <c r="R15" s="153">
        <f t="shared" si="28"/>
        <v>745.96625000000006</v>
      </c>
      <c r="S15" s="70">
        <v>0</v>
      </c>
      <c r="T15" s="165">
        <f t="shared" si="29"/>
        <v>25611.507916666669</v>
      </c>
      <c r="U15" s="163">
        <f t="shared" si="30"/>
        <v>145.51993134469697</v>
      </c>
      <c r="V15" s="164">
        <f t="shared" si="31"/>
        <v>480</v>
      </c>
      <c r="W15" s="164">
        <f t="shared" si="32"/>
        <v>192</v>
      </c>
      <c r="X15" s="144">
        <f t="shared" si="33"/>
        <v>500</v>
      </c>
      <c r="Y15" s="150">
        <f t="shared" si="34"/>
        <v>166.66666666666666</v>
      </c>
      <c r="Z15" s="150">
        <f t="shared" si="35"/>
        <v>500</v>
      </c>
      <c r="AA15" s="150">
        <f t="shared" si="12"/>
        <v>1650.0000000000002</v>
      </c>
      <c r="AB15" s="182">
        <f t="shared" si="13"/>
        <v>93.333333333333329</v>
      </c>
      <c r="AC15" s="182">
        <f t="shared" si="14"/>
        <v>320.83333333333331</v>
      </c>
      <c r="AD15" s="182">
        <f t="shared" si="15"/>
        <v>600</v>
      </c>
      <c r="AE15" s="180">
        <f t="shared" si="16"/>
        <v>48</v>
      </c>
      <c r="AF15" s="150">
        <f t="shared" si="17"/>
        <v>540</v>
      </c>
      <c r="AG15" s="150">
        <f t="shared" si="18"/>
        <v>600</v>
      </c>
      <c r="AH15" s="150">
        <f t="shared" si="36"/>
        <v>7440.8333333333339</v>
      </c>
      <c r="AI15" s="154">
        <f t="shared" si="19"/>
        <v>5890.6468208333345</v>
      </c>
      <c r="AJ15" s="70">
        <f t="shared" si="20"/>
        <v>5534.0615124999995</v>
      </c>
      <c r="AK15" s="155">
        <f t="shared" si="21"/>
        <v>0.21607714510627127</v>
      </c>
      <c r="AL15" s="155">
        <f t="shared" si="22"/>
        <v>0.2806196689691835</v>
      </c>
    </row>
    <row r="16" spans="2:38" ht="14.25" customHeight="1" x14ac:dyDescent="0.25">
      <c r="B16" s="174" t="s">
        <v>250</v>
      </c>
      <c r="C16" s="171" t="s">
        <v>109</v>
      </c>
      <c r="D16" s="103">
        <v>176</v>
      </c>
      <c r="E16" s="104" t="s">
        <v>76</v>
      </c>
      <c r="F16" s="92">
        <v>0</v>
      </c>
      <c r="G16" s="219">
        <f>IF(F16&gt;0,F16,
IF(B16&lt;&gt;"",
IF(C16="CLT",VLOOKUP(B16,'Lista Profissionais'!$C$11:$H$348,3,0),
VLOOKUP(B16,'Lista Profissionais'!$C$11:$H$348,6,0)), 0))</f>
        <v>7600</v>
      </c>
      <c r="H16" s="219">
        <f>IF(B16&lt;&gt;"",
IF(C16="CLT",
       22*$M$5 + (G16*'Lista Profissionais'!$G$9),0),0)</f>
        <v>2070</v>
      </c>
      <c r="I16" s="66">
        <f t="shared" si="23"/>
        <v>7600</v>
      </c>
      <c r="J16" s="66">
        <f t="shared" si="1"/>
        <v>16718.388888888891</v>
      </c>
      <c r="K16" s="66">
        <f t="shared" si="2"/>
        <v>24045.473595277781</v>
      </c>
      <c r="L16" s="93">
        <f t="shared" si="24"/>
        <v>94.990845959595973</v>
      </c>
      <c r="M16" s="151"/>
      <c r="N16" s="152">
        <v>0</v>
      </c>
      <c r="O16" s="69">
        <f t="shared" si="25"/>
        <v>0</v>
      </c>
      <c r="P16" s="69">
        <f t="shared" si="26"/>
        <v>30929.01944444445</v>
      </c>
      <c r="Q16" s="70">
        <f t="shared" si="27"/>
        <v>30929.01944444445</v>
      </c>
      <c r="R16" s="153">
        <f t="shared" si="28"/>
        <v>927.87058333333346</v>
      </c>
      <c r="S16" s="70">
        <v>0</v>
      </c>
      <c r="T16" s="165">
        <f t="shared" si="29"/>
        <v>31856.890027777783</v>
      </c>
      <c r="U16" s="163">
        <f t="shared" si="30"/>
        <v>181.00505697601014</v>
      </c>
      <c r="V16" s="164">
        <f t="shared" si="31"/>
        <v>608</v>
      </c>
      <c r="W16" s="164">
        <f t="shared" si="32"/>
        <v>243.20000000000002</v>
      </c>
      <c r="X16" s="144">
        <f t="shared" si="33"/>
        <v>633.33333333333337</v>
      </c>
      <c r="Y16" s="150">
        <f t="shared" si="34"/>
        <v>211.11111111111111</v>
      </c>
      <c r="Z16" s="150">
        <f t="shared" si="35"/>
        <v>633.33333333333337</v>
      </c>
      <c r="AA16" s="150">
        <f t="shared" si="12"/>
        <v>2090</v>
      </c>
      <c r="AB16" s="182">
        <f t="shared" si="13"/>
        <v>118.22222222222223</v>
      </c>
      <c r="AC16" s="182">
        <f t="shared" si="14"/>
        <v>406.38888888888891</v>
      </c>
      <c r="AD16" s="182">
        <f t="shared" si="15"/>
        <v>760</v>
      </c>
      <c r="AE16" s="180">
        <f t="shared" si="16"/>
        <v>60.800000000000004</v>
      </c>
      <c r="AF16" s="150">
        <f t="shared" si="17"/>
        <v>684</v>
      </c>
      <c r="AG16" s="150">
        <f t="shared" si="18"/>
        <v>600</v>
      </c>
      <c r="AH16" s="150">
        <f t="shared" si="36"/>
        <v>9118.3888888888905</v>
      </c>
      <c r="AI16" s="154">
        <f t="shared" si="19"/>
        <v>7327.0847063888905</v>
      </c>
      <c r="AJ16" s="70">
        <f t="shared" si="20"/>
        <v>6883.5458491666686</v>
      </c>
      <c r="AK16" s="155">
        <f t="shared" si="21"/>
        <v>0.21607714510627135</v>
      </c>
      <c r="AL16" s="155">
        <f t="shared" si="22"/>
        <v>0.28061966896918356</v>
      </c>
    </row>
    <row r="17" spans="2:38" ht="14.25" customHeight="1" x14ac:dyDescent="0.25">
      <c r="B17" s="174" t="s">
        <v>251</v>
      </c>
      <c r="C17" s="171" t="s">
        <v>109</v>
      </c>
      <c r="D17" s="103">
        <v>176</v>
      </c>
      <c r="E17" s="104" t="s">
        <v>76</v>
      </c>
      <c r="F17" s="92">
        <v>0</v>
      </c>
      <c r="G17" s="219">
        <f>IF(F17&gt;0,F17,
IF(B17&lt;&gt;"",
IF(C17="CLT",VLOOKUP(B17,'Lista Profissionais'!$C$11:$H$348,3,0),
VLOOKUP(B17,'Lista Profissionais'!$C$11:$H$348,6,0)), 0))</f>
        <v>10800</v>
      </c>
      <c r="H17" s="219">
        <f>IF(B17&lt;&gt;"",
IF(C17="CLT",
       22*$M$5 + (G17*'Lista Profissionais'!$G$9),0),0)</f>
        <v>2710</v>
      </c>
      <c r="I17" s="66">
        <f t="shared" si="23"/>
        <v>10800</v>
      </c>
      <c r="J17" s="66">
        <f t="shared" si="1"/>
        <v>23273.5</v>
      </c>
      <c r="K17" s="66">
        <f t="shared" si="2"/>
        <v>33473.460477500004</v>
      </c>
      <c r="L17" s="93">
        <f t="shared" si="24"/>
        <v>132.23579545454547</v>
      </c>
      <c r="M17" s="151"/>
      <c r="N17" s="152">
        <v>0</v>
      </c>
      <c r="O17" s="69">
        <f t="shared" si="25"/>
        <v>0</v>
      </c>
      <c r="P17" s="69">
        <f t="shared" si="26"/>
        <v>43055.974999999999</v>
      </c>
      <c r="Q17" s="70">
        <f t="shared" si="27"/>
        <v>43055.974999999999</v>
      </c>
      <c r="R17" s="153">
        <f t="shared" si="28"/>
        <v>1291.6792499999999</v>
      </c>
      <c r="S17" s="70">
        <v>0</v>
      </c>
      <c r="T17" s="165">
        <f t="shared" si="29"/>
        <v>44347.65425</v>
      </c>
      <c r="U17" s="163">
        <f t="shared" si="30"/>
        <v>251.97530823863636</v>
      </c>
      <c r="V17" s="164">
        <f t="shared" si="31"/>
        <v>864</v>
      </c>
      <c r="W17" s="164">
        <f t="shared" si="32"/>
        <v>345.6</v>
      </c>
      <c r="X17" s="144">
        <f t="shared" si="33"/>
        <v>900</v>
      </c>
      <c r="Y17" s="150">
        <f t="shared" si="34"/>
        <v>300</v>
      </c>
      <c r="Z17" s="150">
        <f t="shared" si="35"/>
        <v>900</v>
      </c>
      <c r="AA17" s="150">
        <f t="shared" si="12"/>
        <v>2970.0000000000005</v>
      </c>
      <c r="AB17" s="182">
        <f t="shared" si="13"/>
        <v>168</v>
      </c>
      <c r="AC17" s="182">
        <f t="shared" si="14"/>
        <v>577.5</v>
      </c>
      <c r="AD17" s="182">
        <f t="shared" si="15"/>
        <v>1080</v>
      </c>
      <c r="AE17" s="180">
        <f t="shared" si="16"/>
        <v>86.4</v>
      </c>
      <c r="AF17" s="150">
        <f t="shared" si="17"/>
        <v>972</v>
      </c>
      <c r="AG17" s="150">
        <f t="shared" si="18"/>
        <v>600</v>
      </c>
      <c r="AH17" s="150">
        <f t="shared" si="36"/>
        <v>12473.5</v>
      </c>
      <c r="AI17" s="154">
        <f t="shared" si="19"/>
        <v>10199.960477500001</v>
      </c>
      <c r="AJ17" s="70">
        <f t="shared" si="20"/>
        <v>9582.5145225000033</v>
      </c>
      <c r="AK17" s="155">
        <f t="shared" si="21"/>
        <v>0.21607714510627141</v>
      </c>
      <c r="AL17" s="155">
        <f t="shared" si="22"/>
        <v>0.28061966896918361</v>
      </c>
    </row>
    <row r="18" spans="2:38" ht="14.25" customHeight="1" x14ac:dyDescent="0.25">
      <c r="B18" s="175" t="s">
        <v>252</v>
      </c>
      <c r="C18" s="171" t="s">
        <v>109</v>
      </c>
      <c r="D18" s="103">
        <v>176</v>
      </c>
      <c r="E18" s="104" t="s">
        <v>76</v>
      </c>
      <c r="F18" s="92">
        <v>0</v>
      </c>
      <c r="G18" s="219">
        <f>IF(F18&gt;0,F18,
IF(B18&lt;&gt;"",
IF(C18="CLT",VLOOKUP(B18,'Lista Profissionais'!$C$11:$H$348,3,0),
VLOOKUP(B18,'Lista Profissionais'!$C$11:$H$348,6,0)), 0))</f>
        <v>3920</v>
      </c>
      <c r="H18" s="219">
        <f>IF(B18&lt;&gt;"",
IF(C18="CLT",
       22*$M$5 + (G18*'Lista Profissionais'!$G$9),0),0)</f>
        <v>1334</v>
      </c>
      <c r="I18" s="66">
        <f t="shared" si="23"/>
        <v>3920</v>
      </c>
      <c r="J18" s="66">
        <f t="shared" si="1"/>
        <v>9180.0111111111109</v>
      </c>
      <c r="K18" s="66">
        <f t="shared" si="2"/>
        <v>13203.288680722222</v>
      </c>
      <c r="L18" s="93">
        <f t="shared" si="24"/>
        <v>52.15915404040404</v>
      </c>
      <c r="M18" s="151"/>
      <c r="N18" s="152">
        <v>0</v>
      </c>
      <c r="O18" s="69">
        <f t="shared" si="25"/>
        <v>0</v>
      </c>
      <c r="P18" s="69">
        <f t="shared" si="26"/>
        <v>16983.020555555555</v>
      </c>
      <c r="Q18" s="70">
        <f t="shared" si="27"/>
        <v>16983.020555555555</v>
      </c>
      <c r="R18" s="153">
        <f t="shared" si="28"/>
        <v>509.49061666666665</v>
      </c>
      <c r="S18" s="70">
        <v>0</v>
      </c>
      <c r="T18" s="165">
        <f t="shared" si="29"/>
        <v>17492.511172222221</v>
      </c>
      <c r="U18" s="163">
        <f t="shared" si="30"/>
        <v>99.389268023989885</v>
      </c>
      <c r="V18" s="164">
        <f t="shared" si="31"/>
        <v>313.60000000000002</v>
      </c>
      <c r="W18" s="164">
        <f t="shared" si="32"/>
        <v>125.44000000000001</v>
      </c>
      <c r="X18" s="144">
        <f t="shared" si="33"/>
        <v>326.66666666666669</v>
      </c>
      <c r="Y18" s="150">
        <f t="shared" si="34"/>
        <v>108.8888888888889</v>
      </c>
      <c r="Z18" s="150">
        <f t="shared" si="35"/>
        <v>326.66666666666669</v>
      </c>
      <c r="AA18" s="150">
        <f t="shared" si="12"/>
        <v>1078</v>
      </c>
      <c r="AB18" s="182">
        <f t="shared" si="13"/>
        <v>60.977777777777781</v>
      </c>
      <c r="AC18" s="182">
        <f t="shared" si="14"/>
        <v>209.61111111111114</v>
      </c>
      <c r="AD18" s="182">
        <f t="shared" si="15"/>
        <v>392</v>
      </c>
      <c r="AE18" s="180">
        <f t="shared" si="16"/>
        <v>31.36</v>
      </c>
      <c r="AF18" s="150">
        <f t="shared" si="17"/>
        <v>352.8</v>
      </c>
      <c r="AG18" s="150">
        <f t="shared" si="18"/>
        <v>600</v>
      </c>
      <c r="AH18" s="150">
        <f t="shared" si="36"/>
        <v>5260.0111111111119</v>
      </c>
      <c r="AI18" s="154">
        <f t="shared" si="19"/>
        <v>4023.2775696111112</v>
      </c>
      <c r="AJ18" s="70">
        <f t="shared" si="20"/>
        <v>3779.7318748333323</v>
      </c>
      <c r="AK18" s="155">
        <f t="shared" si="21"/>
        <v>0.21607714510627127</v>
      </c>
      <c r="AL18" s="155">
        <f t="shared" si="22"/>
        <v>0.2806196689691835</v>
      </c>
    </row>
    <row r="19" spans="2:38" ht="14.25" customHeight="1" x14ac:dyDescent="0.25">
      <c r="B19" s="174" t="s">
        <v>253</v>
      </c>
      <c r="C19" s="171" t="s">
        <v>109</v>
      </c>
      <c r="D19" s="103">
        <v>176</v>
      </c>
      <c r="E19" s="104" t="s">
        <v>76</v>
      </c>
      <c r="F19" s="92">
        <v>0</v>
      </c>
      <c r="G19" s="219">
        <f>IF(F19&gt;0,F19,
IF(B19&lt;&gt;"",
IF(C19="CLT",VLOOKUP(B19,'Lista Profissionais'!$C$11:$H$348,3,0),
VLOOKUP(B19,'Lista Profissionais'!$C$11:$H$348,6,0)), 0))</f>
        <v>6000</v>
      </c>
      <c r="H19" s="219">
        <f>IF(B19&lt;&gt;"",
IF(C19="CLT",
       22*$M$5 + (G19*'Lista Profissionais'!$G$9),0),0)</f>
        <v>1750</v>
      </c>
      <c r="I19" s="66">
        <f t="shared" ref="I19:I23" si="37">(G19/$G$2)*D19</f>
        <v>6000</v>
      </c>
      <c r="J19" s="66">
        <f t="shared" si="1"/>
        <v>13440.833333333334</v>
      </c>
      <c r="K19" s="66">
        <f t="shared" si="2"/>
        <v>19331.480154166667</v>
      </c>
      <c r="L19" s="93">
        <f t="shared" si="24"/>
        <v>76.368371212121218</v>
      </c>
      <c r="M19" s="151"/>
      <c r="N19" s="152">
        <v>0</v>
      </c>
      <c r="O19" s="69">
        <f t="shared" si="25"/>
        <v>0</v>
      </c>
      <c r="P19" s="69">
        <f t="shared" si="26"/>
        <v>24865.541666666668</v>
      </c>
      <c r="Q19" s="70">
        <f t="shared" ref="Q19:Q23" si="38">(P19+O19)</f>
        <v>24865.541666666668</v>
      </c>
      <c r="R19" s="153">
        <f t="shared" ref="R19:R23" si="39">IF(E19="Sim", Q19*$G$3,0)</f>
        <v>745.96625000000006</v>
      </c>
      <c r="S19" s="70">
        <v>0</v>
      </c>
      <c r="T19" s="165">
        <f t="shared" ref="T19:T23" si="40">IF($D$4="Sim",(IF(E19="Não",0,(Q19+(Q19*$O$4)+R19+S19)*$D$5)+Q19),
IF(E19="Não",0,Q19+(Q19*$O$4)+R19+S19
))</f>
        <v>25611.507916666669</v>
      </c>
      <c r="U19" s="163">
        <f t="shared" ref="U19:U23" si="41">IF(D19&gt;0,T19/D19,0)</f>
        <v>145.51993134469697</v>
      </c>
      <c r="V19" s="164">
        <f t="shared" si="31"/>
        <v>480</v>
      </c>
      <c r="W19" s="164">
        <f t="shared" ref="W19:W23" si="42">IF(C19="CLT",
       V19*$M$3, 0)</f>
        <v>192</v>
      </c>
      <c r="X19" s="144">
        <f t="shared" si="33"/>
        <v>500</v>
      </c>
      <c r="Y19" s="150">
        <f t="shared" ref="Y19:Y23" si="43">IF(C19="CLT",
       X19/3, 0)</f>
        <v>166.66666666666666</v>
      </c>
      <c r="Z19" s="150">
        <f t="shared" si="35"/>
        <v>500</v>
      </c>
      <c r="AA19" s="150">
        <f t="shared" si="12"/>
        <v>1650.0000000000002</v>
      </c>
      <c r="AB19" s="182">
        <f t="shared" si="13"/>
        <v>93.333333333333329</v>
      </c>
      <c r="AC19" s="182">
        <f t="shared" si="14"/>
        <v>320.83333333333331</v>
      </c>
      <c r="AD19" s="182">
        <f t="shared" si="15"/>
        <v>600</v>
      </c>
      <c r="AE19" s="180">
        <f t="shared" si="16"/>
        <v>48</v>
      </c>
      <c r="AF19" s="150">
        <f t="shared" si="17"/>
        <v>540</v>
      </c>
      <c r="AG19" s="150">
        <f t="shared" si="18"/>
        <v>600</v>
      </c>
      <c r="AH19" s="150">
        <f t="shared" si="36"/>
        <v>7440.8333333333339</v>
      </c>
      <c r="AI19" s="154">
        <f t="shared" si="19"/>
        <v>5890.6468208333345</v>
      </c>
      <c r="AJ19" s="70">
        <f t="shared" si="20"/>
        <v>5534.0615124999995</v>
      </c>
      <c r="AK19" s="155">
        <f t="shared" si="21"/>
        <v>0.21607714510627127</v>
      </c>
      <c r="AL19" s="155">
        <f t="shared" si="22"/>
        <v>0.2806196689691835</v>
      </c>
    </row>
    <row r="20" spans="2:38" ht="14.25" customHeight="1" x14ac:dyDescent="0.25">
      <c r="B20" s="174" t="s">
        <v>254</v>
      </c>
      <c r="C20" s="171" t="s">
        <v>109</v>
      </c>
      <c r="D20" s="103">
        <v>176</v>
      </c>
      <c r="E20" s="104" t="s">
        <v>76</v>
      </c>
      <c r="F20" s="92">
        <v>0</v>
      </c>
      <c r="G20" s="219">
        <f>IF(F20&gt;0,F20,
IF(B20&lt;&gt;"",
IF(C20="CLT",VLOOKUP(B20,'Lista Profissionais'!$C$11:$H$348,3,0),
VLOOKUP(B20,'Lista Profissionais'!$C$11:$H$348,6,0)), 0))</f>
        <v>8800</v>
      </c>
      <c r="H20" s="219">
        <f>IF(B20&lt;&gt;"",
IF(C20="CLT",
       22*$M$5 + (G20*'Lista Profissionais'!$G$9),0),0)</f>
        <v>2310</v>
      </c>
      <c r="I20" s="66">
        <f t="shared" si="37"/>
        <v>8800</v>
      </c>
      <c r="J20" s="66">
        <f t="shared" si="1"/>
        <v>19176.555555555555</v>
      </c>
      <c r="K20" s="66">
        <f t="shared" si="2"/>
        <v>27580.968676111112</v>
      </c>
      <c r="L20" s="93">
        <f t="shared" si="24"/>
        <v>108.95770202020202</v>
      </c>
      <c r="M20" s="151"/>
      <c r="N20" s="152">
        <v>0</v>
      </c>
      <c r="O20" s="69">
        <f t="shared" si="25"/>
        <v>0</v>
      </c>
      <c r="P20" s="69">
        <f t="shared" si="26"/>
        <v>35476.62777777778</v>
      </c>
      <c r="Q20" s="70">
        <f t="shared" si="38"/>
        <v>35476.62777777778</v>
      </c>
      <c r="R20" s="153">
        <f t="shared" si="39"/>
        <v>1064.2988333333333</v>
      </c>
      <c r="S20" s="70">
        <v>0</v>
      </c>
      <c r="T20" s="165">
        <f t="shared" si="40"/>
        <v>36540.926611111114</v>
      </c>
      <c r="U20" s="163">
        <f t="shared" si="41"/>
        <v>207.61890119949496</v>
      </c>
      <c r="V20" s="164">
        <f t="shared" si="31"/>
        <v>704</v>
      </c>
      <c r="W20" s="164">
        <f t="shared" si="42"/>
        <v>281.60000000000002</v>
      </c>
      <c r="X20" s="144">
        <f t="shared" si="33"/>
        <v>733.33333333333337</v>
      </c>
      <c r="Y20" s="150">
        <f t="shared" si="43"/>
        <v>244.44444444444446</v>
      </c>
      <c r="Z20" s="150">
        <f t="shared" si="35"/>
        <v>733.33333333333337</v>
      </c>
      <c r="AA20" s="150">
        <f t="shared" si="12"/>
        <v>2420</v>
      </c>
      <c r="AB20" s="182">
        <f t="shared" si="13"/>
        <v>136.88888888888891</v>
      </c>
      <c r="AC20" s="182">
        <f t="shared" si="14"/>
        <v>470.55555555555566</v>
      </c>
      <c r="AD20" s="182">
        <f t="shared" si="15"/>
        <v>880</v>
      </c>
      <c r="AE20" s="180">
        <f t="shared" si="16"/>
        <v>70.400000000000006</v>
      </c>
      <c r="AF20" s="150">
        <f t="shared" si="17"/>
        <v>792</v>
      </c>
      <c r="AG20" s="150">
        <f t="shared" si="18"/>
        <v>600</v>
      </c>
      <c r="AH20" s="150">
        <f t="shared" si="36"/>
        <v>10376.555555555555</v>
      </c>
      <c r="AI20" s="154">
        <f t="shared" si="19"/>
        <v>8404.4131205555568</v>
      </c>
      <c r="AJ20" s="70">
        <f t="shared" si="20"/>
        <v>7895.6591016666689</v>
      </c>
      <c r="AK20" s="155">
        <f t="shared" si="21"/>
        <v>0.21607714510627138</v>
      </c>
      <c r="AL20" s="155">
        <f t="shared" si="22"/>
        <v>0.28061966896918361</v>
      </c>
    </row>
    <row r="21" spans="2:38" ht="14.25" customHeight="1" x14ac:dyDescent="0.25">
      <c r="B21" s="174" t="s">
        <v>255</v>
      </c>
      <c r="C21" s="171" t="s">
        <v>109</v>
      </c>
      <c r="D21" s="103">
        <v>176</v>
      </c>
      <c r="E21" s="104" t="s">
        <v>76</v>
      </c>
      <c r="F21" s="92">
        <v>0</v>
      </c>
      <c r="G21" s="219">
        <f>IF(F21&gt;0,F21,
IF(B21&lt;&gt;"",
IF(C21="CLT",VLOOKUP(B21,'Lista Profissionais'!$C$11:$H$348,3,0),
VLOOKUP(B21,'Lista Profissionais'!$C$11:$H$348,6,0)), 0))</f>
        <v>8800</v>
      </c>
      <c r="H21" s="219">
        <f>IF(B21&lt;&gt;"",
IF(C21="CLT",
       22*$M$5 + (G21*'Lista Profissionais'!$G$9),0),0)</f>
        <v>2310</v>
      </c>
      <c r="I21" s="66">
        <f t="shared" si="37"/>
        <v>8800</v>
      </c>
      <c r="J21" s="66">
        <f t="shared" si="1"/>
        <v>19176.555555555555</v>
      </c>
      <c r="K21" s="66">
        <f t="shared" si="2"/>
        <v>27580.968676111112</v>
      </c>
      <c r="L21" s="93">
        <f t="shared" si="24"/>
        <v>108.95770202020202</v>
      </c>
      <c r="M21" s="151"/>
      <c r="N21" s="152">
        <v>0</v>
      </c>
      <c r="O21" s="69">
        <f t="shared" si="25"/>
        <v>0</v>
      </c>
      <c r="P21" s="69">
        <f t="shared" si="26"/>
        <v>35476.62777777778</v>
      </c>
      <c r="Q21" s="70">
        <f t="shared" si="38"/>
        <v>35476.62777777778</v>
      </c>
      <c r="R21" s="153">
        <f t="shared" si="39"/>
        <v>1064.2988333333333</v>
      </c>
      <c r="S21" s="70">
        <v>0</v>
      </c>
      <c r="T21" s="165">
        <f t="shared" si="40"/>
        <v>36540.926611111114</v>
      </c>
      <c r="U21" s="163">
        <f t="shared" si="41"/>
        <v>207.61890119949496</v>
      </c>
      <c r="V21" s="164">
        <f t="shared" si="31"/>
        <v>704</v>
      </c>
      <c r="W21" s="164">
        <f t="shared" si="42"/>
        <v>281.60000000000002</v>
      </c>
      <c r="X21" s="144">
        <f t="shared" si="33"/>
        <v>733.33333333333337</v>
      </c>
      <c r="Y21" s="150">
        <f t="shared" si="43"/>
        <v>244.44444444444446</v>
      </c>
      <c r="Z21" s="150">
        <f t="shared" si="35"/>
        <v>733.33333333333337</v>
      </c>
      <c r="AA21" s="150">
        <f t="shared" si="12"/>
        <v>2420</v>
      </c>
      <c r="AB21" s="182">
        <f t="shared" si="13"/>
        <v>136.88888888888891</v>
      </c>
      <c r="AC21" s="182">
        <f t="shared" si="14"/>
        <v>470.55555555555566</v>
      </c>
      <c r="AD21" s="182">
        <f t="shared" si="15"/>
        <v>880</v>
      </c>
      <c r="AE21" s="180">
        <f t="shared" si="16"/>
        <v>70.400000000000006</v>
      </c>
      <c r="AF21" s="150">
        <f t="shared" si="17"/>
        <v>792</v>
      </c>
      <c r="AG21" s="150">
        <f t="shared" si="18"/>
        <v>600</v>
      </c>
      <c r="AH21" s="150">
        <f t="shared" si="36"/>
        <v>10376.555555555555</v>
      </c>
      <c r="AI21" s="154">
        <f t="shared" si="19"/>
        <v>8404.4131205555568</v>
      </c>
      <c r="AJ21" s="70">
        <f t="shared" si="20"/>
        <v>7895.6591016666689</v>
      </c>
      <c r="AK21" s="155">
        <f t="shared" si="21"/>
        <v>0.21607714510627138</v>
      </c>
      <c r="AL21" s="155">
        <f t="shared" si="22"/>
        <v>0.28061966896918361</v>
      </c>
    </row>
    <row r="22" spans="2:38" ht="14.25" customHeight="1" x14ac:dyDescent="0.25">
      <c r="B22" s="174" t="s">
        <v>256</v>
      </c>
      <c r="C22" s="171" t="s">
        <v>109</v>
      </c>
      <c r="D22" s="103">
        <v>176</v>
      </c>
      <c r="E22" s="104" t="s">
        <v>76</v>
      </c>
      <c r="F22" s="92">
        <v>0</v>
      </c>
      <c r="G22" s="219">
        <f>IF(F22&gt;0,F22,
IF(B22&lt;&gt;"",
IF(C22="CLT",VLOOKUP(B22,'Lista Profissionais'!$C$11:$H$348,3,0),
VLOOKUP(B22,'Lista Profissionais'!$C$11:$H$348,6,0)), 0))</f>
        <v>3360</v>
      </c>
      <c r="H22" s="219">
        <f>IF(B22&lt;&gt;"",
IF(C22="CLT",
       22*$M$5 + (G22*'Lista Profissionais'!$G$9),0),0)</f>
        <v>1222</v>
      </c>
      <c r="I22" s="66">
        <f t="shared" si="37"/>
        <v>3360</v>
      </c>
      <c r="J22" s="66">
        <f t="shared" si="1"/>
        <v>8032.8666666666668</v>
      </c>
      <c r="K22" s="66">
        <f t="shared" si="2"/>
        <v>11553.390976333334</v>
      </c>
      <c r="L22" s="93">
        <f t="shared" si="24"/>
        <v>45.641287878787878</v>
      </c>
      <c r="M22" s="151"/>
      <c r="N22" s="152">
        <v>0</v>
      </c>
      <c r="O22" s="69">
        <f t="shared" si="25"/>
        <v>0</v>
      </c>
      <c r="P22" s="69">
        <f t="shared" si="26"/>
        <v>14860.803333333335</v>
      </c>
      <c r="Q22" s="70">
        <f t="shared" si="38"/>
        <v>14860.803333333335</v>
      </c>
      <c r="R22" s="153">
        <f t="shared" si="39"/>
        <v>445.82410000000004</v>
      </c>
      <c r="S22" s="70">
        <v>0</v>
      </c>
      <c r="T22" s="165">
        <f t="shared" si="40"/>
        <v>15306.627433333335</v>
      </c>
      <c r="U22" s="163">
        <f t="shared" si="41"/>
        <v>86.969474053030311</v>
      </c>
      <c r="V22" s="164">
        <f t="shared" si="31"/>
        <v>268.8</v>
      </c>
      <c r="W22" s="164">
        <f t="shared" si="42"/>
        <v>107.52000000000001</v>
      </c>
      <c r="X22" s="144">
        <f t="shared" si="33"/>
        <v>280</v>
      </c>
      <c r="Y22" s="150">
        <f t="shared" si="43"/>
        <v>93.333333333333329</v>
      </c>
      <c r="Z22" s="150">
        <f t="shared" si="35"/>
        <v>280</v>
      </c>
      <c r="AA22" s="150">
        <f t="shared" si="12"/>
        <v>924.00000000000011</v>
      </c>
      <c r="AB22" s="182">
        <f t="shared" si="13"/>
        <v>52.266666666666659</v>
      </c>
      <c r="AC22" s="182">
        <f t="shared" si="14"/>
        <v>179.66666666666666</v>
      </c>
      <c r="AD22" s="182">
        <f t="shared" si="15"/>
        <v>336</v>
      </c>
      <c r="AE22" s="180">
        <f t="shared" si="16"/>
        <v>26.88</v>
      </c>
      <c r="AF22" s="150">
        <f t="shared" si="17"/>
        <v>302.39999999999998</v>
      </c>
      <c r="AG22" s="150">
        <f t="shared" si="18"/>
        <v>600</v>
      </c>
      <c r="AH22" s="150">
        <f t="shared" si="36"/>
        <v>4672.8666666666668</v>
      </c>
      <c r="AI22" s="154">
        <f t="shared" si="19"/>
        <v>3520.5243096666672</v>
      </c>
      <c r="AJ22" s="70">
        <f t="shared" si="20"/>
        <v>3307.4123570000011</v>
      </c>
      <c r="AK22" s="155">
        <f t="shared" si="21"/>
        <v>0.21607714510627138</v>
      </c>
      <c r="AL22" s="155">
        <f t="shared" si="22"/>
        <v>0.28061966896918361</v>
      </c>
    </row>
    <row r="23" spans="2:38" ht="14.25" customHeight="1" x14ac:dyDescent="0.25">
      <c r="B23" s="174" t="s">
        <v>257</v>
      </c>
      <c r="C23" s="171" t="s">
        <v>109</v>
      </c>
      <c r="D23" s="103">
        <v>176</v>
      </c>
      <c r="E23" s="104" t="s">
        <v>76</v>
      </c>
      <c r="F23" s="92">
        <v>0</v>
      </c>
      <c r="G23" s="219">
        <f>IF(F23&gt;0,F23,
IF(B23&lt;&gt;"",
IF(C23="CLT",VLOOKUP(B23,'Lista Profissionais'!$C$11:$H$348,3,0),
VLOOKUP(B23,'Lista Profissionais'!$C$11:$H$348,6,0)), 0))</f>
        <v>5600</v>
      </c>
      <c r="H23" s="219">
        <f>IF(B23&lt;&gt;"",
IF(C23="CLT",
       22*$M$5 + (G23*'Lista Profissionais'!$G$9),0),0)</f>
        <v>1670</v>
      </c>
      <c r="I23" s="66">
        <f t="shared" si="37"/>
        <v>5600</v>
      </c>
      <c r="J23" s="66">
        <f t="shared" si="1"/>
        <v>12621.444444444445</v>
      </c>
      <c r="K23" s="66">
        <f t="shared" si="2"/>
        <v>18152.981793888888</v>
      </c>
      <c r="L23" s="93">
        <f t="shared" si="24"/>
        <v>71.712752525252526</v>
      </c>
      <c r="M23" s="151"/>
      <c r="N23" s="152">
        <v>0</v>
      </c>
      <c r="O23" s="69">
        <f t="shared" si="25"/>
        <v>0</v>
      </c>
      <c r="P23" s="69">
        <f t="shared" si="26"/>
        <v>23349.672222222223</v>
      </c>
      <c r="Q23" s="70">
        <f t="shared" si="38"/>
        <v>23349.672222222223</v>
      </c>
      <c r="R23" s="153">
        <f t="shared" si="39"/>
        <v>700.49016666666671</v>
      </c>
      <c r="S23" s="70">
        <v>0</v>
      </c>
      <c r="T23" s="165">
        <f t="shared" si="40"/>
        <v>24050.16238888889</v>
      </c>
      <c r="U23" s="163">
        <f t="shared" si="41"/>
        <v>136.64864993686868</v>
      </c>
      <c r="V23" s="164">
        <f t="shared" si="31"/>
        <v>448</v>
      </c>
      <c r="W23" s="164">
        <f t="shared" si="42"/>
        <v>179.20000000000002</v>
      </c>
      <c r="X23" s="144">
        <f t="shared" si="33"/>
        <v>466.66666666666669</v>
      </c>
      <c r="Y23" s="150">
        <f t="shared" si="43"/>
        <v>155.55555555555557</v>
      </c>
      <c r="Z23" s="150">
        <f t="shared" si="35"/>
        <v>466.66666666666669</v>
      </c>
      <c r="AA23" s="150">
        <f t="shared" si="12"/>
        <v>1540.0000000000002</v>
      </c>
      <c r="AB23" s="182">
        <f t="shared" si="13"/>
        <v>87.111111111111114</v>
      </c>
      <c r="AC23" s="182">
        <f t="shared" si="14"/>
        <v>299.44444444444446</v>
      </c>
      <c r="AD23" s="182">
        <f t="shared" si="15"/>
        <v>560</v>
      </c>
      <c r="AE23" s="180">
        <f t="shared" si="16"/>
        <v>44.800000000000004</v>
      </c>
      <c r="AF23" s="150">
        <f t="shared" si="17"/>
        <v>504</v>
      </c>
      <c r="AG23" s="150">
        <f t="shared" si="18"/>
        <v>600</v>
      </c>
      <c r="AH23" s="150">
        <f t="shared" si="36"/>
        <v>7021.4444444444453</v>
      </c>
      <c r="AI23" s="154">
        <f t="shared" si="19"/>
        <v>5531.5373494444448</v>
      </c>
      <c r="AJ23" s="70">
        <f t="shared" si="20"/>
        <v>5196.6904283333315</v>
      </c>
      <c r="AK23" s="155">
        <f t="shared" si="21"/>
        <v>0.21607714510627124</v>
      </c>
      <c r="AL23" s="155">
        <f t="shared" si="22"/>
        <v>0.28061966896918344</v>
      </c>
    </row>
    <row r="24" spans="2:38" ht="14.25" customHeight="1" x14ac:dyDescent="0.25">
      <c r="B24" s="174" t="s">
        <v>258</v>
      </c>
      <c r="C24" s="171" t="s">
        <v>109</v>
      </c>
      <c r="D24" s="103">
        <v>176</v>
      </c>
      <c r="E24" s="104" t="s">
        <v>76</v>
      </c>
      <c r="F24" s="92">
        <v>0</v>
      </c>
      <c r="G24" s="219">
        <f>IF(F24&gt;0,F24,
IF(B24&lt;&gt;"",
IF(C24="CLT",VLOOKUP(B24,'Lista Profissionais'!$C$11:$H$348,3,0),
VLOOKUP(B24,'Lista Profissionais'!$C$11:$H$348,6,0)), 0))</f>
        <v>8000</v>
      </c>
      <c r="H24" s="219">
        <f>IF(B24&lt;&gt;"",
IF(C24="CLT",
       22*$M$5 + (G24*'Lista Profissionais'!$G$9),0),0)</f>
        <v>2150</v>
      </c>
      <c r="I24" s="66">
        <f t="shared" ref="I24" si="44">(G24/$G$2)*D24</f>
        <v>8000</v>
      </c>
      <c r="J24" s="66">
        <f t="shared" si="1"/>
        <v>17537.777777777777</v>
      </c>
      <c r="K24" s="66">
        <f t="shared" si="2"/>
        <v>25223.971955555557</v>
      </c>
      <c r="L24" s="93">
        <f t="shared" ref="L24" si="45">IF(D24&gt;0,J24/D24,0)</f>
        <v>99.646464646464651</v>
      </c>
      <c r="M24" s="151"/>
      <c r="N24" s="152">
        <v>0</v>
      </c>
      <c r="O24" s="69">
        <f t="shared" ref="O24" si="46">J24*$G$6</f>
        <v>0</v>
      </c>
      <c r="P24" s="69">
        <f t="shared" ref="P24" si="47">IF(M24&gt;0,M24,  J24*(1+$G$5))</f>
        <v>32444.888888888891</v>
      </c>
      <c r="Q24" s="70">
        <f t="shared" ref="Q24" si="48">(P24+O24)</f>
        <v>32444.888888888891</v>
      </c>
      <c r="R24" s="153">
        <f t="shared" ref="R24" si="49">IF(E24="Sim", Q24*$G$3,0)</f>
        <v>973.34666666666669</v>
      </c>
      <c r="S24" s="70">
        <v>0</v>
      </c>
      <c r="T24" s="165">
        <f t="shared" ref="T24" si="50">IF($D$4="Sim",(IF(E24="Não",0,(Q24+(Q24*$O$4)+R24+S24)*$D$5)+Q24),
IF(E24="Não",0,Q24+(Q24*$O$4)+R24+S24
))</f>
        <v>33418.235555555555</v>
      </c>
      <c r="U24" s="163">
        <f t="shared" ref="U24" si="51">IF(D24&gt;0,T24/D24,0)</f>
        <v>189.87633838383837</v>
      </c>
      <c r="V24" s="164">
        <f t="shared" ref="V24" si="52">IF(C24="CLT",
       I24*$M$2, 0)</f>
        <v>640</v>
      </c>
      <c r="W24" s="164">
        <f t="shared" ref="W24" si="53">IF(C24="CLT",
       V24*$M$3, 0)</f>
        <v>256</v>
      </c>
      <c r="X24" s="144">
        <f t="shared" ref="X24" si="54">IF(C24="CLT",
       I24/12, 0)</f>
        <v>666.66666666666663</v>
      </c>
      <c r="Y24" s="150">
        <f t="shared" ref="Y24" si="55">IF(C24="CLT",
       X24/3, 0)</f>
        <v>222.2222222222222</v>
      </c>
      <c r="Z24" s="150">
        <f t="shared" ref="Z24" si="56">IF(C24="CLT",
       I24/12, 0)</f>
        <v>666.66666666666663</v>
      </c>
      <c r="AA24" s="150">
        <f t="shared" ref="AA24" si="57">IF(C24="CLT", I24*$S$2,0)</f>
        <v>2200</v>
      </c>
      <c r="AB24" s="182">
        <f t="shared" ref="AB24" si="58">IF(C24="CLT", SUM(X24:Z24) * $M$2,0)</f>
        <v>124.44444444444444</v>
      </c>
      <c r="AC24" s="182">
        <f t="shared" ref="AC24" si="59">IF(C24="CLT", SUM(X24:Z24)*$S$2,0)</f>
        <v>427.77777777777777</v>
      </c>
      <c r="AD24" s="182">
        <f t="shared" ref="AD24" si="60">IF(C24="CLT",
       I24/30*3, 0)</f>
        <v>800</v>
      </c>
      <c r="AE24" s="180">
        <f t="shared" ref="AE24" si="61">IF(C24="CLT",  AD24*$M$2, 0)</f>
        <v>64</v>
      </c>
      <c r="AF24" s="150">
        <f t="shared" si="17"/>
        <v>720</v>
      </c>
      <c r="AG24" s="150">
        <f t="shared" si="18"/>
        <v>600</v>
      </c>
      <c r="AH24" s="150">
        <f t="shared" si="36"/>
        <v>9537.7777777777774</v>
      </c>
      <c r="AI24" s="154">
        <f t="shared" si="19"/>
        <v>7686.1941777777783</v>
      </c>
      <c r="AJ24" s="70">
        <f t="shared" si="20"/>
        <v>7220.9169333333321</v>
      </c>
      <c r="AK24" s="155">
        <f t="shared" si="21"/>
        <v>0.2160771451062713</v>
      </c>
      <c r="AL24" s="155">
        <f t="shared" si="22"/>
        <v>0.2806196689691835</v>
      </c>
    </row>
    <row r="25" spans="2:38" ht="14.25" customHeight="1" x14ac:dyDescent="0.25">
      <c r="B25" s="174" t="s">
        <v>259</v>
      </c>
      <c r="C25" s="171" t="s">
        <v>109</v>
      </c>
      <c r="D25" s="103">
        <v>176</v>
      </c>
      <c r="E25" s="104" t="s">
        <v>76</v>
      </c>
      <c r="F25" s="92">
        <v>0</v>
      </c>
      <c r="G25" s="219">
        <f>IF(F25&gt;0,F25,
IF(B25&lt;&gt;"",
IF(C25="CLT",VLOOKUP(B25,'Lista Profissionais'!$C$11:$H$348,3,0),
VLOOKUP(B25,'Lista Profissionais'!$C$11:$H$348,6,0)), 0))</f>
        <v>8000</v>
      </c>
      <c r="H25" s="219">
        <f>IF(B25&lt;&gt;"",
IF(C25="CLT",
       22*$M$5 + (G25*'Lista Profissionais'!$G$9),0),0)</f>
        <v>2150</v>
      </c>
      <c r="I25" s="66">
        <f t="shared" ref="I25:I99" si="62">(G25/$G$2)*D25</f>
        <v>8000</v>
      </c>
      <c r="J25" s="66">
        <f t="shared" si="1"/>
        <v>17537.777777777777</v>
      </c>
      <c r="K25" s="66">
        <f t="shared" si="2"/>
        <v>25223.971955555557</v>
      </c>
      <c r="L25" s="93">
        <f t="shared" ref="L25:L99" si="63">IF(D25&gt;0,J25/D25,0)</f>
        <v>99.646464646464651</v>
      </c>
      <c r="M25" s="151"/>
      <c r="N25" s="152">
        <v>0</v>
      </c>
      <c r="O25" s="69">
        <f t="shared" ref="O25:O99" si="64">J25*$G$6</f>
        <v>0</v>
      </c>
      <c r="P25" s="69">
        <f t="shared" ref="P25:P99" si="65">IF(M25&gt;0,M25,  J25*(1+$G$5))</f>
        <v>32444.888888888891</v>
      </c>
      <c r="Q25" s="70">
        <f t="shared" ref="Q25:Q99" si="66">(P25+O25)</f>
        <v>32444.888888888891</v>
      </c>
      <c r="R25" s="153">
        <f t="shared" ref="R25:R99" si="67">IF(E25="Sim", Q25*$G$3,0)</f>
        <v>973.34666666666669</v>
      </c>
      <c r="S25" s="70">
        <v>0</v>
      </c>
      <c r="T25" s="165">
        <f t="shared" ref="T25:T99" si="68">IF($D$4="Sim",(IF(E25="Não",0,(Q25+(Q25*$O$4)+R25+S25)*$D$5)+Q25),
IF(E25="Não",0,Q25+(Q25*$O$4)+R25+S25
))</f>
        <v>33418.235555555555</v>
      </c>
      <c r="U25" s="163">
        <f t="shared" ref="U25:U99" si="69">IF(D25&gt;0,T25/D25,0)</f>
        <v>189.87633838383837</v>
      </c>
      <c r="V25" s="164">
        <f t="shared" ref="V25:V99" si="70">IF(C25="CLT",
       I25*$M$2, 0)</f>
        <v>640</v>
      </c>
      <c r="W25" s="164">
        <f t="shared" ref="W25:W99" si="71">IF(C25="CLT",
       V25*$M$3, 0)</f>
        <v>256</v>
      </c>
      <c r="X25" s="144">
        <f t="shared" ref="X25:X99" si="72">IF(C25="CLT",
       I25/12, 0)</f>
        <v>666.66666666666663</v>
      </c>
      <c r="Y25" s="150">
        <f t="shared" ref="Y25:Y99" si="73">IF(C25="CLT",
       X25/3, 0)</f>
        <v>222.2222222222222</v>
      </c>
      <c r="Z25" s="150">
        <f t="shared" ref="Z25:Z99" si="74">IF(C25="CLT",
       I25/12, 0)</f>
        <v>666.66666666666663</v>
      </c>
      <c r="AA25" s="150">
        <f t="shared" ref="AA25:AA99" si="75">IF(C25="CLT", I25*$S$2,0)</f>
        <v>2200</v>
      </c>
      <c r="AB25" s="182">
        <f t="shared" ref="AB25:AB99" si="76">IF(C25="CLT", SUM(X25:Z25) * $M$2,0)</f>
        <v>124.44444444444444</v>
      </c>
      <c r="AC25" s="182">
        <f t="shared" ref="AC25:AC99" si="77">IF(C25="CLT", SUM(X25:Z25)*$S$2,0)</f>
        <v>427.77777777777777</v>
      </c>
      <c r="AD25" s="182">
        <f t="shared" ref="AD25:AD99" si="78">IF(C25="CLT",
       I25/30*3, 0)</f>
        <v>800</v>
      </c>
      <c r="AE25" s="180">
        <f t="shared" ref="AE25:AE99" si="79">IF(C25="CLT",  AD25*$M$2, 0)</f>
        <v>64</v>
      </c>
      <c r="AF25" s="150">
        <f t="shared" si="17"/>
        <v>720</v>
      </c>
      <c r="AG25" s="150">
        <f t="shared" si="18"/>
        <v>600</v>
      </c>
      <c r="AH25" s="150">
        <f t="shared" si="36"/>
        <v>9537.7777777777774</v>
      </c>
      <c r="AI25" s="154">
        <f t="shared" si="19"/>
        <v>7686.1941777777783</v>
      </c>
      <c r="AJ25" s="70">
        <f t="shared" si="20"/>
        <v>7220.9169333333321</v>
      </c>
      <c r="AK25" s="155">
        <f t="shared" si="21"/>
        <v>0.2160771451062713</v>
      </c>
      <c r="AL25" s="155">
        <f t="shared" si="22"/>
        <v>0.2806196689691835</v>
      </c>
    </row>
    <row r="26" spans="2:38" ht="14.25" customHeight="1" x14ac:dyDescent="0.25">
      <c r="B26" s="174" t="s">
        <v>260</v>
      </c>
      <c r="C26" s="171" t="s">
        <v>109</v>
      </c>
      <c r="D26" s="103">
        <v>176</v>
      </c>
      <c r="E26" s="104" t="s">
        <v>76</v>
      </c>
      <c r="F26" s="92">
        <v>0</v>
      </c>
      <c r="G26" s="219">
        <f>IF(F26&gt;0,F26,
IF(B26&lt;&gt;"",
IF(C26="CLT",VLOOKUP(B26,'Lista Profissionais'!$C$11:$H$348,3,0),
VLOOKUP(B26,'Lista Profissionais'!$C$11:$H$348,6,0)), 0))</f>
        <v>2800</v>
      </c>
      <c r="H26" s="219">
        <f>IF(B26&lt;&gt;"",
IF(C26="CLT",
       22*$M$5 + (G26*'Lista Profissionais'!$G$9),0),0)</f>
        <v>1110</v>
      </c>
      <c r="I26" s="66">
        <f t="shared" si="62"/>
        <v>2800</v>
      </c>
      <c r="J26" s="66">
        <f t="shared" si="1"/>
        <v>6885.7222222222226</v>
      </c>
      <c r="K26" s="66">
        <f t="shared" si="2"/>
        <v>9903.4932719444441</v>
      </c>
      <c r="L26" s="93">
        <f t="shared" si="63"/>
        <v>39.123421717171716</v>
      </c>
      <c r="M26" s="151"/>
      <c r="N26" s="152">
        <v>0</v>
      </c>
      <c r="O26" s="69">
        <f t="shared" si="64"/>
        <v>0</v>
      </c>
      <c r="P26" s="69">
        <f t="shared" si="65"/>
        <v>12738.586111111112</v>
      </c>
      <c r="Q26" s="70">
        <f t="shared" si="66"/>
        <v>12738.586111111112</v>
      </c>
      <c r="R26" s="153">
        <f t="shared" si="67"/>
        <v>382.15758333333332</v>
      </c>
      <c r="S26" s="70">
        <v>0</v>
      </c>
      <c r="T26" s="165">
        <f t="shared" si="68"/>
        <v>13120.743694444445</v>
      </c>
      <c r="U26" s="163">
        <f t="shared" si="69"/>
        <v>74.549680082070708</v>
      </c>
      <c r="V26" s="164">
        <f t="shared" si="70"/>
        <v>224</v>
      </c>
      <c r="W26" s="164">
        <f t="shared" si="71"/>
        <v>89.600000000000009</v>
      </c>
      <c r="X26" s="144">
        <f t="shared" si="72"/>
        <v>233.33333333333334</v>
      </c>
      <c r="Y26" s="150">
        <f t="shared" si="73"/>
        <v>77.777777777777786</v>
      </c>
      <c r="Z26" s="150">
        <f t="shared" si="74"/>
        <v>233.33333333333334</v>
      </c>
      <c r="AA26" s="150">
        <f t="shared" si="75"/>
        <v>770.00000000000011</v>
      </c>
      <c r="AB26" s="182">
        <f t="shared" si="76"/>
        <v>43.555555555555557</v>
      </c>
      <c r="AC26" s="182">
        <f t="shared" si="77"/>
        <v>149.72222222222223</v>
      </c>
      <c r="AD26" s="182">
        <f t="shared" si="78"/>
        <v>280</v>
      </c>
      <c r="AE26" s="180">
        <f t="shared" si="79"/>
        <v>22.400000000000002</v>
      </c>
      <c r="AF26" s="150">
        <f t="shared" si="17"/>
        <v>252</v>
      </c>
      <c r="AG26" s="150">
        <f t="shared" si="18"/>
        <v>600</v>
      </c>
      <c r="AH26" s="150">
        <f t="shared" si="36"/>
        <v>4085.7222222222226</v>
      </c>
      <c r="AI26" s="154">
        <f t="shared" si="19"/>
        <v>3017.7710497222224</v>
      </c>
      <c r="AJ26" s="70">
        <f t="shared" si="20"/>
        <v>2835.092839166668</v>
      </c>
      <c r="AK26" s="155">
        <f t="shared" si="21"/>
        <v>0.21607714510627141</v>
      </c>
      <c r="AL26" s="155">
        <f t="shared" si="22"/>
        <v>0.28061966896918361</v>
      </c>
    </row>
    <row r="27" spans="2:38" ht="14.25" customHeight="1" x14ac:dyDescent="0.25">
      <c r="B27" s="174" t="s">
        <v>261</v>
      </c>
      <c r="C27" s="171" t="s">
        <v>109</v>
      </c>
      <c r="D27" s="103">
        <v>176</v>
      </c>
      <c r="E27" s="104" t="s">
        <v>76</v>
      </c>
      <c r="F27" s="92">
        <v>0</v>
      </c>
      <c r="G27" s="219">
        <f>IF(F27&gt;0,F27,
IF(B27&lt;&gt;"",
IF(C27="CLT",VLOOKUP(B27,'Lista Profissionais'!$C$11:$H$348,3,0),
VLOOKUP(B27,'Lista Profissionais'!$C$11:$H$348,6,0)), 0))</f>
        <v>4400</v>
      </c>
      <c r="H27" s="219">
        <f>IF(B27&lt;&gt;"",
IF(C27="CLT",
       22*$M$5 + (G27*'Lista Profissionais'!$G$9),0),0)</f>
        <v>1430</v>
      </c>
      <c r="I27" s="66">
        <f t="shared" si="62"/>
        <v>4400</v>
      </c>
      <c r="J27" s="66">
        <f t="shared" si="1"/>
        <v>10163.277777777777</v>
      </c>
      <c r="K27" s="66">
        <f t="shared" si="2"/>
        <v>14617.486713055554</v>
      </c>
      <c r="L27" s="93">
        <f t="shared" si="63"/>
        <v>57.745896464646464</v>
      </c>
      <c r="M27" s="151"/>
      <c r="N27" s="152">
        <v>0</v>
      </c>
      <c r="O27" s="69">
        <f t="shared" si="64"/>
        <v>0</v>
      </c>
      <c r="P27" s="69">
        <f t="shared" si="65"/>
        <v>18802.06388888889</v>
      </c>
      <c r="Q27" s="70">
        <f t="shared" si="66"/>
        <v>18802.06388888889</v>
      </c>
      <c r="R27" s="153">
        <f t="shared" si="67"/>
        <v>564.06191666666666</v>
      </c>
      <c r="S27" s="70">
        <v>0</v>
      </c>
      <c r="T27" s="165">
        <f t="shared" si="68"/>
        <v>19366.125805555555</v>
      </c>
      <c r="U27" s="163">
        <f t="shared" si="69"/>
        <v>110.03480571338383</v>
      </c>
      <c r="V27" s="164">
        <f t="shared" si="70"/>
        <v>352</v>
      </c>
      <c r="W27" s="164">
        <f t="shared" si="71"/>
        <v>140.80000000000001</v>
      </c>
      <c r="X27" s="144">
        <f t="shared" si="72"/>
        <v>366.66666666666669</v>
      </c>
      <c r="Y27" s="150">
        <f t="shared" si="73"/>
        <v>122.22222222222223</v>
      </c>
      <c r="Z27" s="150">
        <f t="shared" si="74"/>
        <v>366.66666666666669</v>
      </c>
      <c r="AA27" s="150">
        <f t="shared" si="75"/>
        <v>1210</v>
      </c>
      <c r="AB27" s="182">
        <f t="shared" si="76"/>
        <v>68.444444444444457</v>
      </c>
      <c r="AC27" s="182">
        <f t="shared" si="77"/>
        <v>235.27777777777783</v>
      </c>
      <c r="AD27" s="182">
        <f t="shared" si="78"/>
        <v>440</v>
      </c>
      <c r="AE27" s="180">
        <f t="shared" si="79"/>
        <v>35.200000000000003</v>
      </c>
      <c r="AF27" s="150">
        <f t="shared" si="17"/>
        <v>396</v>
      </c>
      <c r="AG27" s="150">
        <f t="shared" si="18"/>
        <v>600</v>
      </c>
      <c r="AH27" s="150">
        <f t="shared" si="36"/>
        <v>5763.2777777777774</v>
      </c>
      <c r="AI27" s="154">
        <f t="shared" si="19"/>
        <v>4454.2089352777775</v>
      </c>
      <c r="AJ27" s="70">
        <f t="shared" si="20"/>
        <v>4184.5771758333349</v>
      </c>
      <c r="AK27" s="155">
        <f t="shared" si="21"/>
        <v>0.21607714510627141</v>
      </c>
      <c r="AL27" s="155">
        <f t="shared" si="22"/>
        <v>0.28061966896918361</v>
      </c>
    </row>
    <row r="28" spans="2:38" ht="14.25" customHeight="1" x14ac:dyDescent="0.25">
      <c r="B28" s="174" t="s">
        <v>262</v>
      </c>
      <c r="C28" s="171" t="s">
        <v>109</v>
      </c>
      <c r="D28" s="103">
        <v>176</v>
      </c>
      <c r="E28" s="104" t="s">
        <v>76</v>
      </c>
      <c r="F28" s="92">
        <v>0</v>
      </c>
      <c r="G28" s="219">
        <f>IF(F28&gt;0,F28,
IF(B28&lt;&gt;"",
IF(C28="CLT",VLOOKUP(B28,'Lista Profissionais'!$C$11:$H$348,3,0),
VLOOKUP(B28,'Lista Profissionais'!$C$11:$H$348,6,0)), 0))</f>
        <v>5416</v>
      </c>
      <c r="H28" s="219">
        <f>IF(B28&lt;&gt;"",
IF(C28="CLT",
       22*$M$5 + (G28*'Lista Profissionais'!$G$9),0),0)</f>
        <v>1633.2</v>
      </c>
      <c r="I28" s="66">
        <f t="shared" si="62"/>
        <v>5416</v>
      </c>
      <c r="J28" s="66">
        <f t="shared" si="1"/>
        <v>12244.525555555556</v>
      </c>
      <c r="K28" s="66">
        <f t="shared" si="2"/>
        <v>17610.872548161111</v>
      </c>
      <c r="L28" s="93">
        <f t="shared" si="63"/>
        <v>69.571167929292926</v>
      </c>
      <c r="M28" s="151"/>
      <c r="N28" s="152">
        <v>0</v>
      </c>
      <c r="O28" s="69">
        <f t="shared" si="64"/>
        <v>0</v>
      </c>
      <c r="P28" s="69">
        <f t="shared" si="65"/>
        <v>22652.37227777778</v>
      </c>
      <c r="Q28" s="70">
        <f t="shared" si="66"/>
        <v>22652.37227777778</v>
      </c>
      <c r="R28" s="153">
        <f t="shared" si="67"/>
        <v>679.57116833333339</v>
      </c>
      <c r="S28" s="70">
        <v>0</v>
      </c>
      <c r="T28" s="165">
        <f t="shared" si="68"/>
        <v>23331.943446111112</v>
      </c>
      <c r="U28" s="163">
        <f t="shared" si="69"/>
        <v>132.56786048926767</v>
      </c>
      <c r="V28" s="164">
        <f t="shared" si="70"/>
        <v>433.28000000000003</v>
      </c>
      <c r="W28" s="164">
        <f t="shared" si="71"/>
        <v>173.31200000000001</v>
      </c>
      <c r="X28" s="144">
        <f t="shared" si="72"/>
        <v>451.33333333333331</v>
      </c>
      <c r="Y28" s="150">
        <f t="shared" si="73"/>
        <v>150.44444444444443</v>
      </c>
      <c r="Z28" s="150">
        <f t="shared" si="74"/>
        <v>451.33333333333331</v>
      </c>
      <c r="AA28" s="150">
        <f t="shared" si="75"/>
        <v>1489.4</v>
      </c>
      <c r="AB28" s="182">
        <f t="shared" si="76"/>
        <v>84.248888888888885</v>
      </c>
      <c r="AC28" s="182">
        <f t="shared" si="77"/>
        <v>289.60555555555555</v>
      </c>
      <c r="AD28" s="182">
        <f t="shared" si="78"/>
        <v>541.6</v>
      </c>
      <c r="AE28" s="180">
        <f t="shared" si="79"/>
        <v>43.328000000000003</v>
      </c>
      <c r="AF28" s="150">
        <f t="shared" si="17"/>
        <v>487.44</v>
      </c>
      <c r="AG28" s="150">
        <f t="shared" si="18"/>
        <v>600</v>
      </c>
      <c r="AH28" s="150">
        <f t="shared" si="36"/>
        <v>6828.525555555555</v>
      </c>
      <c r="AI28" s="154">
        <f t="shared" si="19"/>
        <v>5366.3469926055559</v>
      </c>
      <c r="AJ28" s="70">
        <f t="shared" si="20"/>
        <v>5041.4997296166675</v>
      </c>
      <c r="AK28" s="155">
        <f t="shared" si="21"/>
        <v>0.21607714510627135</v>
      </c>
      <c r="AL28" s="155">
        <f t="shared" si="22"/>
        <v>0.28061966896918356</v>
      </c>
    </row>
    <row r="29" spans="2:38" ht="14.25" customHeight="1" x14ac:dyDescent="0.25">
      <c r="B29" s="174" t="s">
        <v>263</v>
      </c>
      <c r="C29" s="171" t="s">
        <v>109</v>
      </c>
      <c r="D29" s="103">
        <v>176</v>
      </c>
      <c r="E29" s="104" t="s">
        <v>76</v>
      </c>
      <c r="F29" s="92">
        <v>0</v>
      </c>
      <c r="G29" s="219">
        <f>IF(F29&gt;0,F29,
IF(B29&lt;&gt;"",
IF(C29="CLT",VLOOKUP(B29,'Lista Profissionais'!$C$11:$H$348,3,0),
VLOOKUP(B29,'Lista Profissionais'!$C$11:$H$348,6,0)), 0))</f>
        <v>8400</v>
      </c>
      <c r="H29" s="219">
        <f>IF(B29&lt;&gt;"",
IF(C29="CLT",
       22*$M$5 + (G29*'Lista Profissionais'!$G$9),0),0)</f>
        <v>2230</v>
      </c>
      <c r="I29" s="66">
        <f t="shared" si="62"/>
        <v>8400</v>
      </c>
      <c r="J29" s="66">
        <f t="shared" si="1"/>
        <v>18357.166666666668</v>
      </c>
      <c r="K29" s="66">
        <f t="shared" si="2"/>
        <v>26402.470315833336</v>
      </c>
      <c r="L29" s="93">
        <f t="shared" si="63"/>
        <v>104.30208333333334</v>
      </c>
      <c r="M29" s="151"/>
      <c r="N29" s="152">
        <v>0</v>
      </c>
      <c r="O29" s="69">
        <f t="shared" si="64"/>
        <v>0</v>
      </c>
      <c r="P29" s="69">
        <f t="shared" si="65"/>
        <v>33960.758333333339</v>
      </c>
      <c r="Q29" s="70">
        <f t="shared" si="66"/>
        <v>33960.758333333339</v>
      </c>
      <c r="R29" s="153">
        <f t="shared" si="67"/>
        <v>1018.8227500000002</v>
      </c>
      <c r="S29" s="70">
        <v>0</v>
      </c>
      <c r="T29" s="165">
        <f t="shared" si="68"/>
        <v>34979.581083333338</v>
      </c>
      <c r="U29" s="163">
        <f t="shared" si="69"/>
        <v>198.74761979166669</v>
      </c>
      <c r="V29" s="164">
        <f t="shared" si="70"/>
        <v>672</v>
      </c>
      <c r="W29" s="164">
        <f t="shared" si="71"/>
        <v>268.8</v>
      </c>
      <c r="X29" s="144">
        <f t="shared" si="72"/>
        <v>700</v>
      </c>
      <c r="Y29" s="150">
        <f t="shared" si="73"/>
        <v>233.33333333333334</v>
      </c>
      <c r="Z29" s="150">
        <f t="shared" si="74"/>
        <v>700</v>
      </c>
      <c r="AA29" s="150">
        <f t="shared" si="75"/>
        <v>2310</v>
      </c>
      <c r="AB29" s="182">
        <f t="shared" si="76"/>
        <v>130.66666666666669</v>
      </c>
      <c r="AC29" s="182">
        <f t="shared" si="77"/>
        <v>449.16666666666674</v>
      </c>
      <c r="AD29" s="182">
        <f t="shared" si="78"/>
        <v>840</v>
      </c>
      <c r="AE29" s="180">
        <f t="shared" si="79"/>
        <v>67.2</v>
      </c>
      <c r="AF29" s="150">
        <f t="shared" si="17"/>
        <v>756</v>
      </c>
      <c r="AG29" s="150">
        <f t="shared" si="18"/>
        <v>600</v>
      </c>
      <c r="AH29" s="150">
        <f t="shared" si="36"/>
        <v>9957.1666666666679</v>
      </c>
      <c r="AI29" s="154">
        <f t="shared" si="19"/>
        <v>8045.303649166668</v>
      </c>
      <c r="AJ29" s="70">
        <f t="shared" si="20"/>
        <v>7558.2880175000018</v>
      </c>
      <c r="AK29" s="155">
        <f t="shared" si="21"/>
        <v>0.21607714510627135</v>
      </c>
      <c r="AL29" s="155">
        <f t="shared" si="22"/>
        <v>0.28061966896918356</v>
      </c>
    </row>
    <row r="30" spans="2:38" ht="14.25" customHeight="1" x14ac:dyDescent="0.25">
      <c r="B30" s="174" t="s">
        <v>264</v>
      </c>
      <c r="C30" s="171" t="s">
        <v>109</v>
      </c>
      <c r="D30" s="103">
        <v>176</v>
      </c>
      <c r="E30" s="104" t="s">
        <v>76</v>
      </c>
      <c r="F30" s="92">
        <v>0</v>
      </c>
      <c r="G30" s="219">
        <f>IF(F30&gt;0,F30,
IF(B30&lt;&gt;"",
IF(C30="CLT",VLOOKUP(B30,'Lista Profissionais'!$C$11:$H$348,3,0),
VLOOKUP(B30,'Lista Profissionais'!$C$11:$H$348,6,0)), 0))</f>
        <v>3840</v>
      </c>
      <c r="H30" s="219">
        <f>IF(B30&lt;&gt;"",
IF(C30="CLT",
       22*$M$5 + (G30*'Lista Profissionais'!$G$9),0),0)</f>
        <v>1318</v>
      </c>
      <c r="I30" s="66">
        <f t="shared" si="62"/>
        <v>3839.9999999999995</v>
      </c>
      <c r="J30" s="66">
        <f t="shared" si="1"/>
        <v>9016.1333333333332</v>
      </c>
      <c r="K30" s="66">
        <f t="shared" si="2"/>
        <v>12967.589008666668</v>
      </c>
      <c r="L30" s="93">
        <f t="shared" si="63"/>
        <v>51.228030303030302</v>
      </c>
      <c r="M30" s="151"/>
      <c r="N30" s="152">
        <v>0</v>
      </c>
      <c r="O30" s="69">
        <f t="shared" si="64"/>
        <v>0</v>
      </c>
      <c r="P30" s="69">
        <f t="shared" si="65"/>
        <v>16679.846666666668</v>
      </c>
      <c r="Q30" s="70">
        <f t="shared" si="66"/>
        <v>16679.846666666668</v>
      </c>
      <c r="R30" s="153">
        <f t="shared" si="67"/>
        <v>500.39540000000005</v>
      </c>
      <c r="S30" s="70">
        <v>0</v>
      </c>
      <c r="T30" s="165">
        <f t="shared" si="68"/>
        <v>17180.242066666669</v>
      </c>
      <c r="U30" s="163">
        <f t="shared" si="69"/>
        <v>97.615011742424258</v>
      </c>
      <c r="V30" s="164">
        <f t="shared" si="70"/>
        <v>307.2</v>
      </c>
      <c r="W30" s="164">
        <f t="shared" si="71"/>
        <v>122.88</v>
      </c>
      <c r="X30" s="144">
        <f t="shared" si="72"/>
        <v>319.99999999999994</v>
      </c>
      <c r="Y30" s="150">
        <f t="shared" si="73"/>
        <v>106.66666666666664</v>
      </c>
      <c r="Z30" s="150">
        <f t="shared" si="74"/>
        <v>319.99999999999994</v>
      </c>
      <c r="AA30" s="150">
        <f t="shared" si="75"/>
        <v>1056</v>
      </c>
      <c r="AB30" s="182">
        <f t="shared" si="76"/>
        <v>59.73333333333332</v>
      </c>
      <c r="AC30" s="182">
        <f t="shared" si="77"/>
        <v>205.33333333333331</v>
      </c>
      <c r="AD30" s="182">
        <f t="shared" si="78"/>
        <v>383.99999999999994</v>
      </c>
      <c r="AE30" s="180">
        <f t="shared" si="79"/>
        <v>30.719999999999995</v>
      </c>
      <c r="AF30" s="150">
        <f t="shared" si="17"/>
        <v>345.59999999999997</v>
      </c>
      <c r="AG30" s="150">
        <f t="shared" si="18"/>
        <v>600</v>
      </c>
      <c r="AH30" s="150">
        <f t="shared" si="36"/>
        <v>5176.1333333333332</v>
      </c>
      <c r="AI30" s="154">
        <f t="shared" si="19"/>
        <v>3951.4556753333341</v>
      </c>
      <c r="AJ30" s="70">
        <f t="shared" si="20"/>
        <v>3712.2576580000018</v>
      </c>
      <c r="AK30" s="155">
        <f t="shared" si="21"/>
        <v>0.21607714510627138</v>
      </c>
      <c r="AL30" s="155">
        <f t="shared" si="22"/>
        <v>0.28061966896918361</v>
      </c>
    </row>
    <row r="31" spans="2:38" ht="14.25" customHeight="1" x14ac:dyDescent="0.25">
      <c r="B31" s="174" t="s">
        <v>265</v>
      </c>
      <c r="C31" s="171" t="s">
        <v>109</v>
      </c>
      <c r="D31" s="103">
        <v>176</v>
      </c>
      <c r="E31" s="104" t="s">
        <v>76</v>
      </c>
      <c r="F31" s="92">
        <v>0</v>
      </c>
      <c r="G31" s="219">
        <f>IF(F31&gt;0,F31,
IF(B31&lt;&gt;"",
IF(C31="CLT",VLOOKUP(B31,'Lista Profissionais'!$C$11:$H$348,3,0),
VLOOKUP(B31,'Lista Profissionais'!$C$11:$H$348,6,0)), 0))</f>
        <v>6000</v>
      </c>
      <c r="H31" s="219">
        <f>IF(B31&lt;&gt;"",
IF(C31="CLT",
       22*$M$5 + (G31*'Lista Profissionais'!$G$9),0),0)</f>
        <v>1750</v>
      </c>
      <c r="I31" s="66">
        <f t="shared" si="62"/>
        <v>6000</v>
      </c>
      <c r="J31" s="66">
        <f t="shared" si="1"/>
        <v>13440.833333333334</v>
      </c>
      <c r="K31" s="66">
        <f t="shared" si="2"/>
        <v>19331.480154166667</v>
      </c>
      <c r="L31" s="93">
        <f t="shared" si="63"/>
        <v>76.368371212121218</v>
      </c>
      <c r="M31" s="151"/>
      <c r="N31" s="152">
        <v>0</v>
      </c>
      <c r="O31" s="69">
        <f t="shared" si="64"/>
        <v>0</v>
      </c>
      <c r="P31" s="69">
        <f t="shared" si="65"/>
        <v>24865.541666666668</v>
      </c>
      <c r="Q31" s="70">
        <f t="shared" si="66"/>
        <v>24865.541666666668</v>
      </c>
      <c r="R31" s="153">
        <f t="shared" si="67"/>
        <v>745.96625000000006</v>
      </c>
      <c r="S31" s="70">
        <v>0</v>
      </c>
      <c r="T31" s="165">
        <f t="shared" si="68"/>
        <v>25611.507916666669</v>
      </c>
      <c r="U31" s="163">
        <f t="shared" si="69"/>
        <v>145.51993134469697</v>
      </c>
      <c r="V31" s="164">
        <f t="shared" si="70"/>
        <v>480</v>
      </c>
      <c r="W31" s="164">
        <f t="shared" si="71"/>
        <v>192</v>
      </c>
      <c r="X31" s="144">
        <f t="shared" si="72"/>
        <v>500</v>
      </c>
      <c r="Y31" s="150">
        <f t="shared" si="73"/>
        <v>166.66666666666666</v>
      </c>
      <c r="Z31" s="150">
        <f t="shared" si="74"/>
        <v>500</v>
      </c>
      <c r="AA31" s="150">
        <f t="shared" si="75"/>
        <v>1650.0000000000002</v>
      </c>
      <c r="AB31" s="182">
        <f t="shared" si="76"/>
        <v>93.333333333333329</v>
      </c>
      <c r="AC31" s="182">
        <f t="shared" si="77"/>
        <v>320.83333333333331</v>
      </c>
      <c r="AD31" s="182">
        <f t="shared" si="78"/>
        <v>600</v>
      </c>
      <c r="AE31" s="180">
        <f t="shared" si="79"/>
        <v>48</v>
      </c>
      <c r="AF31" s="150">
        <f t="shared" si="17"/>
        <v>540</v>
      </c>
      <c r="AG31" s="150">
        <f t="shared" si="18"/>
        <v>600</v>
      </c>
      <c r="AH31" s="150">
        <f t="shared" si="36"/>
        <v>7440.8333333333339</v>
      </c>
      <c r="AI31" s="154">
        <f t="shared" si="19"/>
        <v>5890.6468208333345</v>
      </c>
      <c r="AJ31" s="70">
        <f t="shared" si="20"/>
        <v>5534.0615124999995</v>
      </c>
      <c r="AK31" s="155">
        <f t="shared" si="21"/>
        <v>0.21607714510627127</v>
      </c>
      <c r="AL31" s="155">
        <f t="shared" si="22"/>
        <v>0.2806196689691835</v>
      </c>
    </row>
    <row r="32" spans="2:38" ht="14.25" customHeight="1" x14ac:dyDescent="0.25">
      <c r="B32" s="174" t="s">
        <v>266</v>
      </c>
      <c r="C32" s="171" t="s">
        <v>109</v>
      </c>
      <c r="D32" s="103">
        <v>176</v>
      </c>
      <c r="E32" s="104" t="s">
        <v>76</v>
      </c>
      <c r="F32" s="92">
        <v>0</v>
      </c>
      <c r="G32" s="219">
        <f>IF(F32&gt;0,F32,
IF(B32&lt;&gt;"",
IF(C32="CLT",VLOOKUP(B32,'Lista Profissionais'!$C$11:$H$348,3,0),
VLOOKUP(B32,'Lista Profissionais'!$C$11:$H$348,6,0)), 0))</f>
        <v>8400</v>
      </c>
      <c r="H32" s="219">
        <f>IF(B32&lt;&gt;"",
IF(C32="CLT",
       22*$M$5 + (G32*'Lista Profissionais'!$G$9),0),0)</f>
        <v>2230</v>
      </c>
      <c r="I32" s="66">
        <f t="shared" si="62"/>
        <v>8400</v>
      </c>
      <c r="J32" s="66">
        <f t="shared" si="1"/>
        <v>18357.166666666668</v>
      </c>
      <c r="K32" s="66">
        <f t="shared" si="2"/>
        <v>26402.470315833336</v>
      </c>
      <c r="L32" s="93">
        <f t="shared" si="63"/>
        <v>104.30208333333334</v>
      </c>
      <c r="M32" s="151"/>
      <c r="N32" s="152">
        <v>0</v>
      </c>
      <c r="O32" s="69">
        <f t="shared" si="64"/>
        <v>0</v>
      </c>
      <c r="P32" s="69">
        <f t="shared" si="65"/>
        <v>33960.758333333339</v>
      </c>
      <c r="Q32" s="70">
        <f t="shared" si="66"/>
        <v>33960.758333333339</v>
      </c>
      <c r="R32" s="153">
        <f t="shared" si="67"/>
        <v>1018.8227500000002</v>
      </c>
      <c r="S32" s="70">
        <v>0</v>
      </c>
      <c r="T32" s="165">
        <f t="shared" si="68"/>
        <v>34979.581083333338</v>
      </c>
      <c r="U32" s="163">
        <f t="shared" si="69"/>
        <v>198.74761979166669</v>
      </c>
      <c r="V32" s="164">
        <f t="shared" si="70"/>
        <v>672</v>
      </c>
      <c r="W32" s="164">
        <f t="shared" si="71"/>
        <v>268.8</v>
      </c>
      <c r="X32" s="144">
        <f t="shared" si="72"/>
        <v>700</v>
      </c>
      <c r="Y32" s="150">
        <f t="shared" si="73"/>
        <v>233.33333333333334</v>
      </c>
      <c r="Z32" s="150">
        <f t="shared" si="74"/>
        <v>700</v>
      </c>
      <c r="AA32" s="150">
        <f t="shared" si="75"/>
        <v>2310</v>
      </c>
      <c r="AB32" s="182">
        <f t="shared" si="76"/>
        <v>130.66666666666669</v>
      </c>
      <c r="AC32" s="182">
        <f t="shared" si="77"/>
        <v>449.16666666666674</v>
      </c>
      <c r="AD32" s="182">
        <f t="shared" si="78"/>
        <v>840</v>
      </c>
      <c r="AE32" s="180">
        <f t="shared" si="79"/>
        <v>67.2</v>
      </c>
      <c r="AF32" s="150">
        <f t="shared" si="17"/>
        <v>756</v>
      </c>
      <c r="AG32" s="150">
        <f t="shared" si="18"/>
        <v>600</v>
      </c>
      <c r="AH32" s="150">
        <f t="shared" si="36"/>
        <v>9957.1666666666679</v>
      </c>
      <c r="AI32" s="154">
        <f t="shared" si="19"/>
        <v>8045.303649166668</v>
      </c>
      <c r="AJ32" s="70">
        <f t="shared" si="20"/>
        <v>7558.2880175000018</v>
      </c>
      <c r="AK32" s="155">
        <f t="shared" si="21"/>
        <v>0.21607714510627135</v>
      </c>
      <c r="AL32" s="155">
        <f t="shared" si="22"/>
        <v>0.28061966896918356</v>
      </c>
    </row>
    <row r="33" spans="2:38" ht="14.25" customHeight="1" x14ac:dyDescent="0.25">
      <c r="B33" s="174" t="s">
        <v>357</v>
      </c>
      <c r="C33" s="171" t="s">
        <v>109</v>
      </c>
      <c r="D33" s="103">
        <v>176</v>
      </c>
      <c r="E33" s="104" t="s">
        <v>76</v>
      </c>
      <c r="F33" s="92">
        <v>0</v>
      </c>
      <c r="G33" s="219">
        <f>IF(F33&gt;0,F33,
IF(B33&lt;&gt;"",
IF(C33="CLT",VLOOKUP(B33,'Lista Profissionais'!$C$11:$H$348,3,0),
VLOOKUP(B33,'Lista Profissionais'!$C$11:$H$348,6,0)), 0))</f>
        <v>8800</v>
      </c>
      <c r="H33" s="219">
        <f>IF(B33&lt;&gt;"",
IF(C33="CLT",
       22*$M$5 + (G33*'Lista Profissionais'!$G$9),0),0)</f>
        <v>2310</v>
      </c>
      <c r="I33" s="66">
        <f t="shared" si="62"/>
        <v>8800</v>
      </c>
      <c r="J33" s="66">
        <f t="shared" ref="J33:J36" si="80">I33+AH33</f>
        <v>19176.555555555555</v>
      </c>
      <c r="K33" s="66">
        <f t="shared" ref="K33:K36" si="81">J33+S33+AI33</f>
        <v>27580.968676111112</v>
      </c>
      <c r="L33" s="93">
        <f t="shared" ref="L33:L36" si="82">IF(D33&gt;0,J33/D33,0)</f>
        <v>108.95770202020202</v>
      </c>
      <c r="M33" s="151"/>
      <c r="N33" s="152">
        <v>0</v>
      </c>
      <c r="O33" s="69">
        <f t="shared" ref="O33:O36" si="83">J33*$G$6</f>
        <v>0</v>
      </c>
      <c r="P33" s="69">
        <f t="shared" ref="P33:P36" si="84">IF(M33&gt;0,M33,  J33*(1+$G$5))</f>
        <v>35476.62777777778</v>
      </c>
      <c r="Q33" s="70">
        <f t="shared" ref="Q33:Q36" si="85">(P33+O33)</f>
        <v>35476.62777777778</v>
      </c>
      <c r="R33" s="153">
        <f t="shared" ref="R33:R36" si="86">IF(E33="Sim", Q33*$G$3,0)</f>
        <v>1064.2988333333333</v>
      </c>
      <c r="S33" s="70">
        <v>0</v>
      </c>
      <c r="T33" s="165">
        <f t="shared" ref="T33:T36" si="87">IF($D$4="Sim",(IF(E33="Não",0,(Q33+(Q33*$O$4)+R33+S33)*$D$5)+Q33),
IF(E33="Não",0,Q33+(Q33*$O$4)+R33+S33
))</f>
        <v>36540.926611111114</v>
      </c>
      <c r="U33" s="163">
        <f t="shared" ref="U33:U36" si="88">IF(D33&gt;0,T33/D33,0)</f>
        <v>207.61890119949496</v>
      </c>
      <c r="V33" s="164">
        <f t="shared" ref="V33:V36" si="89">IF(C33="CLT",
       I33*$M$2, 0)</f>
        <v>704</v>
      </c>
      <c r="W33" s="164">
        <f t="shared" ref="W33:W36" si="90">IF(C33="CLT",
       V33*$M$3, 0)</f>
        <v>281.60000000000002</v>
      </c>
      <c r="X33" s="144">
        <f t="shared" ref="X33:X36" si="91">IF(C33="CLT",
       I33/12, 0)</f>
        <v>733.33333333333337</v>
      </c>
      <c r="Y33" s="150">
        <f t="shared" ref="Y33:Y36" si="92">IF(C33="CLT",
       X33/3, 0)</f>
        <v>244.44444444444446</v>
      </c>
      <c r="Z33" s="150">
        <f t="shared" ref="Z33:Z36" si="93">IF(C33="CLT",
       I33/12, 0)</f>
        <v>733.33333333333337</v>
      </c>
      <c r="AA33" s="150">
        <f t="shared" ref="AA33:AA36" si="94">IF(C33="CLT", I33*$S$2,0)</f>
        <v>2420</v>
      </c>
      <c r="AB33" s="182">
        <f t="shared" ref="AB33:AB36" si="95">IF(C33="CLT", SUM(X33:Z33) * $M$2,0)</f>
        <v>136.88888888888891</v>
      </c>
      <c r="AC33" s="182">
        <f t="shared" ref="AC33:AC36" si="96">IF(C33="CLT", SUM(X33:Z33)*$S$2,0)</f>
        <v>470.55555555555566</v>
      </c>
      <c r="AD33" s="182">
        <f t="shared" ref="AD33:AD36" si="97">IF(C33="CLT",
       I33/30*3, 0)</f>
        <v>880</v>
      </c>
      <c r="AE33" s="180">
        <f t="shared" ref="AE33:AE36" si="98">IF(C33="CLT",  AD33*$M$2, 0)</f>
        <v>70.400000000000006</v>
      </c>
      <c r="AF33" s="150">
        <f t="shared" ref="AF33:AF36" si="99">IF(C33="CLT",
       I33*$M$4, 0)</f>
        <v>792</v>
      </c>
      <c r="AG33" s="150">
        <f t="shared" ref="AG33:AG36" si="100">IF(B33&lt;&gt;"",
IF(C33="CLT",
       $Q$2, 0),0)</f>
        <v>600</v>
      </c>
      <c r="AH33" s="150">
        <f t="shared" ref="AH33:AH36" si="101">SUM(V33:AG33)+H33</f>
        <v>10376.555555555555</v>
      </c>
      <c r="AI33" s="154">
        <f t="shared" ref="AI33:AI36" si="102">IF(E33="Sim", T33*$G$4, 0)</f>
        <v>8404.4131205555568</v>
      </c>
      <c r="AJ33" s="70">
        <f t="shared" ref="AJ33:AJ36" si="103">T33-AI33-J33-R33</f>
        <v>7895.6591016666689</v>
      </c>
      <c r="AK33" s="155">
        <f t="shared" ref="AK33:AK36" si="104">(IF(AJ33&gt;0,AJ33/T33,0))</f>
        <v>0.21607714510627138</v>
      </c>
      <c r="AL33" s="155">
        <f t="shared" ref="AL33:AL36" si="105">(IF(AJ33&gt;0,AJ33/(T33-AI33),0))</f>
        <v>0.28061966896918361</v>
      </c>
    </row>
    <row r="34" spans="2:38" ht="14.25" customHeight="1" x14ac:dyDescent="0.25">
      <c r="B34" s="174" t="s">
        <v>358</v>
      </c>
      <c r="C34" s="171" t="s">
        <v>109</v>
      </c>
      <c r="D34" s="103">
        <v>176</v>
      </c>
      <c r="E34" s="104" t="s">
        <v>76</v>
      </c>
      <c r="F34" s="92">
        <v>0</v>
      </c>
      <c r="G34" s="219">
        <f>IF(F34&gt;0,F34,
IF(B34&lt;&gt;"",
IF(C34="CLT",VLOOKUP(B34,'Lista Profissionais'!$C$11:$H$348,3,0),
VLOOKUP(B34,'Lista Profissionais'!$C$11:$H$348,6,0)), 0))</f>
        <v>3200</v>
      </c>
      <c r="H34" s="219">
        <f>IF(B34&lt;&gt;"",
IF(C34="CLT",
       22*$M$5 + (G34*'Lista Profissionais'!$G$9),0),0)</f>
        <v>1190</v>
      </c>
      <c r="I34" s="66">
        <f t="shared" si="62"/>
        <v>3200.0000000000005</v>
      </c>
      <c r="J34" s="66">
        <f t="shared" si="80"/>
        <v>7705.1111111111113</v>
      </c>
      <c r="K34" s="66">
        <f t="shared" si="81"/>
        <v>11081.991632222223</v>
      </c>
      <c r="L34" s="93">
        <f t="shared" si="82"/>
        <v>43.779040404040408</v>
      </c>
      <c r="M34" s="151"/>
      <c r="N34" s="152">
        <v>0</v>
      </c>
      <c r="O34" s="69">
        <f t="shared" si="83"/>
        <v>0</v>
      </c>
      <c r="P34" s="69">
        <f t="shared" si="84"/>
        <v>14254.455555555556</v>
      </c>
      <c r="Q34" s="70">
        <f t="shared" si="85"/>
        <v>14254.455555555556</v>
      </c>
      <c r="R34" s="153">
        <f t="shared" si="86"/>
        <v>427.63366666666667</v>
      </c>
      <c r="S34" s="70">
        <v>0</v>
      </c>
      <c r="T34" s="165">
        <f t="shared" si="87"/>
        <v>14682.089222222223</v>
      </c>
      <c r="U34" s="163">
        <f t="shared" si="88"/>
        <v>83.420961489899</v>
      </c>
      <c r="V34" s="164">
        <f t="shared" si="89"/>
        <v>256.00000000000006</v>
      </c>
      <c r="W34" s="164">
        <f t="shared" si="90"/>
        <v>102.40000000000003</v>
      </c>
      <c r="X34" s="144">
        <f t="shared" si="91"/>
        <v>266.66666666666669</v>
      </c>
      <c r="Y34" s="150">
        <f t="shared" si="92"/>
        <v>88.8888888888889</v>
      </c>
      <c r="Z34" s="150">
        <f t="shared" si="93"/>
        <v>266.66666666666669</v>
      </c>
      <c r="AA34" s="150">
        <f t="shared" si="94"/>
        <v>880.00000000000023</v>
      </c>
      <c r="AB34" s="182">
        <f t="shared" si="95"/>
        <v>49.777777777777786</v>
      </c>
      <c r="AC34" s="182">
        <f t="shared" si="96"/>
        <v>171.11111111111114</v>
      </c>
      <c r="AD34" s="182">
        <f t="shared" si="97"/>
        <v>320.00000000000006</v>
      </c>
      <c r="AE34" s="180">
        <f t="shared" si="98"/>
        <v>25.600000000000005</v>
      </c>
      <c r="AF34" s="150">
        <f t="shared" si="99"/>
        <v>288.00000000000006</v>
      </c>
      <c r="AG34" s="150">
        <f t="shared" si="100"/>
        <v>600</v>
      </c>
      <c r="AH34" s="150">
        <f t="shared" si="101"/>
        <v>4505.1111111111113</v>
      </c>
      <c r="AI34" s="154">
        <f t="shared" si="102"/>
        <v>3376.8805211111112</v>
      </c>
      <c r="AJ34" s="70">
        <f t="shared" si="103"/>
        <v>3172.4639233333328</v>
      </c>
      <c r="AK34" s="155">
        <f t="shared" si="104"/>
        <v>0.21607714510627127</v>
      </c>
      <c r="AL34" s="155">
        <f t="shared" si="105"/>
        <v>0.2806196689691835</v>
      </c>
    </row>
    <row r="35" spans="2:38" ht="14.25" customHeight="1" x14ac:dyDescent="0.25">
      <c r="B35" s="174" t="s">
        <v>359</v>
      </c>
      <c r="C35" s="171" t="s">
        <v>109</v>
      </c>
      <c r="D35" s="103">
        <v>176</v>
      </c>
      <c r="E35" s="104" t="s">
        <v>76</v>
      </c>
      <c r="F35" s="92">
        <v>0</v>
      </c>
      <c r="G35" s="219">
        <f>IF(F35&gt;0,F35,
IF(B35&lt;&gt;"",
IF(C35="CLT",VLOOKUP(B35,'Lista Profissionais'!$C$11:$H$348,3,0),
VLOOKUP(B35,'Lista Profissionais'!$C$11:$H$348,6,0)), 0))</f>
        <v>4800</v>
      </c>
      <c r="H35" s="219">
        <f>IF(B35&lt;&gt;"",
IF(C35="CLT",
       22*$M$5 + (G35*'Lista Profissionais'!$G$9),0),0)</f>
        <v>1510</v>
      </c>
      <c r="I35" s="66">
        <f t="shared" si="62"/>
        <v>4800</v>
      </c>
      <c r="J35" s="66">
        <f t="shared" si="80"/>
        <v>10982.666666666666</v>
      </c>
      <c r="K35" s="66">
        <f t="shared" si="81"/>
        <v>15795.985073333333</v>
      </c>
      <c r="L35" s="93">
        <f t="shared" si="82"/>
        <v>62.401515151515149</v>
      </c>
      <c r="M35" s="151"/>
      <c r="N35" s="152">
        <v>0</v>
      </c>
      <c r="O35" s="69">
        <f t="shared" si="83"/>
        <v>0</v>
      </c>
      <c r="P35" s="69">
        <f t="shared" si="84"/>
        <v>20317.933333333334</v>
      </c>
      <c r="Q35" s="70">
        <f t="shared" si="85"/>
        <v>20317.933333333334</v>
      </c>
      <c r="R35" s="153">
        <f t="shared" si="86"/>
        <v>609.53800000000001</v>
      </c>
      <c r="S35" s="70">
        <v>0</v>
      </c>
      <c r="T35" s="165">
        <f t="shared" si="87"/>
        <v>20927.471333333335</v>
      </c>
      <c r="U35" s="163">
        <f t="shared" si="88"/>
        <v>118.90608712121212</v>
      </c>
      <c r="V35" s="164">
        <f t="shared" si="89"/>
        <v>384</v>
      </c>
      <c r="W35" s="164">
        <f t="shared" si="90"/>
        <v>153.60000000000002</v>
      </c>
      <c r="X35" s="144">
        <f t="shared" si="91"/>
        <v>400</v>
      </c>
      <c r="Y35" s="150">
        <f t="shared" si="92"/>
        <v>133.33333333333334</v>
      </c>
      <c r="Z35" s="150">
        <f t="shared" si="93"/>
        <v>400</v>
      </c>
      <c r="AA35" s="150">
        <f t="shared" si="94"/>
        <v>1320</v>
      </c>
      <c r="AB35" s="182">
        <f t="shared" si="95"/>
        <v>74.666666666666671</v>
      </c>
      <c r="AC35" s="182">
        <f t="shared" si="96"/>
        <v>256.66666666666669</v>
      </c>
      <c r="AD35" s="182">
        <f t="shared" si="97"/>
        <v>480</v>
      </c>
      <c r="AE35" s="180">
        <f t="shared" si="98"/>
        <v>38.4</v>
      </c>
      <c r="AF35" s="150">
        <f t="shared" si="99"/>
        <v>432</v>
      </c>
      <c r="AG35" s="150">
        <f t="shared" si="100"/>
        <v>600</v>
      </c>
      <c r="AH35" s="150">
        <f t="shared" si="101"/>
        <v>6182.6666666666661</v>
      </c>
      <c r="AI35" s="154">
        <f t="shared" si="102"/>
        <v>4813.3184066666672</v>
      </c>
      <c r="AJ35" s="70">
        <f t="shared" si="103"/>
        <v>4521.948260000001</v>
      </c>
      <c r="AK35" s="155">
        <f t="shared" si="104"/>
        <v>0.21607714510627135</v>
      </c>
      <c r="AL35" s="155">
        <f t="shared" si="105"/>
        <v>0.28061966896918356</v>
      </c>
    </row>
    <row r="36" spans="2:38" ht="14.25" customHeight="1" x14ac:dyDescent="0.25">
      <c r="B36" s="174" t="s">
        <v>360</v>
      </c>
      <c r="C36" s="171" t="s">
        <v>109</v>
      </c>
      <c r="D36" s="103">
        <v>176</v>
      </c>
      <c r="E36" s="104" t="s">
        <v>76</v>
      </c>
      <c r="F36" s="92">
        <v>0</v>
      </c>
      <c r="G36" s="219">
        <f>IF(F36&gt;0,F36,
IF(B36&lt;&gt;"",
IF(C36="CLT",VLOOKUP(B36,'Lista Profissionais'!$C$11:$H$348,3,0),
VLOOKUP(B36,'Lista Profissionais'!$C$11:$H$348,6,0)), 0))</f>
        <v>6400</v>
      </c>
      <c r="H36" s="219">
        <f>IF(B36&lt;&gt;"",
IF(C36="CLT",
       22*$M$5 + (G36*'Lista Profissionais'!$G$9),0),0)</f>
        <v>1830</v>
      </c>
      <c r="I36" s="66">
        <f t="shared" si="62"/>
        <v>6400.0000000000009</v>
      </c>
      <c r="J36" s="66">
        <f t="shared" si="80"/>
        <v>14260.222222222224</v>
      </c>
      <c r="K36" s="66">
        <f t="shared" si="81"/>
        <v>20509.978514444447</v>
      </c>
      <c r="L36" s="93">
        <f t="shared" si="82"/>
        <v>81.02398989898991</v>
      </c>
      <c r="M36" s="151"/>
      <c r="N36" s="152">
        <v>0</v>
      </c>
      <c r="O36" s="69">
        <f t="shared" si="83"/>
        <v>0</v>
      </c>
      <c r="P36" s="69">
        <f t="shared" si="84"/>
        <v>26381.411111111116</v>
      </c>
      <c r="Q36" s="70">
        <f t="shared" si="85"/>
        <v>26381.411111111116</v>
      </c>
      <c r="R36" s="153">
        <f t="shared" si="86"/>
        <v>791.44233333333341</v>
      </c>
      <c r="S36" s="70">
        <v>0</v>
      </c>
      <c r="T36" s="165">
        <f t="shared" si="87"/>
        <v>27172.853444444449</v>
      </c>
      <c r="U36" s="163">
        <f t="shared" si="88"/>
        <v>154.39121275252526</v>
      </c>
      <c r="V36" s="164">
        <f t="shared" si="89"/>
        <v>512.00000000000011</v>
      </c>
      <c r="W36" s="164">
        <f t="shared" si="90"/>
        <v>204.80000000000007</v>
      </c>
      <c r="X36" s="144">
        <f t="shared" si="91"/>
        <v>533.33333333333337</v>
      </c>
      <c r="Y36" s="150">
        <f t="shared" si="92"/>
        <v>177.7777777777778</v>
      </c>
      <c r="Z36" s="150">
        <f t="shared" si="93"/>
        <v>533.33333333333337</v>
      </c>
      <c r="AA36" s="150">
        <f t="shared" si="94"/>
        <v>1760.0000000000005</v>
      </c>
      <c r="AB36" s="182">
        <f t="shared" si="95"/>
        <v>99.555555555555571</v>
      </c>
      <c r="AC36" s="182">
        <f t="shared" si="96"/>
        <v>342.22222222222229</v>
      </c>
      <c r="AD36" s="182">
        <f t="shared" si="97"/>
        <v>640.00000000000011</v>
      </c>
      <c r="AE36" s="180">
        <f t="shared" si="98"/>
        <v>51.20000000000001</v>
      </c>
      <c r="AF36" s="150">
        <f t="shared" si="99"/>
        <v>576.00000000000011</v>
      </c>
      <c r="AG36" s="150">
        <f t="shared" si="100"/>
        <v>600</v>
      </c>
      <c r="AH36" s="150">
        <f t="shared" si="101"/>
        <v>7860.2222222222235</v>
      </c>
      <c r="AI36" s="154">
        <f t="shared" si="102"/>
        <v>6249.7562922222232</v>
      </c>
      <c r="AJ36" s="70">
        <f t="shared" si="103"/>
        <v>5871.4325966666665</v>
      </c>
      <c r="AK36" s="155">
        <f t="shared" si="104"/>
        <v>0.2160771451062713</v>
      </c>
      <c r="AL36" s="155">
        <f t="shared" si="105"/>
        <v>0.2806196689691835</v>
      </c>
    </row>
    <row r="37" spans="2:38" ht="14.25" customHeight="1" x14ac:dyDescent="0.25">
      <c r="B37" s="174" t="s">
        <v>267</v>
      </c>
      <c r="C37" s="171" t="s">
        <v>109</v>
      </c>
      <c r="D37" s="103">
        <v>176</v>
      </c>
      <c r="E37" s="104" t="s">
        <v>76</v>
      </c>
      <c r="F37" s="92">
        <v>0</v>
      </c>
      <c r="G37" s="219">
        <f>IF(F37&gt;0,F37,
IF(B37&lt;&gt;"",
IF(C37="CLT",VLOOKUP(B37,'Lista Profissionais'!$C$11:$H$348,3,0),
VLOOKUP(B37,'Lista Profissionais'!$C$11:$H$348,6,0)), 0))</f>
        <v>1840</v>
      </c>
      <c r="H37" s="219">
        <f>IF(B37&lt;&gt;"",
IF(C37="CLT",
       22*$M$5 + (G37*'Lista Profissionais'!$G$9),0),0)</f>
        <v>918</v>
      </c>
      <c r="I37" s="66">
        <f t="shared" si="62"/>
        <v>1840</v>
      </c>
      <c r="J37" s="66">
        <f t="shared" si="1"/>
        <v>4919.1888888888889</v>
      </c>
      <c r="K37" s="66">
        <f t="shared" si="2"/>
        <v>7075.0972072777786</v>
      </c>
      <c r="L37" s="93">
        <f t="shared" si="63"/>
        <v>27.949936868686869</v>
      </c>
      <c r="M37" s="151"/>
      <c r="N37" s="152">
        <v>0</v>
      </c>
      <c r="O37" s="69">
        <f t="shared" si="64"/>
        <v>0</v>
      </c>
      <c r="P37" s="69">
        <f t="shared" si="65"/>
        <v>9100.4994444444455</v>
      </c>
      <c r="Q37" s="70">
        <f t="shared" si="66"/>
        <v>9100.4994444444455</v>
      </c>
      <c r="R37" s="153">
        <f t="shared" si="67"/>
        <v>273.01498333333336</v>
      </c>
      <c r="S37" s="70">
        <v>0</v>
      </c>
      <c r="T37" s="165">
        <f t="shared" si="68"/>
        <v>9373.5144277777781</v>
      </c>
      <c r="U37" s="163">
        <f t="shared" si="69"/>
        <v>53.258604703282828</v>
      </c>
      <c r="V37" s="164">
        <f t="shared" si="70"/>
        <v>147.20000000000002</v>
      </c>
      <c r="W37" s="164">
        <f t="shared" si="71"/>
        <v>58.88000000000001</v>
      </c>
      <c r="X37" s="144">
        <f t="shared" si="72"/>
        <v>153.33333333333334</v>
      </c>
      <c r="Y37" s="150">
        <f t="shared" si="73"/>
        <v>51.111111111111114</v>
      </c>
      <c r="Z37" s="150">
        <f t="shared" si="74"/>
        <v>153.33333333333334</v>
      </c>
      <c r="AA37" s="150">
        <f t="shared" si="75"/>
        <v>506.00000000000006</v>
      </c>
      <c r="AB37" s="182">
        <f t="shared" si="76"/>
        <v>28.622222222222227</v>
      </c>
      <c r="AC37" s="182">
        <f t="shared" si="77"/>
        <v>98.388888888888914</v>
      </c>
      <c r="AD37" s="182">
        <f t="shared" si="78"/>
        <v>184</v>
      </c>
      <c r="AE37" s="180">
        <f t="shared" si="79"/>
        <v>14.72</v>
      </c>
      <c r="AF37" s="150">
        <f t="shared" si="17"/>
        <v>165.6</v>
      </c>
      <c r="AG37" s="150">
        <f t="shared" si="18"/>
        <v>600</v>
      </c>
      <c r="AH37" s="150">
        <f t="shared" si="36"/>
        <v>3079.1888888888889</v>
      </c>
      <c r="AI37" s="154">
        <f t="shared" si="19"/>
        <v>2155.9083183888893</v>
      </c>
      <c r="AJ37" s="70">
        <f t="shared" si="20"/>
        <v>2025.402237166667</v>
      </c>
      <c r="AK37" s="155">
        <f t="shared" si="21"/>
        <v>0.21607714510627135</v>
      </c>
      <c r="AL37" s="155">
        <f t="shared" si="22"/>
        <v>0.28061966896918356</v>
      </c>
    </row>
    <row r="38" spans="2:38" ht="14.25" customHeight="1" x14ac:dyDescent="0.25">
      <c r="B38" s="174" t="s">
        <v>268</v>
      </c>
      <c r="C38" s="171" t="s">
        <v>109</v>
      </c>
      <c r="D38" s="103">
        <v>176</v>
      </c>
      <c r="E38" s="104" t="s">
        <v>76</v>
      </c>
      <c r="F38" s="92">
        <v>0</v>
      </c>
      <c r="G38" s="219">
        <f>IF(F38&gt;0,F38,
IF(B38&lt;&gt;"",
IF(C38="CLT",VLOOKUP(B38,'Lista Profissionais'!$C$11:$H$348,3,0),
VLOOKUP(B38,'Lista Profissionais'!$C$11:$H$348,6,0)), 0))</f>
        <v>2720</v>
      </c>
      <c r="H38" s="219">
        <f>IF(B38&lt;&gt;"",
IF(C38="CLT",
       22*$M$5 + (G38*'Lista Profissionais'!$G$9),0),0)</f>
        <v>1094</v>
      </c>
      <c r="I38" s="66">
        <f t="shared" si="62"/>
        <v>2720</v>
      </c>
      <c r="J38" s="66">
        <f t="shared" si="1"/>
        <v>6721.8444444444449</v>
      </c>
      <c r="K38" s="66">
        <f t="shared" si="2"/>
        <v>9667.7935998888897</v>
      </c>
      <c r="L38" s="93">
        <f t="shared" si="63"/>
        <v>38.192297979797985</v>
      </c>
      <c r="M38" s="151"/>
      <c r="N38" s="152">
        <v>0</v>
      </c>
      <c r="O38" s="69">
        <f t="shared" si="64"/>
        <v>0</v>
      </c>
      <c r="P38" s="69">
        <f t="shared" si="65"/>
        <v>12435.412222222223</v>
      </c>
      <c r="Q38" s="70">
        <f t="shared" si="66"/>
        <v>12435.412222222223</v>
      </c>
      <c r="R38" s="153">
        <f t="shared" si="67"/>
        <v>373.06236666666666</v>
      </c>
      <c r="S38" s="70">
        <v>0</v>
      </c>
      <c r="T38" s="165">
        <f t="shared" si="68"/>
        <v>12808.47458888889</v>
      </c>
      <c r="U38" s="163">
        <f t="shared" si="69"/>
        <v>72.775423800505052</v>
      </c>
      <c r="V38" s="164">
        <f t="shared" si="70"/>
        <v>217.6</v>
      </c>
      <c r="W38" s="164">
        <f t="shared" si="71"/>
        <v>87.04</v>
      </c>
      <c r="X38" s="144">
        <f t="shared" si="72"/>
        <v>226.66666666666666</v>
      </c>
      <c r="Y38" s="150">
        <f t="shared" si="73"/>
        <v>75.555555555555557</v>
      </c>
      <c r="Z38" s="150">
        <f t="shared" si="74"/>
        <v>226.66666666666666</v>
      </c>
      <c r="AA38" s="150">
        <f t="shared" si="75"/>
        <v>748.00000000000011</v>
      </c>
      <c r="AB38" s="182">
        <f t="shared" si="76"/>
        <v>42.311111111111117</v>
      </c>
      <c r="AC38" s="182">
        <f t="shared" si="77"/>
        <v>145.44444444444446</v>
      </c>
      <c r="AD38" s="182">
        <f t="shared" si="78"/>
        <v>272</v>
      </c>
      <c r="AE38" s="180">
        <f t="shared" si="79"/>
        <v>21.76</v>
      </c>
      <c r="AF38" s="150">
        <f t="shared" si="17"/>
        <v>244.79999999999998</v>
      </c>
      <c r="AG38" s="150">
        <f t="shared" si="18"/>
        <v>600</v>
      </c>
      <c r="AH38" s="150">
        <f t="shared" si="36"/>
        <v>4001.8444444444449</v>
      </c>
      <c r="AI38" s="154">
        <f t="shared" si="19"/>
        <v>2945.9491554444448</v>
      </c>
      <c r="AJ38" s="70">
        <f t="shared" si="20"/>
        <v>2767.6186223333339</v>
      </c>
      <c r="AK38" s="155">
        <f t="shared" si="21"/>
        <v>0.21607714510627135</v>
      </c>
      <c r="AL38" s="155">
        <f t="shared" si="22"/>
        <v>0.28061966896918356</v>
      </c>
    </row>
    <row r="39" spans="2:38" ht="14.25" customHeight="1" x14ac:dyDescent="0.25">
      <c r="B39" s="174" t="s">
        <v>269</v>
      </c>
      <c r="C39" s="171" t="s">
        <v>109</v>
      </c>
      <c r="D39" s="103">
        <v>176</v>
      </c>
      <c r="E39" s="104" t="s">
        <v>76</v>
      </c>
      <c r="F39" s="92">
        <v>0</v>
      </c>
      <c r="G39" s="219">
        <f>IF(F39&gt;0,F39,
IF(B39&lt;&gt;"",
IF(C39="CLT",VLOOKUP(B39,'Lista Profissionais'!$C$11:$H$348,3,0),
VLOOKUP(B39,'Lista Profissionais'!$C$11:$H$348,6,0)), 0))</f>
        <v>4200</v>
      </c>
      <c r="H39" s="219">
        <f>IF(B39&lt;&gt;"",
IF(C39="CLT",
       22*$M$5 + (G39*'Lista Profissionais'!$G$9),0),0)</f>
        <v>1390</v>
      </c>
      <c r="I39" s="66">
        <f t="shared" si="62"/>
        <v>4200</v>
      </c>
      <c r="J39" s="66">
        <f t="shared" si="1"/>
        <v>9753.5833333333339</v>
      </c>
      <c r="K39" s="66">
        <f t="shared" si="2"/>
        <v>14028.237532916668</v>
      </c>
      <c r="L39" s="93">
        <f t="shared" si="63"/>
        <v>55.418087121212125</v>
      </c>
      <c r="M39" s="151"/>
      <c r="N39" s="152">
        <v>0</v>
      </c>
      <c r="O39" s="69">
        <f t="shared" si="64"/>
        <v>0</v>
      </c>
      <c r="P39" s="69">
        <f t="shared" si="65"/>
        <v>18044.129166666669</v>
      </c>
      <c r="Q39" s="70">
        <f t="shared" si="66"/>
        <v>18044.129166666669</v>
      </c>
      <c r="R39" s="153">
        <f t="shared" si="67"/>
        <v>541.32387500000004</v>
      </c>
      <c r="S39" s="70">
        <v>0</v>
      </c>
      <c r="T39" s="165">
        <f t="shared" si="68"/>
        <v>18585.453041666668</v>
      </c>
      <c r="U39" s="163">
        <f t="shared" si="69"/>
        <v>105.5991650094697</v>
      </c>
      <c r="V39" s="164">
        <f t="shared" si="70"/>
        <v>336</v>
      </c>
      <c r="W39" s="164">
        <f t="shared" si="71"/>
        <v>134.4</v>
      </c>
      <c r="X39" s="144">
        <f t="shared" si="72"/>
        <v>350</v>
      </c>
      <c r="Y39" s="150">
        <f t="shared" si="73"/>
        <v>116.66666666666667</v>
      </c>
      <c r="Z39" s="150">
        <f t="shared" si="74"/>
        <v>350</v>
      </c>
      <c r="AA39" s="150">
        <f t="shared" si="75"/>
        <v>1155</v>
      </c>
      <c r="AB39" s="182">
        <f t="shared" si="76"/>
        <v>65.333333333333343</v>
      </c>
      <c r="AC39" s="182">
        <f t="shared" si="77"/>
        <v>224.58333333333337</v>
      </c>
      <c r="AD39" s="182">
        <f t="shared" si="78"/>
        <v>420</v>
      </c>
      <c r="AE39" s="180">
        <f t="shared" si="79"/>
        <v>33.6</v>
      </c>
      <c r="AF39" s="150">
        <f t="shared" si="17"/>
        <v>378</v>
      </c>
      <c r="AG39" s="150">
        <f t="shared" si="18"/>
        <v>600</v>
      </c>
      <c r="AH39" s="150">
        <f t="shared" si="36"/>
        <v>5553.5833333333339</v>
      </c>
      <c r="AI39" s="154">
        <f t="shared" si="19"/>
        <v>4274.654199583334</v>
      </c>
      <c r="AJ39" s="70">
        <f t="shared" si="20"/>
        <v>4015.8916337499995</v>
      </c>
      <c r="AK39" s="155">
        <f t="shared" si="21"/>
        <v>0.2160771451062713</v>
      </c>
      <c r="AL39" s="155">
        <f t="shared" si="22"/>
        <v>0.2806196689691835</v>
      </c>
    </row>
    <row r="40" spans="2:38" ht="14.25" customHeight="1" x14ac:dyDescent="0.25">
      <c r="B40" s="174" t="s">
        <v>270</v>
      </c>
      <c r="C40" s="171" t="s">
        <v>109</v>
      </c>
      <c r="D40" s="103">
        <v>176</v>
      </c>
      <c r="E40" s="104" t="s">
        <v>76</v>
      </c>
      <c r="F40" s="92">
        <v>0</v>
      </c>
      <c r="G40" s="219">
        <f>IF(F40&gt;0,F40,
IF(B40&lt;&gt;"",
IF(C40="CLT",VLOOKUP(B40,'Lista Profissionais'!$C$11:$H$348,3,0),
VLOOKUP(B40,'Lista Profissionais'!$C$11:$H$348,6,0)), 0))</f>
        <v>2400</v>
      </c>
      <c r="H40" s="219">
        <f>IF(B40&lt;&gt;"",
IF(C40="CLT",
       22*$M$5 + (G40*'Lista Profissionais'!$G$9),0),0)</f>
        <v>1030</v>
      </c>
      <c r="I40" s="66">
        <f t="shared" si="62"/>
        <v>2400</v>
      </c>
      <c r="J40" s="66">
        <f t="shared" si="1"/>
        <v>6066.333333333333</v>
      </c>
      <c r="K40" s="66">
        <f t="shared" si="2"/>
        <v>8724.9949116666667</v>
      </c>
      <c r="L40" s="93">
        <f t="shared" si="63"/>
        <v>34.467803030303031</v>
      </c>
      <c r="M40" s="151"/>
      <c r="N40" s="152">
        <v>0</v>
      </c>
      <c r="O40" s="69">
        <f t="shared" si="64"/>
        <v>0</v>
      </c>
      <c r="P40" s="69">
        <f t="shared" si="65"/>
        <v>11222.716666666667</v>
      </c>
      <c r="Q40" s="70">
        <f t="shared" si="66"/>
        <v>11222.716666666667</v>
      </c>
      <c r="R40" s="153">
        <f t="shared" si="67"/>
        <v>336.68150000000003</v>
      </c>
      <c r="S40" s="70">
        <v>0</v>
      </c>
      <c r="T40" s="165">
        <f t="shared" si="68"/>
        <v>11559.398166666668</v>
      </c>
      <c r="U40" s="163">
        <f t="shared" si="69"/>
        <v>65.67839867424243</v>
      </c>
      <c r="V40" s="164">
        <f t="shared" si="70"/>
        <v>192</v>
      </c>
      <c r="W40" s="164">
        <f t="shared" si="71"/>
        <v>76.800000000000011</v>
      </c>
      <c r="X40" s="144">
        <f t="shared" si="72"/>
        <v>200</v>
      </c>
      <c r="Y40" s="150">
        <f t="shared" si="73"/>
        <v>66.666666666666671</v>
      </c>
      <c r="Z40" s="150">
        <f t="shared" si="74"/>
        <v>200</v>
      </c>
      <c r="AA40" s="150">
        <f t="shared" si="75"/>
        <v>660</v>
      </c>
      <c r="AB40" s="182">
        <f t="shared" si="76"/>
        <v>37.333333333333336</v>
      </c>
      <c r="AC40" s="182">
        <f t="shared" si="77"/>
        <v>128.33333333333334</v>
      </c>
      <c r="AD40" s="182">
        <f t="shared" si="78"/>
        <v>240</v>
      </c>
      <c r="AE40" s="180">
        <f t="shared" si="79"/>
        <v>19.2</v>
      </c>
      <c r="AF40" s="150">
        <f t="shared" si="17"/>
        <v>216</v>
      </c>
      <c r="AG40" s="150">
        <f t="shared" si="18"/>
        <v>600</v>
      </c>
      <c r="AH40" s="150">
        <f t="shared" si="36"/>
        <v>3666.333333333333</v>
      </c>
      <c r="AI40" s="154">
        <f t="shared" si="19"/>
        <v>2658.6615783333336</v>
      </c>
      <c r="AJ40" s="70">
        <f t="shared" si="20"/>
        <v>2497.721755</v>
      </c>
      <c r="AK40" s="155">
        <f t="shared" si="21"/>
        <v>0.2160771451062713</v>
      </c>
      <c r="AL40" s="155">
        <f t="shared" si="22"/>
        <v>0.28061966896918356</v>
      </c>
    </row>
    <row r="41" spans="2:38" ht="14.25" customHeight="1" x14ac:dyDescent="0.25">
      <c r="B41" s="174" t="s">
        <v>271</v>
      </c>
      <c r="C41" s="171" t="s">
        <v>109</v>
      </c>
      <c r="D41" s="103">
        <v>176</v>
      </c>
      <c r="E41" s="104" t="s">
        <v>76</v>
      </c>
      <c r="F41" s="92">
        <v>0</v>
      </c>
      <c r="G41" s="219">
        <f>IF(F41&gt;0,F41,
IF(B41&lt;&gt;"",
IF(C41="CLT",VLOOKUP(B41,'Lista Profissionais'!$C$11:$H$348,3,0),
VLOOKUP(B41,'Lista Profissionais'!$C$11:$H$348,6,0)), 0))</f>
        <v>3200</v>
      </c>
      <c r="H41" s="219">
        <f>IF(B41&lt;&gt;"",
IF(C41="CLT",
       22*$M$5 + (G41*'Lista Profissionais'!$G$9),0),0)</f>
        <v>1190</v>
      </c>
      <c r="I41" s="66">
        <f t="shared" si="62"/>
        <v>3200.0000000000005</v>
      </c>
      <c r="J41" s="66">
        <f t="shared" si="1"/>
        <v>7705.1111111111113</v>
      </c>
      <c r="K41" s="66">
        <f t="shared" si="2"/>
        <v>11081.991632222223</v>
      </c>
      <c r="L41" s="93">
        <f t="shared" si="63"/>
        <v>43.779040404040408</v>
      </c>
      <c r="M41" s="151"/>
      <c r="N41" s="152">
        <v>0</v>
      </c>
      <c r="O41" s="69">
        <f t="shared" si="64"/>
        <v>0</v>
      </c>
      <c r="P41" s="69">
        <f t="shared" si="65"/>
        <v>14254.455555555556</v>
      </c>
      <c r="Q41" s="70">
        <f t="shared" si="66"/>
        <v>14254.455555555556</v>
      </c>
      <c r="R41" s="153">
        <f t="shared" si="67"/>
        <v>427.63366666666667</v>
      </c>
      <c r="S41" s="70">
        <v>0</v>
      </c>
      <c r="T41" s="165">
        <f t="shared" si="68"/>
        <v>14682.089222222223</v>
      </c>
      <c r="U41" s="163">
        <f t="shared" si="69"/>
        <v>83.420961489899</v>
      </c>
      <c r="V41" s="164">
        <f t="shared" si="70"/>
        <v>256.00000000000006</v>
      </c>
      <c r="W41" s="164">
        <f t="shared" si="71"/>
        <v>102.40000000000003</v>
      </c>
      <c r="X41" s="144">
        <f t="shared" si="72"/>
        <v>266.66666666666669</v>
      </c>
      <c r="Y41" s="150">
        <f t="shared" si="73"/>
        <v>88.8888888888889</v>
      </c>
      <c r="Z41" s="150">
        <f t="shared" si="74"/>
        <v>266.66666666666669</v>
      </c>
      <c r="AA41" s="150">
        <f t="shared" si="75"/>
        <v>880.00000000000023</v>
      </c>
      <c r="AB41" s="182">
        <f t="shared" si="76"/>
        <v>49.777777777777786</v>
      </c>
      <c r="AC41" s="182">
        <f t="shared" si="77"/>
        <v>171.11111111111114</v>
      </c>
      <c r="AD41" s="182">
        <f t="shared" si="78"/>
        <v>320.00000000000006</v>
      </c>
      <c r="AE41" s="180">
        <f t="shared" si="79"/>
        <v>25.600000000000005</v>
      </c>
      <c r="AF41" s="150">
        <f t="shared" si="17"/>
        <v>288.00000000000006</v>
      </c>
      <c r="AG41" s="150">
        <f t="shared" si="18"/>
        <v>600</v>
      </c>
      <c r="AH41" s="150">
        <f t="shared" si="36"/>
        <v>4505.1111111111113</v>
      </c>
      <c r="AI41" s="154">
        <f t="shared" si="19"/>
        <v>3376.8805211111112</v>
      </c>
      <c r="AJ41" s="70">
        <f t="shared" si="20"/>
        <v>3172.4639233333328</v>
      </c>
      <c r="AK41" s="155">
        <f t="shared" si="21"/>
        <v>0.21607714510627127</v>
      </c>
      <c r="AL41" s="155">
        <f t="shared" si="22"/>
        <v>0.2806196689691835</v>
      </c>
    </row>
    <row r="42" spans="2:38" ht="14.25" customHeight="1" x14ac:dyDescent="0.25">
      <c r="B42" s="174" t="s">
        <v>272</v>
      </c>
      <c r="C42" s="171" t="s">
        <v>109</v>
      </c>
      <c r="D42" s="103">
        <v>176</v>
      </c>
      <c r="E42" s="104" t="s">
        <v>76</v>
      </c>
      <c r="F42" s="92">
        <v>0</v>
      </c>
      <c r="G42" s="219">
        <f>IF(F42&gt;0,F42,
IF(B42&lt;&gt;"",
IF(C42="CLT",VLOOKUP(B42,'Lista Profissionais'!$C$11:$H$348,3,0),
VLOOKUP(B42,'Lista Profissionais'!$C$11:$H$348,6,0)), 0))</f>
        <v>4400</v>
      </c>
      <c r="H42" s="219">
        <f>IF(B42&lt;&gt;"",
IF(C42="CLT",
       22*$M$5 + (G42*'Lista Profissionais'!$G$9),0),0)</f>
        <v>1430</v>
      </c>
      <c r="I42" s="66">
        <f t="shared" si="62"/>
        <v>4400</v>
      </c>
      <c r="J42" s="66">
        <f t="shared" si="1"/>
        <v>10163.277777777777</v>
      </c>
      <c r="K42" s="66">
        <f t="shared" si="2"/>
        <v>14617.486713055554</v>
      </c>
      <c r="L42" s="93">
        <f t="shared" si="63"/>
        <v>57.745896464646464</v>
      </c>
      <c r="M42" s="151"/>
      <c r="N42" s="152">
        <v>0</v>
      </c>
      <c r="O42" s="69">
        <f t="shared" si="64"/>
        <v>0</v>
      </c>
      <c r="P42" s="69">
        <f t="shared" si="65"/>
        <v>18802.06388888889</v>
      </c>
      <c r="Q42" s="70">
        <f t="shared" si="66"/>
        <v>18802.06388888889</v>
      </c>
      <c r="R42" s="153">
        <f t="shared" si="67"/>
        <v>564.06191666666666</v>
      </c>
      <c r="S42" s="70">
        <v>0</v>
      </c>
      <c r="T42" s="165">
        <f t="shared" si="68"/>
        <v>19366.125805555555</v>
      </c>
      <c r="U42" s="163">
        <f t="shared" si="69"/>
        <v>110.03480571338383</v>
      </c>
      <c r="V42" s="164">
        <f t="shared" si="70"/>
        <v>352</v>
      </c>
      <c r="W42" s="164">
        <f t="shared" si="71"/>
        <v>140.80000000000001</v>
      </c>
      <c r="X42" s="144">
        <f t="shared" si="72"/>
        <v>366.66666666666669</v>
      </c>
      <c r="Y42" s="150">
        <f t="shared" si="73"/>
        <v>122.22222222222223</v>
      </c>
      <c r="Z42" s="150">
        <f t="shared" si="74"/>
        <v>366.66666666666669</v>
      </c>
      <c r="AA42" s="150">
        <f t="shared" si="75"/>
        <v>1210</v>
      </c>
      <c r="AB42" s="182">
        <f t="shared" si="76"/>
        <v>68.444444444444457</v>
      </c>
      <c r="AC42" s="182">
        <f t="shared" si="77"/>
        <v>235.27777777777783</v>
      </c>
      <c r="AD42" s="182">
        <f t="shared" si="78"/>
        <v>440</v>
      </c>
      <c r="AE42" s="180">
        <f t="shared" si="79"/>
        <v>35.200000000000003</v>
      </c>
      <c r="AF42" s="150">
        <f t="shared" si="17"/>
        <v>396</v>
      </c>
      <c r="AG42" s="150">
        <f t="shared" si="18"/>
        <v>600</v>
      </c>
      <c r="AH42" s="150">
        <f t="shared" si="36"/>
        <v>5763.2777777777774</v>
      </c>
      <c r="AI42" s="154">
        <f t="shared" si="19"/>
        <v>4454.2089352777775</v>
      </c>
      <c r="AJ42" s="70">
        <f t="shared" si="20"/>
        <v>4184.5771758333349</v>
      </c>
      <c r="AK42" s="155">
        <f t="shared" si="21"/>
        <v>0.21607714510627141</v>
      </c>
      <c r="AL42" s="155">
        <f t="shared" si="22"/>
        <v>0.28061966896918361</v>
      </c>
    </row>
    <row r="43" spans="2:38" ht="14.25" customHeight="1" x14ac:dyDescent="0.25">
      <c r="B43" s="174" t="s">
        <v>273</v>
      </c>
      <c r="C43" s="171" t="s">
        <v>109</v>
      </c>
      <c r="D43" s="103">
        <v>176</v>
      </c>
      <c r="E43" s="104" t="s">
        <v>76</v>
      </c>
      <c r="F43" s="92">
        <v>0</v>
      </c>
      <c r="G43" s="219">
        <f>IF(F43&gt;0,F43,
IF(B43&lt;&gt;"",
IF(C43="CLT",VLOOKUP(B43,'Lista Profissionais'!$C$11:$H$348,3,0),
VLOOKUP(B43,'Lista Profissionais'!$C$11:$H$348,6,0)), 0))</f>
        <v>7600</v>
      </c>
      <c r="H43" s="219">
        <f>IF(B43&lt;&gt;"",
IF(C43="CLT",
       22*$M$5 + (G43*'Lista Profissionais'!$G$9),0),0)</f>
        <v>2070</v>
      </c>
      <c r="I43" s="66">
        <f t="shared" si="62"/>
        <v>7600</v>
      </c>
      <c r="J43" s="66">
        <f t="shared" si="1"/>
        <v>16718.388888888891</v>
      </c>
      <c r="K43" s="66">
        <f t="shared" si="2"/>
        <v>24045.473595277781</v>
      </c>
      <c r="L43" s="93">
        <f t="shared" si="63"/>
        <v>94.990845959595973</v>
      </c>
      <c r="M43" s="151"/>
      <c r="N43" s="152">
        <v>0</v>
      </c>
      <c r="O43" s="69">
        <f t="shared" si="64"/>
        <v>0</v>
      </c>
      <c r="P43" s="69">
        <f t="shared" si="65"/>
        <v>30929.01944444445</v>
      </c>
      <c r="Q43" s="70">
        <f t="shared" si="66"/>
        <v>30929.01944444445</v>
      </c>
      <c r="R43" s="153">
        <f t="shared" si="67"/>
        <v>927.87058333333346</v>
      </c>
      <c r="S43" s="70">
        <v>0</v>
      </c>
      <c r="T43" s="165">
        <f t="shared" si="68"/>
        <v>31856.890027777783</v>
      </c>
      <c r="U43" s="163">
        <f t="shared" si="69"/>
        <v>181.00505697601014</v>
      </c>
      <c r="V43" s="164">
        <f t="shared" si="70"/>
        <v>608</v>
      </c>
      <c r="W43" s="164">
        <f t="shared" si="71"/>
        <v>243.20000000000002</v>
      </c>
      <c r="X43" s="144">
        <f t="shared" si="72"/>
        <v>633.33333333333337</v>
      </c>
      <c r="Y43" s="150">
        <f t="shared" si="73"/>
        <v>211.11111111111111</v>
      </c>
      <c r="Z43" s="150">
        <f t="shared" si="74"/>
        <v>633.33333333333337</v>
      </c>
      <c r="AA43" s="150">
        <f t="shared" si="75"/>
        <v>2090</v>
      </c>
      <c r="AB43" s="182">
        <f t="shared" si="76"/>
        <v>118.22222222222223</v>
      </c>
      <c r="AC43" s="182">
        <f t="shared" si="77"/>
        <v>406.38888888888891</v>
      </c>
      <c r="AD43" s="182">
        <f t="shared" si="78"/>
        <v>760</v>
      </c>
      <c r="AE43" s="180">
        <f t="shared" si="79"/>
        <v>60.800000000000004</v>
      </c>
      <c r="AF43" s="150">
        <f t="shared" si="17"/>
        <v>684</v>
      </c>
      <c r="AG43" s="150">
        <f t="shared" si="18"/>
        <v>600</v>
      </c>
      <c r="AH43" s="150">
        <f t="shared" si="36"/>
        <v>9118.3888888888905</v>
      </c>
      <c r="AI43" s="154">
        <f t="shared" si="19"/>
        <v>7327.0847063888905</v>
      </c>
      <c r="AJ43" s="70">
        <f t="shared" si="20"/>
        <v>6883.5458491666686</v>
      </c>
      <c r="AK43" s="155">
        <f t="shared" si="21"/>
        <v>0.21607714510627135</v>
      </c>
      <c r="AL43" s="155">
        <f t="shared" si="22"/>
        <v>0.28061966896918356</v>
      </c>
    </row>
    <row r="44" spans="2:38" ht="14.25" customHeight="1" x14ac:dyDescent="0.25">
      <c r="B44" s="174" t="s">
        <v>274</v>
      </c>
      <c r="C44" s="171" t="s">
        <v>109</v>
      </c>
      <c r="D44" s="103">
        <v>176</v>
      </c>
      <c r="E44" s="104" t="s">
        <v>76</v>
      </c>
      <c r="F44" s="92">
        <v>0</v>
      </c>
      <c r="G44" s="219">
        <f>IF(F44&gt;0,F44,
IF(B44&lt;&gt;"",
IF(C44="CLT",VLOOKUP(B44,'Lista Profissionais'!$C$11:$H$348,3,0),
VLOOKUP(B44,'Lista Profissionais'!$C$11:$H$348,6,0)), 0))</f>
        <v>3200</v>
      </c>
      <c r="H44" s="219">
        <f>IF(B44&lt;&gt;"",
IF(C44="CLT",
       22*$M$5 + (G44*'Lista Profissionais'!$G$9),0),0)</f>
        <v>1190</v>
      </c>
      <c r="I44" s="66">
        <f t="shared" si="62"/>
        <v>3200.0000000000005</v>
      </c>
      <c r="J44" s="66">
        <f t="shared" si="1"/>
        <v>7705.1111111111113</v>
      </c>
      <c r="K44" s="66">
        <f t="shared" si="2"/>
        <v>11081.991632222223</v>
      </c>
      <c r="L44" s="93">
        <f t="shared" si="63"/>
        <v>43.779040404040408</v>
      </c>
      <c r="M44" s="151"/>
      <c r="N44" s="152">
        <v>0</v>
      </c>
      <c r="O44" s="69">
        <f t="shared" si="64"/>
        <v>0</v>
      </c>
      <c r="P44" s="69">
        <f t="shared" si="65"/>
        <v>14254.455555555556</v>
      </c>
      <c r="Q44" s="70">
        <f t="shared" si="66"/>
        <v>14254.455555555556</v>
      </c>
      <c r="R44" s="153">
        <f t="shared" si="67"/>
        <v>427.63366666666667</v>
      </c>
      <c r="S44" s="70">
        <v>0</v>
      </c>
      <c r="T44" s="165">
        <f t="shared" si="68"/>
        <v>14682.089222222223</v>
      </c>
      <c r="U44" s="163">
        <f t="shared" si="69"/>
        <v>83.420961489899</v>
      </c>
      <c r="V44" s="164">
        <f t="shared" si="70"/>
        <v>256.00000000000006</v>
      </c>
      <c r="W44" s="164">
        <f t="shared" si="71"/>
        <v>102.40000000000003</v>
      </c>
      <c r="X44" s="144">
        <f t="shared" si="72"/>
        <v>266.66666666666669</v>
      </c>
      <c r="Y44" s="150">
        <f t="shared" si="73"/>
        <v>88.8888888888889</v>
      </c>
      <c r="Z44" s="150">
        <f t="shared" si="74"/>
        <v>266.66666666666669</v>
      </c>
      <c r="AA44" s="150">
        <f t="shared" si="75"/>
        <v>880.00000000000023</v>
      </c>
      <c r="AB44" s="182">
        <f t="shared" si="76"/>
        <v>49.777777777777786</v>
      </c>
      <c r="AC44" s="182">
        <f t="shared" si="77"/>
        <v>171.11111111111114</v>
      </c>
      <c r="AD44" s="182">
        <f t="shared" si="78"/>
        <v>320.00000000000006</v>
      </c>
      <c r="AE44" s="180">
        <f t="shared" si="79"/>
        <v>25.600000000000005</v>
      </c>
      <c r="AF44" s="150">
        <f t="shared" si="17"/>
        <v>288.00000000000006</v>
      </c>
      <c r="AG44" s="150">
        <f t="shared" si="18"/>
        <v>600</v>
      </c>
      <c r="AH44" s="150">
        <f t="shared" si="36"/>
        <v>4505.1111111111113</v>
      </c>
      <c r="AI44" s="154">
        <f t="shared" si="19"/>
        <v>3376.8805211111112</v>
      </c>
      <c r="AJ44" s="70">
        <f t="shared" si="20"/>
        <v>3172.4639233333328</v>
      </c>
      <c r="AK44" s="155">
        <f t="shared" si="21"/>
        <v>0.21607714510627127</v>
      </c>
      <c r="AL44" s="155">
        <f t="shared" si="22"/>
        <v>0.2806196689691835</v>
      </c>
    </row>
    <row r="45" spans="2:38" ht="14.25" customHeight="1" x14ac:dyDescent="0.25">
      <c r="B45" s="174" t="s">
        <v>275</v>
      </c>
      <c r="C45" s="171" t="s">
        <v>109</v>
      </c>
      <c r="D45" s="103">
        <v>176</v>
      </c>
      <c r="E45" s="104" t="s">
        <v>76</v>
      </c>
      <c r="F45" s="92">
        <v>0</v>
      </c>
      <c r="G45" s="219">
        <f>IF(F45&gt;0,F45,
IF(B45&lt;&gt;"",
IF(C45="CLT",VLOOKUP(B45,'Lista Profissionais'!$C$11:$H$348,3,0),
VLOOKUP(B45,'Lista Profissionais'!$C$11:$H$348,6,0)), 0))</f>
        <v>4400</v>
      </c>
      <c r="H45" s="219">
        <f>IF(B45&lt;&gt;"",
IF(C45="CLT",
       22*$M$5 + (G45*'Lista Profissionais'!$G$9),0),0)</f>
        <v>1430</v>
      </c>
      <c r="I45" s="66">
        <f t="shared" si="62"/>
        <v>4400</v>
      </c>
      <c r="J45" s="66">
        <f t="shared" ref="J45:J80" si="106">I45+AH45</f>
        <v>10163.277777777777</v>
      </c>
      <c r="K45" s="66">
        <f t="shared" ref="K45:K80" si="107">J45+S45+AI45</f>
        <v>14617.486713055554</v>
      </c>
      <c r="L45" s="93">
        <f t="shared" si="63"/>
        <v>57.745896464646464</v>
      </c>
      <c r="M45" s="151"/>
      <c r="N45" s="152">
        <v>0</v>
      </c>
      <c r="O45" s="69">
        <f t="shared" si="64"/>
        <v>0</v>
      </c>
      <c r="P45" s="69">
        <f t="shared" si="65"/>
        <v>18802.06388888889</v>
      </c>
      <c r="Q45" s="70">
        <f t="shared" si="66"/>
        <v>18802.06388888889</v>
      </c>
      <c r="R45" s="153">
        <f t="shared" si="67"/>
        <v>564.06191666666666</v>
      </c>
      <c r="S45" s="70">
        <v>0</v>
      </c>
      <c r="T45" s="165">
        <f t="shared" si="68"/>
        <v>19366.125805555555</v>
      </c>
      <c r="U45" s="163">
        <f t="shared" si="69"/>
        <v>110.03480571338383</v>
      </c>
      <c r="V45" s="164">
        <f t="shared" si="70"/>
        <v>352</v>
      </c>
      <c r="W45" s="164">
        <f t="shared" si="71"/>
        <v>140.80000000000001</v>
      </c>
      <c r="X45" s="144">
        <f t="shared" si="72"/>
        <v>366.66666666666669</v>
      </c>
      <c r="Y45" s="150">
        <f t="shared" si="73"/>
        <v>122.22222222222223</v>
      </c>
      <c r="Z45" s="150">
        <f t="shared" si="74"/>
        <v>366.66666666666669</v>
      </c>
      <c r="AA45" s="150">
        <f t="shared" si="75"/>
        <v>1210</v>
      </c>
      <c r="AB45" s="182">
        <f t="shared" si="76"/>
        <v>68.444444444444457</v>
      </c>
      <c r="AC45" s="182">
        <f t="shared" si="77"/>
        <v>235.27777777777783</v>
      </c>
      <c r="AD45" s="182">
        <f t="shared" si="78"/>
        <v>440</v>
      </c>
      <c r="AE45" s="180">
        <f t="shared" si="79"/>
        <v>35.200000000000003</v>
      </c>
      <c r="AF45" s="150">
        <f t="shared" ref="AF45:AF80" si="108">IF(C45="CLT",
       I45*$M$4, 0)</f>
        <v>396</v>
      </c>
      <c r="AG45" s="150">
        <f t="shared" ref="AG45:AG80" si="109">IF(B45&lt;&gt;"",
IF(C45="CLT",
       $Q$2, 0),0)</f>
        <v>600</v>
      </c>
      <c r="AH45" s="150">
        <f t="shared" si="36"/>
        <v>5763.2777777777774</v>
      </c>
      <c r="AI45" s="154">
        <f t="shared" ref="AI45:AI80" si="110">IF(E45="Sim", T45*$G$4, 0)</f>
        <v>4454.2089352777775</v>
      </c>
      <c r="AJ45" s="70">
        <f t="shared" ref="AJ45:AJ80" si="111">T45-AI45-J45-R45</f>
        <v>4184.5771758333349</v>
      </c>
      <c r="AK45" s="155">
        <f t="shared" ref="AK45:AK80" si="112">(IF(AJ45&gt;0,AJ45/T45,0))</f>
        <v>0.21607714510627141</v>
      </c>
      <c r="AL45" s="155">
        <f t="shared" ref="AL45:AL80" si="113">(IF(AJ45&gt;0,AJ45/(T45-AI45),0))</f>
        <v>0.28061966896918361</v>
      </c>
    </row>
    <row r="46" spans="2:38" ht="14.25" customHeight="1" x14ac:dyDescent="0.25">
      <c r="B46" s="174" t="s">
        <v>276</v>
      </c>
      <c r="C46" s="171" t="s">
        <v>109</v>
      </c>
      <c r="D46" s="103">
        <v>176</v>
      </c>
      <c r="E46" s="104" t="s">
        <v>76</v>
      </c>
      <c r="F46" s="92">
        <v>0</v>
      </c>
      <c r="G46" s="219">
        <f>IF(F46&gt;0,F46,
IF(B46&lt;&gt;"",
IF(C46="CLT",VLOOKUP(B46,'Lista Profissionais'!$C$11:$H$348,3,0),
VLOOKUP(B46,'Lista Profissionais'!$C$11:$H$348,6,0)), 0))</f>
        <v>5760</v>
      </c>
      <c r="H46" s="219">
        <f>IF(B46&lt;&gt;"",
IF(C46="CLT",
       22*$M$5 + (G46*'Lista Profissionais'!$G$9),0),0)</f>
        <v>1702</v>
      </c>
      <c r="I46" s="66">
        <f t="shared" si="62"/>
        <v>5760</v>
      </c>
      <c r="J46" s="66">
        <f t="shared" si="106"/>
        <v>12949.199999999999</v>
      </c>
      <c r="K46" s="66">
        <f t="shared" si="107"/>
        <v>18624.381137999997</v>
      </c>
      <c r="L46" s="93">
        <f t="shared" si="63"/>
        <v>73.574999999999989</v>
      </c>
      <c r="M46" s="151"/>
      <c r="N46" s="152">
        <v>0</v>
      </c>
      <c r="O46" s="69">
        <f t="shared" si="64"/>
        <v>0</v>
      </c>
      <c r="P46" s="69">
        <f t="shared" si="65"/>
        <v>23956.02</v>
      </c>
      <c r="Q46" s="70">
        <f t="shared" si="66"/>
        <v>23956.02</v>
      </c>
      <c r="R46" s="153">
        <f t="shared" si="67"/>
        <v>718.68060000000003</v>
      </c>
      <c r="S46" s="70">
        <v>0</v>
      </c>
      <c r="T46" s="165">
        <f t="shared" si="68"/>
        <v>24674.7006</v>
      </c>
      <c r="U46" s="163">
        <f t="shared" si="69"/>
        <v>140.19716249999999</v>
      </c>
      <c r="V46" s="164">
        <f t="shared" si="70"/>
        <v>460.8</v>
      </c>
      <c r="W46" s="164">
        <f t="shared" si="71"/>
        <v>184.32000000000002</v>
      </c>
      <c r="X46" s="144">
        <f t="shared" si="72"/>
        <v>480</v>
      </c>
      <c r="Y46" s="150">
        <f t="shared" si="73"/>
        <v>160</v>
      </c>
      <c r="Z46" s="150">
        <f t="shared" si="74"/>
        <v>480</v>
      </c>
      <c r="AA46" s="150">
        <f t="shared" si="75"/>
        <v>1584.0000000000002</v>
      </c>
      <c r="AB46" s="182">
        <f t="shared" si="76"/>
        <v>89.600000000000009</v>
      </c>
      <c r="AC46" s="182">
        <f t="shared" si="77"/>
        <v>308</v>
      </c>
      <c r="AD46" s="182">
        <f t="shared" si="78"/>
        <v>576</v>
      </c>
      <c r="AE46" s="180">
        <f t="shared" si="79"/>
        <v>46.08</v>
      </c>
      <c r="AF46" s="150">
        <f t="shared" si="108"/>
        <v>518.4</v>
      </c>
      <c r="AG46" s="150">
        <f t="shared" si="109"/>
        <v>600</v>
      </c>
      <c r="AH46" s="150">
        <f t="shared" si="36"/>
        <v>7189.1999999999989</v>
      </c>
      <c r="AI46" s="154">
        <f t="shared" si="110"/>
        <v>5675.1811379999999</v>
      </c>
      <c r="AJ46" s="70">
        <f t="shared" si="111"/>
        <v>5331.6388620000016</v>
      </c>
      <c r="AK46" s="155">
        <f t="shared" si="112"/>
        <v>0.21607714510627138</v>
      </c>
      <c r="AL46" s="155">
        <f t="shared" si="113"/>
        <v>0.28061966896918361</v>
      </c>
    </row>
    <row r="47" spans="2:38" ht="14.25" customHeight="1" x14ac:dyDescent="0.25">
      <c r="B47" s="174" t="s">
        <v>277</v>
      </c>
      <c r="C47" s="171" t="s">
        <v>109</v>
      </c>
      <c r="D47" s="103">
        <v>176</v>
      </c>
      <c r="E47" s="104" t="s">
        <v>76</v>
      </c>
      <c r="F47" s="92">
        <v>0</v>
      </c>
      <c r="G47" s="219">
        <f>IF(F47&gt;0,F47,
IF(B47&lt;&gt;"",
IF(C47="CLT",VLOOKUP(B47,'Lista Profissionais'!$C$11:$H$348,3,0),
VLOOKUP(B47,'Lista Profissionais'!$C$11:$H$348,6,0)), 0))</f>
        <v>11600</v>
      </c>
      <c r="H47" s="219">
        <f>IF(B47&lt;&gt;"",
IF(C47="CLT",
       22*$M$5 + (G47*'Lista Profissionais'!$G$9),0),0)</f>
        <v>2870</v>
      </c>
      <c r="I47" s="66">
        <f t="shared" si="62"/>
        <v>11600</v>
      </c>
      <c r="J47" s="66">
        <f t="shared" si="106"/>
        <v>24912.277777777777</v>
      </c>
      <c r="K47" s="66">
        <f t="shared" si="107"/>
        <v>35830.457198055556</v>
      </c>
      <c r="L47" s="93">
        <f t="shared" si="63"/>
        <v>141.54703282828282</v>
      </c>
      <c r="M47" s="151"/>
      <c r="N47" s="152">
        <v>0</v>
      </c>
      <c r="O47" s="69">
        <f t="shared" si="64"/>
        <v>0</v>
      </c>
      <c r="P47" s="69">
        <f t="shared" si="65"/>
        <v>46087.713888888888</v>
      </c>
      <c r="Q47" s="70">
        <f t="shared" si="66"/>
        <v>46087.713888888888</v>
      </c>
      <c r="R47" s="153">
        <f t="shared" si="67"/>
        <v>1382.6314166666666</v>
      </c>
      <c r="S47" s="70">
        <v>0</v>
      </c>
      <c r="T47" s="165">
        <f t="shared" si="68"/>
        <v>47470.345305555551</v>
      </c>
      <c r="U47" s="163">
        <f t="shared" si="69"/>
        <v>269.71787105429291</v>
      </c>
      <c r="V47" s="164">
        <f t="shared" si="70"/>
        <v>928</v>
      </c>
      <c r="W47" s="164">
        <f t="shared" si="71"/>
        <v>371.20000000000005</v>
      </c>
      <c r="X47" s="144">
        <f t="shared" si="72"/>
        <v>966.66666666666663</v>
      </c>
      <c r="Y47" s="150">
        <f t="shared" si="73"/>
        <v>322.22222222222223</v>
      </c>
      <c r="Z47" s="150">
        <f t="shared" si="74"/>
        <v>966.66666666666663</v>
      </c>
      <c r="AA47" s="150">
        <f t="shared" si="75"/>
        <v>3190.0000000000005</v>
      </c>
      <c r="AB47" s="182">
        <f t="shared" si="76"/>
        <v>180.44444444444446</v>
      </c>
      <c r="AC47" s="182">
        <f t="shared" si="77"/>
        <v>620.27777777777783</v>
      </c>
      <c r="AD47" s="182">
        <f t="shared" si="78"/>
        <v>1160</v>
      </c>
      <c r="AE47" s="180">
        <f t="shared" si="79"/>
        <v>92.8</v>
      </c>
      <c r="AF47" s="150">
        <f t="shared" si="108"/>
        <v>1044</v>
      </c>
      <c r="AG47" s="150">
        <f t="shared" si="109"/>
        <v>600</v>
      </c>
      <c r="AH47" s="150">
        <f t="shared" si="36"/>
        <v>13312.277777777777</v>
      </c>
      <c r="AI47" s="154">
        <f t="shared" si="110"/>
        <v>10918.179420277776</v>
      </c>
      <c r="AJ47" s="70">
        <f t="shared" si="111"/>
        <v>10257.256690833332</v>
      </c>
      <c r="AK47" s="155">
        <f t="shared" si="112"/>
        <v>0.21607714510627132</v>
      </c>
      <c r="AL47" s="155">
        <f t="shared" si="113"/>
        <v>0.2806196689691835</v>
      </c>
    </row>
    <row r="48" spans="2:38" ht="14.25" customHeight="1" x14ac:dyDescent="0.25">
      <c r="B48" s="174" t="s">
        <v>278</v>
      </c>
      <c r="C48" s="171" t="s">
        <v>109</v>
      </c>
      <c r="D48" s="103">
        <v>176</v>
      </c>
      <c r="E48" s="104" t="s">
        <v>76</v>
      </c>
      <c r="F48" s="92">
        <v>0</v>
      </c>
      <c r="G48" s="219">
        <f>IF(F48&gt;0,F48,
IF(B48&lt;&gt;"",
IF(C48="CLT",VLOOKUP(B48,'Lista Profissionais'!$C$11:$H$348,3,0),
VLOOKUP(B48,'Lista Profissionais'!$C$11:$H$348,6,0)), 0))</f>
        <v>7200</v>
      </c>
      <c r="H48" s="219">
        <f>IF(B48&lt;&gt;"",
IF(C48="CLT",
       22*$M$5 + (G48*'Lista Profissionais'!$G$9),0),0)</f>
        <v>1990</v>
      </c>
      <c r="I48" s="66">
        <f t="shared" si="62"/>
        <v>7200</v>
      </c>
      <c r="J48" s="66">
        <f t="shared" si="106"/>
        <v>15899</v>
      </c>
      <c r="K48" s="66">
        <f t="shared" si="107"/>
        <v>22866.975234999998</v>
      </c>
      <c r="L48" s="93">
        <f t="shared" si="63"/>
        <v>90.335227272727266</v>
      </c>
      <c r="M48" s="151"/>
      <c r="N48" s="152">
        <v>0</v>
      </c>
      <c r="O48" s="69">
        <f t="shared" si="64"/>
        <v>0</v>
      </c>
      <c r="P48" s="69">
        <f t="shared" si="65"/>
        <v>29413.15</v>
      </c>
      <c r="Q48" s="70">
        <f t="shared" si="66"/>
        <v>29413.15</v>
      </c>
      <c r="R48" s="153">
        <f t="shared" si="67"/>
        <v>882.39449999999999</v>
      </c>
      <c r="S48" s="70">
        <v>0</v>
      </c>
      <c r="T48" s="165">
        <f t="shared" si="68"/>
        <v>30295.5445</v>
      </c>
      <c r="U48" s="163">
        <f t="shared" si="69"/>
        <v>172.13377556818182</v>
      </c>
      <c r="V48" s="164">
        <f t="shared" si="70"/>
        <v>576</v>
      </c>
      <c r="W48" s="164">
        <f t="shared" si="71"/>
        <v>230.4</v>
      </c>
      <c r="X48" s="144">
        <f t="shared" si="72"/>
        <v>600</v>
      </c>
      <c r="Y48" s="150">
        <f t="shared" si="73"/>
        <v>200</v>
      </c>
      <c r="Z48" s="150">
        <f t="shared" si="74"/>
        <v>600</v>
      </c>
      <c r="AA48" s="150">
        <f t="shared" si="75"/>
        <v>1980.0000000000002</v>
      </c>
      <c r="AB48" s="182">
        <f t="shared" si="76"/>
        <v>112</v>
      </c>
      <c r="AC48" s="182">
        <f t="shared" si="77"/>
        <v>385.00000000000006</v>
      </c>
      <c r="AD48" s="182">
        <f t="shared" si="78"/>
        <v>720</v>
      </c>
      <c r="AE48" s="180">
        <f t="shared" si="79"/>
        <v>57.6</v>
      </c>
      <c r="AF48" s="150">
        <f t="shared" si="108"/>
        <v>648</v>
      </c>
      <c r="AG48" s="150">
        <f t="shared" si="109"/>
        <v>600</v>
      </c>
      <c r="AH48" s="150">
        <f t="shared" si="36"/>
        <v>8699</v>
      </c>
      <c r="AI48" s="154">
        <f t="shared" si="110"/>
        <v>6967.9752349999999</v>
      </c>
      <c r="AJ48" s="70">
        <f t="shared" si="111"/>
        <v>6546.1747649999979</v>
      </c>
      <c r="AK48" s="155">
        <f t="shared" si="112"/>
        <v>0.21607714510627124</v>
      </c>
      <c r="AL48" s="155">
        <f t="shared" si="113"/>
        <v>0.28061966896918344</v>
      </c>
    </row>
    <row r="49" spans="2:38" ht="14.25" customHeight="1" x14ac:dyDescent="0.25">
      <c r="B49" s="174" t="s">
        <v>279</v>
      </c>
      <c r="C49" s="171" t="s">
        <v>109</v>
      </c>
      <c r="D49" s="103">
        <v>176</v>
      </c>
      <c r="E49" s="104" t="s">
        <v>76</v>
      </c>
      <c r="F49" s="92">
        <v>0</v>
      </c>
      <c r="G49" s="219">
        <f>IF(F49&gt;0,F49,
IF(B49&lt;&gt;"",
IF(C49="CLT",VLOOKUP(B49,'Lista Profissionais'!$C$11:$H$348,3,0),
VLOOKUP(B49,'Lista Profissionais'!$C$11:$H$348,6,0)), 0))</f>
        <v>10080</v>
      </c>
      <c r="H49" s="219">
        <f>IF(B49&lt;&gt;"",
IF(C49="CLT",
       22*$M$5 + (G49*'Lista Profissionais'!$G$9),0),0)</f>
        <v>2566</v>
      </c>
      <c r="I49" s="66">
        <f t="shared" si="62"/>
        <v>10080</v>
      </c>
      <c r="J49" s="66">
        <f t="shared" si="106"/>
        <v>21798.6</v>
      </c>
      <c r="K49" s="66">
        <f t="shared" si="107"/>
        <v>31352.163429</v>
      </c>
      <c r="L49" s="93">
        <f t="shared" si="63"/>
        <v>123.85568181818181</v>
      </c>
      <c r="M49" s="151"/>
      <c r="N49" s="152">
        <v>0</v>
      </c>
      <c r="O49" s="69">
        <f t="shared" si="64"/>
        <v>0</v>
      </c>
      <c r="P49" s="69">
        <f t="shared" si="65"/>
        <v>40327.409999999996</v>
      </c>
      <c r="Q49" s="70">
        <f t="shared" si="66"/>
        <v>40327.409999999996</v>
      </c>
      <c r="R49" s="153">
        <f t="shared" si="67"/>
        <v>1209.8222999999998</v>
      </c>
      <c r="S49" s="70">
        <v>0</v>
      </c>
      <c r="T49" s="165">
        <f t="shared" si="68"/>
        <v>41537.232299999996</v>
      </c>
      <c r="U49" s="163">
        <f t="shared" si="69"/>
        <v>236.00700170454544</v>
      </c>
      <c r="V49" s="164">
        <f t="shared" si="70"/>
        <v>806.4</v>
      </c>
      <c r="W49" s="164">
        <f t="shared" si="71"/>
        <v>322.56</v>
      </c>
      <c r="X49" s="144">
        <f t="shared" si="72"/>
        <v>840</v>
      </c>
      <c r="Y49" s="150">
        <f t="shared" si="73"/>
        <v>280</v>
      </c>
      <c r="Z49" s="150">
        <f t="shared" si="74"/>
        <v>840</v>
      </c>
      <c r="AA49" s="150">
        <f t="shared" si="75"/>
        <v>2772</v>
      </c>
      <c r="AB49" s="182">
        <f t="shared" si="76"/>
        <v>156.80000000000001</v>
      </c>
      <c r="AC49" s="182">
        <f t="shared" si="77"/>
        <v>539</v>
      </c>
      <c r="AD49" s="182">
        <f t="shared" si="78"/>
        <v>1008</v>
      </c>
      <c r="AE49" s="180">
        <f t="shared" si="79"/>
        <v>80.64</v>
      </c>
      <c r="AF49" s="150">
        <f t="shared" si="108"/>
        <v>907.19999999999993</v>
      </c>
      <c r="AG49" s="150">
        <f t="shared" si="109"/>
        <v>600</v>
      </c>
      <c r="AH49" s="150">
        <f t="shared" si="36"/>
        <v>11718.6</v>
      </c>
      <c r="AI49" s="154">
        <f t="shared" si="110"/>
        <v>9553.5634289999998</v>
      </c>
      <c r="AJ49" s="70">
        <f t="shared" si="111"/>
        <v>8975.246570999996</v>
      </c>
      <c r="AK49" s="155">
        <f t="shared" si="112"/>
        <v>0.21607714510627124</v>
      </c>
      <c r="AL49" s="155">
        <f t="shared" si="113"/>
        <v>0.28061966896918344</v>
      </c>
    </row>
    <row r="50" spans="2:38" ht="14.25" customHeight="1" x14ac:dyDescent="0.25">
      <c r="B50" s="174" t="s">
        <v>280</v>
      </c>
      <c r="C50" s="171" t="s">
        <v>109</v>
      </c>
      <c r="D50" s="103">
        <v>176</v>
      </c>
      <c r="E50" s="104" t="s">
        <v>76</v>
      </c>
      <c r="F50" s="92">
        <v>0</v>
      </c>
      <c r="G50" s="219">
        <f>IF(F50&gt;0,F50,
IF(B50&lt;&gt;"",
IF(C50="CLT",VLOOKUP(B50,'Lista Profissionais'!$C$11:$H$348,3,0),
VLOOKUP(B50,'Lista Profissionais'!$C$11:$H$348,6,0)), 0))</f>
        <v>11600</v>
      </c>
      <c r="H50" s="219">
        <f>IF(B50&lt;&gt;"",
IF(C50="CLT",
       22*$M$5 + (G50*'Lista Profissionais'!$G$9),0),0)</f>
        <v>2870</v>
      </c>
      <c r="I50" s="66">
        <f t="shared" si="62"/>
        <v>11600</v>
      </c>
      <c r="J50" s="66">
        <f t="shared" si="106"/>
        <v>24912.277777777777</v>
      </c>
      <c r="K50" s="66">
        <f t="shared" si="107"/>
        <v>35830.457198055556</v>
      </c>
      <c r="L50" s="93">
        <f t="shared" si="63"/>
        <v>141.54703282828282</v>
      </c>
      <c r="M50" s="151"/>
      <c r="N50" s="152">
        <v>0</v>
      </c>
      <c r="O50" s="69">
        <f t="shared" si="64"/>
        <v>0</v>
      </c>
      <c r="P50" s="69">
        <f t="shared" si="65"/>
        <v>46087.713888888888</v>
      </c>
      <c r="Q50" s="70">
        <f t="shared" si="66"/>
        <v>46087.713888888888</v>
      </c>
      <c r="R50" s="153">
        <f t="shared" si="67"/>
        <v>1382.6314166666666</v>
      </c>
      <c r="S50" s="70">
        <v>0</v>
      </c>
      <c r="T50" s="165">
        <f t="shared" si="68"/>
        <v>47470.345305555551</v>
      </c>
      <c r="U50" s="163">
        <f t="shared" si="69"/>
        <v>269.71787105429291</v>
      </c>
      <c r="V50" s="164">
        <f t="shared" si="70"/>
        <v>928</v>
      </c>
      <c r="W50" s="164">
        <f t="shared" si="71"/>
        <v>371.20000000000005</v>
      </c>
      <c r="X50" s="144">
        <f t="shared" si="72"/>
        <v>966.66666666666663</v>
      </c>
      <c r="Y50" s="150">
        <f t="shared" si="73"/>
        <v>322.22222222222223</v>
      </c>
      <c r="Z50" s="150">
        <f t="shared" si="74"/>
        <v>966.66666666666663</v>
      </c>
      <c r="AA50" s="150">
        <f t="shared" si="75"/>
        <v>3190.0000000000005</v>
      </c>
      <c r="AB50" s="182">
        <f t="shared" si="76"/>
        <v>180.44444444444446</v>
      </c>
      <c r="AC50" s="182">
        <f t="shared" si="77"/>
        <v>620.27777777777783</v>
      </c>
      <c r="AD50" s="182">
        <f t="shared" si="78"/>
        <v>1160</v>
      </c>
      <c r="AE50" s="180">
        <f t="shared" si="79"/>
        <v>92.8</v>
      </c>
      <c r="AF50" s="150">
        <f t="shared" si="108"/>
        <v>1044</v>
      </c>
      <c r="AG50" s="150">
        <f t="shared" si="109"/>
        <v>600</v>
      </c>
      <c r="AH50" s="150">
        <f t="shared" si="36"/>
        <v>13312.277777777777</v>
      </c>
      <c r="AI50" s="154">
        <f t="shared" si="110"/>
        <v>10918.179420277776</v>
      </c>
      <c r="AJ50" s="70">
        <f t="shared" si="111"/>
        <v>10257.256690833332</v>
      </c>
      <c r="AK50" s="155">
        <f t="shared" si="112"/>
        <v>0.21607714510627132</v>
      </c>
      <c r="AL50" s="155">
        <f t="shared" si="113"/>
        <v>0.2806196689691835</v>
      </c>
    </row>
    <row r="51" spans="2:38" ht="14.25" customHeight="1" x14ac:dyDescent="0.25">
      <c r="B51" s="174" t="s">
        <v>281</v>
      </c>
      <c r="C51" s="171" t="s">
        <v>109</v>
      </c>
      <c r="D51" s="103">
        <v>176</v>
      </c>
      <c r="E51" s="104" t="s">
        <v>76</v>
      </c>
      <c r="F51" s="92">
        <v>0</v>
      </c>
      <c r="G51" s="219">
        <f>IF(F51&gt;0,F51,
IF(B51&lt;&gt;"",
IF(C51="CLT",VLOOKUP(B51,'Lista Profissionais'!$C$11:$H$348,3,0),
VLOOKUP(B51,'Lista Profissionais'!$C$11:$H$348,6,0)), 0))</f>
        <v>7200</v>
      </c>
      <c r="H51" s="219">
        <f>IF(B51&lt;&gt;"",
IF(C51="CLT",
       22*$M$5 + (G51*'Lista Profissionais'!$G$9),0),0)</f>
        <v>1990</v>
      </c>
      <c r="I51" s="66">
        <f t="shared" si="62"/>
        <v>7200</v>
      </c>
      <c r="J51" s="66">
        <f t="shared" si="106"/>
        <v>15899</v>
      </c>
      <c r="K51" s="66">
        <f t="shared" si="107"/>
        <v>22866.975234999998</v>
      </c>
      <c r="L51" s="93">
        <f t="shared" si="63"/>
        <v>90.335227272727266</v>
      </c>
      <c r="M51" s="151"/>
      <c r="N51" s="152">
        <v>0</v>
      </c>
      <c r="O51" s="69">
        <f t="shared" si="64"/>
        <v>0</v>
      </c>
      <c r="P51" s="69">
        <f t="shared" si="65"/>
        <v>29413.15</v>
      </c>
      <c r="Q51" s="70">
        <f t="shared" si="66"/>
        <v>29413.15</v>
      </c>
      <c r="R51" s="153">
        <f t="shared" si="67"/>
        <v>882.39449999999999</v>
      </c>
      <c r="S51" s="70">
        <v>0</v>
      </c>
      <c r="T51" s="165">
        <f t="shared" si="68"/>
        <v>30295.5445</v>
      </c>
      <c r="U51" s="163">
        <f t="shared" si="69"/>
        <v>172.13377556818182</v>
      </c>
      <c r="V51" s="164">
        <f t="shared" si="70"/>
        <v>576</v>
      </c>
      <c r="W51" s="164">
        <f t="shared" si="71"/>
        <v>230.4</v>
      </c>
      <c r="X51" s="144">
        <f t="shared" si="72"/>
        <v>600</v>
      </c>
      <c r="Y51" s="150">
        <f t="shared" si="73"/>
        <v>200</v>
      </c>
      <c r="Z51" s="150">
        <f t="shared" si="74"/>
        <v>600</v>
      </c>
      <c r="AA51" s="150">
        <f t="shared" si="75"/>
        <v>1980.0000000000002</v>
      </c>
      <c r="AB51" s="182">
        <f t="shared" si="76"/>
        <v>112</v>
      </c>
      <c r="AC51" s="182">
        <f t="shared" si="77"/>
        <v>385.00000000000006</v>
      </c>
      <c r="AD51" s="182">
        <f t="shared" si="78"/>
        <v>720</v>
      </c>
      <c r="AE51" s="180">
        <f t="shared" si="79"/>
        <v>57.6</v>
      </c>
      <c r="AF51" s="150">
        <f t="shared" si="108"/>
        <v>648</v>
      </c>
      <c r="AG51" s="150">
        <f t="shared" si="109"/>
        <v>600</v>
      </c>
      <c r="AH51" s="150">
        <f t="shared" si="36"/>
        <v>8699</v>
      </c>
      <c r="AI51" s="154">
        <f t="shared" si="110"/>
        <v>6967.9752349999999</v>
      </c>
      <c r="AJ51" s="70">
        <f t="shared" si="111"/>
        <v>6546.1747649999979</v>
      </c>
      <c r="AK51" s="155">
        <f t="shared" si="112"/>
        <v>0.21607714510627124</v>
      </c>
      <c r="AL51" s="155">
        <f t="shared" si="113"/>
        <v>0.28061966896918344</v>
      </c>
    </row>
    <row r="52" spans="2:38" ht="14.25" customHeight="1" x14ac:dyDescent="0.25">
      <c r="B52" s="174" t="s">
        <v>282</v>
      </c>
      <c r="C52" s="171" t="s">
        <v>109</v>
      </c>
      <c r="D52" s="103">
        <v>176</v>
      </c>
      <c r="E52" s="104" t="s">
        <v>76</v>
      </c>
      <c r="F52" s="92">
        <v>0</v>
      </c>
      <c r="G52" s="219">
        <f>IF(F52&gt;0,F52,
IF(B52&lt;&gt;"",
IF(C52="CLT",VLOOKUP(B52,'Lista Profissionais'!$C$11:$H$348,3,0),
VLOOKUP(B52,'Lista Profissionais'!$C$11:$H$348,6,0)), 0))</f>
        <v>10080</v>
      </c>
      <c r="H52" s="219">
        <f>IF(B52&lt;&gt;"",
IF(C52="CLT",
       22*$M$5 + (G52*'Lista Profissionais'!$G$9),0),0)</f>
        <v>2566</v>
      </c>
      <c r="I52" s="66">
        <f t="shared" si="62"/>
        <v>10080</v>
      </c>
      <c r="J52" s="66">
        <f t="shared" si="106"/>
        <v>21798.6</v>
      </c>
      <c r="K52" s="66">
        <f t="shared" si="107"/>
        <v>31352.163429</v>
      </c>
      <c r="L52" s="93">
        <f t="shared" si="63"/>
        <v>123.85568181818181</v>
      </c>
      <c r="M52" s="151"/>
      <c r="N52" s="152">
        <v>0</v>
      </c>
      <c r="O52" s="69">
        <f t="shared" si="64"/>
        <v>0</v>
      </c>
      <c r="P52" s="69">
        <f t="shared" si="65"/>
        <v>40327.409999999996</v>
      </c>
      <c r="Q52" s="70">
        <f t="shared" si="66"/>
        <v>40327.409999999996</v>
      </c>
      <c r="R52" s="153">
        <f t="shared" si="67"/>
        <v>1209.8222999999998</v>
      </c>
      <c r="S52" s="70">
        <v>0</v>
      </c>
      <c r="T52" s="165">
        <f t="shared" si="68"/>
        <v>41537.232299999996</v>
      </c>
      <c r="U52" s="163">
        <f t="shared" si="69"/>
        <v>236.00700170454544</v>
      </c>
      <c r="V52" s="164">
        <f t="shared" si="70"/>
        <v>806.4</v>
      </c>
      <c r="W52" s="164">
        <f t="shared" si="71"/>
        <v>322.56</v>
      </c>
      <c r="X52" s="144">
        <f t="shared" si="72"/>
        <v>840</v>
      </c>
      <c r="Y52" s="150">
        <f t="shared" si="73"/>
        <v>280</v>
      </c>
      <c r="Z52" s="150">
        <f t="shared" si="74"/>
        <v>840</v>
      </c>
      <c r="AA52" s="150">
        <f t="shared" si="75"/>
        <v>2772</v>
      </c>
      <c r="AB52" s="182">
        <f t="shared" si="76"/>
        <v>156.80000000000001</v>
      </c>
      <c r="AC52" s="182">
        <f t="shared" si="77"/>
        <v>539</v>
      </c>
      <c r="AD52" s="182">
        <f t="shared" si="78"/>
        <v>1008</v>
      </c>
      <c r="AE52" s="180">
        <f t="shared" si="79"/>
        <v>80.64</v>
      </c>
      <c r="AF52" s="150">
        <f t="shared" si="108"/>
        <v>907.19999999999993</v>
      </c>
      <c r="AG52" s="150">
        <f t="shared" si="109"/>
        <v>600</v>
      </c>
      <c r="AH52" s="150">
        <f t="shared" si="36"/>
        <v>11718.6</v>
      </c>
      <c r="AI52" s="154">
        <f t="shared" si="110"/>
        <v>9553.5634289999998</v>
      </c>
      <c r="AJ52" s="70">
        <f t="shared" si="111"/>
        <v>8975.246570999996</v>
      </c>
      <c r="AK52" s="155">
        <f t="shared" si="112"/>
        <v>0.21607714510627124</v>
      </c>
      <c r="AL52" s="155">
        <f t="shared" si="113"/>
        <v>0.28061966896918344</v>
      </c>
    </row>
    <row r="53" spans="2:38" ht="14.25" customHeight="1" x14ac:dyDescent="0.25">
      <c r="B53" s="174" t="s">
        <v>283</v>
      </c>
      <c r="C53" s="171" t="s">
        <v>109</v>
      </c>
      <c r="D53" s="103">
        <v>176</v>
      </c>
      <c r="E53" s="104" t="s">
        <v>76</v>
      </c>
      <c r="F53" s="92">
        <v>0</v>
      </c>
      <c r="G53" s="219">
        <f>IF(F53&gt;0,F53,
IF(B53&lt;&gt;"",
IF(C53="CLT",VLOOKUP(B53,'Lista Profissionais'!$C$11:$H$348,3,0),
VLOOKUP(B53,'Lista Profissionais'!$C$11:$H$348,6,0)), 0))</f>
        <v>11360</v>
      </c>
      <c r="H53" s="219">
        <f>IF(B53&lt;&gt;"",
IF(C53="CLT",
       22*$M$5 + (G53*'Lista Profissionais'!$G$9),0),0)</f>
        <v>2822</v>
      </c>
      <c r="I53" s="66">
        <f t="shared" si="62"/>
        <v>11360</v>
      </c>
      <c r="J53" s="66">
        <f t="shared" si="106"/>
        <v>24420.644444444442</v>
      </c>
      <c r="K53" s="66">
        <f t="shared" si="107"/>
        <v>35123.358181888885</v>
      </c>
      <c r="L53" s="93">
        <f t="shared" si="63"/>
        <v>138.75366161616159</v>
      </c>
      <c r="M53" s="151"/>
      <c r="N53" s="152">
        <v>0</v>
      </c>
      <c r="O53" s="69">
        <f t="shared" si="64"/>
        <v>0</v>
      </c>
      <c r="P53" s="69">
        <f t="shared" si="65"/>
        <v>45178.19222222222</v>
      </c>
      <c r="Q53" s="70">
        <f t="shared" si="66"/>
        <v>45178.19222222222</v>
      </c>
      <c r="R53" s="153">
        <f t="shared" si="67"/>
        <v>1355.3457666666666</v>
      </c>
      <c r="S53" s="70">
        <v>0</v>
      </c>
      <c r="T53" s="165">
        <f t="shared" si="68"/>
        <v>46533.537988888886</v>
      </c>
      <c r="U53" s="163">
        <f t="shared" si="69"/>
        <v>264.39510220959596</v>
      </c>
      <c r="V53" s="164">
        <f t="shared" si="70"/>
        <v>908.80000000000007</v>
      </c>
      <c r="W53" s="164">
        <f t="shared" si="71"/>
        <v>363.52000000000004</v>
      </c>
      <c r="X53" s="144">
        <f t="shared" si="72"/>
        <v>946.66666666666663</v>
      </c>
      <c r="Y53" s="150">
        <f t="shared" si="73"/>
        <v>315.55555555555554</v>
      </c>
      <c r="Z53" s="150">
        <f t="shared" si="74"/>
        <v>946.66666666666663</v>
      </c>
      <c r="AA53" s="150">
        <f t="shared" si="75"/>
        <v>3124.0000000000005</v>
      </c>
      <c r="AB53" s="182">
        <f t="shared" si="76"/>
        <v>176.71111111111111</v>
      </c>
      <c r="AC53" s="182">
        <f t="shared" si="77"/>
        <v>607.44444444444446</v>
      </c>
      <c r="AD53" s="182">
        <f t="shared" si="78"/>
        <v>1136</v>
      </c>
      <c r="AE53" s="180">
        <f t="shared" si="79"/>
        <v>90.88</v>
      </c>
      <c r="AF53" s="150">
        <f t="shared" si="108"/>
        <v>1022.4</v>
      </c>
      <c r="AG53" s="150">
        <f t="shared" si="109"/>
        <v>600</v>
      </c>
      <c r="AH53" s="150">
        <f t="shared" si="36"/>
        <v>13060.644444444442</v>
      </c>
      <c r="AI53" s="154">
        <f t="shared" si="110"/>
        <v>10702.713737444445</v>
      </c>
      <c r="AJ53" s="70">
        <f t="shared" si="111"/>
        <v>10054.834040333333</v>
      </c>
      <c r="AK53" s="155">
        <f t="shared" si="112"/>
        <v>0.21607714510627132</v>
      </c>
      <c r="AL53" s="155">
        <f t="shared" si="113"/>
        <v>0.28061966896918356</v>
      </c>
    </row>
    <row r="54" spans="2:38" ht="14.25" customHeight="1" x14ac:dyDescent="0.25">
      <c r="B54" s="174" t="s">
        <v>284</v>
      </c>
      <c r="C54" s="171" t="s">
        <v>109</v>
      </c>
      <c r="D54" s="103">
        <v>176</v>
      </c>
      <c r="E54" s="104" t="s">
        <v>76</v>
      </c>
      <c r="F54" s="92">
        <v>0</v>
      </c>
      <c r="G54" s="219">
        <f>IF(F54&gt;0,F54,
IF(B54&lt;&gt;"",
IF(C54="CLT",VLOOKUP(B54,'Lista Profissionais'!$C$11:$H$348,3,0),
VLOOKUP(B54,'Lista Profissionais'!$C$11:$H$348,6,0)), 0))</f>
        <v>4160</v>
      </c>
      <c r="H54" s="219">
        <f>IF(B54&lt;&gt;"",
IF(C54="CLT",
       22*$M$5 + (G54*'Lista Profissionais'!$G$9),0),0)</f>
        <v>1382</v>
      </c>
      <c r="I54" s="66">
        <f t="shared" si="62"/>
        <v>4160</v>
      </c>
      <c r="J54" s="66">
        <f t="shared" si="106"/>
        <v>9671.6444444444442</v>
      </c>
      <c r="K54" s="66">
        <f t="shared" si="107"/>
        <v>13910.387696888889</v>
      </c>
      <c r="L54" s="93">
        <f t="shared" si="63"/>
        <v>54.952525252525248</v>
      </c>
      <c r="M54" s="151"/>
      <c r="N54" s="152">
        <v>0</v>
      </c>
      <c r="O54" s="69">
        <f t="shared" si="64"/>
        <v>0</v>
      </c>
      <c r="P54" s="69">
        <f t="shared" si="65"/>
        <v>17892.542222222222</v>
      </c>
      <c r="Q54" s="70">
        <f t="shared" si="66"/>
        <v>17892.542222222222</v>
      </c>
      <c r="R54" s="153">
        <f t="shared" si="67"/>
        <v>536.77626666666663</v>
      </c>
      <c r="S54" s="70">
        <v>0</v>
      </c>
      <c r="T54" s="165">
        <f t="shared" si="68"/>
        <v>18429.31848888889</v>
      </c>
      <c r="U54" s="163">
        <f t="shared" si="69"/>
        <v>104.71203686868688</v>
      </c>
      <c r="V54" s="164">
        <f t="shared" si="70"/>
        <v>332.8</v>
      </c>
      <c r="W54" s="164">
        <f t="shared" si="71"/>
        <v>133.12</v>
      </c>
      <c r="X54" s="144">
        <f t="shared" si="72"/>
        <v>346.66666666666669</v>
      </c>
      <c r="Y54" s="150">
        <f t="shared" si="73"/>
        <v>115.55555555555556</v>
      </c>
      <c r="Z54" s="150">
        <f t="shared" si="74"/>
        <v>346.66666666666669</v>
      </c>
      <c r="AA54" s="150">
        <f t="shared" si="75"/>
        <v>1144</v>
      </c>
      <c r="AB54" s="182">
        <f t="shared" si="76"/>
        <v>64.711111111111109</v>
      </c>
      <c r="AC54" s="182">
        <f t="shared" si="77"/>
        <v>222.44444444444446</v>
      </c>
      <c r="AD54" s="182">
        <f t="shared" si="78"/>
        <v>416</v>
      </c>
      <c r="AE54" s="180">
        <f t="shared" si="79"/>
        <v>33.28</v>
      </c>
      <c r="AF54" s="150">
        <f t="shared" si="108"/>
        <v>374.4</v>
      </c>
      <c r="AG54" s="150">
        <f t="shared" si="109"/>
        <v>600</v>
      </c>
      <c r="AH54" s="150">
        <f t="shared" si="36"/>
        <v>5511.6444444444442</v>
      </c>
      <c r="AI54" s="154">
        <f t="shared" si="110"/>
        <v>4238.7432524444448</v>
      </c>
      <c r="AJ54" s="70">
        <f t="shared" si="111"/>
        <v>3982.1545253333343</v>
      </c>
      <c r="AK54" s="155">
        <f t="shared" si="112"/>
        <v>0.21607714510627135</v>
      </c>
      <c r="AL54" s="155">
        <f t="shared" si="113"/>
        <v>0.28061966896918361</v>
      </c>
    </row>
    <row r="55" spans="2:38" ht="14.25" customHeight="1" x14ac:dyDescent="0.25">
      <c r="B55" s="174" t="s">
        <v>285</v>
      </c>
      <c r="C55" s="171" t="s">
        <v>109</v>
      </c>
      <c r="D55" s="103">
        <v>176</v>
      </c>
      <c r="E55" s="104" t="s">
        <v>76</v>
      </c>
      <c r="F55" s="92">
        <v>0</v>
      </c>
      <c r="G55" s="219">
        <f>IF(F55&gt;0,F55,
IF(B55&lt;&gt;"",
IF(C55="CLT",VLOOKUP(B55,'Lista Profissionais'!$C$11:$H$348,3,0),
VLOOKUP(B55,'Lista Profissionais'!$C$11:$H$348,6,0)), 0))</f>
        <v>6560</v>
      </c>
      <c r="H55" s="219">
        <f>IF(B55&lt;&gt;"",
IF(C55="CLT",
       22*$M$5 + (G55*'Lista Profissionais'!$G$9),0),0)</f>
        <v>1862</v>
      </c>
      <c r="I55" s="66">
        <f t="shared" si="62"/>
        <v>6560</v>
      </c>
      <c r="J55" s="66">
        <f t="shared" si="106"/>
        <v>14587.977777777778</v>
      </c>
      <c r="K55" s="66">
        <f t="shared" si="107"/>
        <v>20981.377858555556</v>
      </c>
      <c r="L55" s="93">
        <f t="shared" si="63"/>
        <v>82.886237373737373</v>
      </c>
      <c r="M55" s="151"/>
      <c r="N55" s="152">
        <v>0</v>
      </c>
      <c r="O55" s="69">
        <f t="shared" si="64"/>
        <v>0</v>
      </c>
      <c r="P55" s="69">
        <f t="shared" si="65"/>
        <v>26987.758888888889</v>
      </c>
      <c r="Q55" s="70">
        <f t="shared" si="66"/>
        <v>26987.758888888889</v>
      </c>
      <c r="R55" s="153">
        <f t="shared" si="67"/>
        <v>809.63276666666661</v>
      </c>
      <c r="S55" s="70">
        <v>0</v>
      </c>
      <c r="T55" s="165">
        <f t="shared" si="68"/>
        <v>27797.391655555555</v>
      </c>
      <c r="U55" s="163">
        <f t="shared" si="69"/>
        <v>157.93972531565657</v>
      </c>
      <c r="V55" s="164">
        <f t="shared" si="70"/>
        <v>524.79999999999995</v>
      </c>
      <c r="W55" s="164">
        <f t="shared" si="71"/>
        <v>209.92</v>
      </c>
      <c r="X55" s="144">
        <f t="shared" si="72"/>
        <v>546.66666666666663</v>
      </c>
      <c r="Y55" s="150">
        <f t="shared" si="73"/>
        <v>182.2222222222222</v>
      </c>
      <c r="Z55" s="150">
        <f t="shared" si="74"/>
        <v>546.66666666666663</v>
      </c>
      <c r="AA55" s="150">
        <f t="shared" si="75"/>
        <v>1804.0000000000002</v>
      </c>
      <c r="AB55" s="182">
        <f t="shared" si="76"/>
        <v>102.04444444444444</v>
      </c>
      <c r="AC55" s="182">
        <f t="shared" si="77"/>
        <v>350.77777777777777</v>
      </c>
      <c r="AD55" s="182">
        <f t="shared" si="78"/>
        <v>656</v>
      </c>
      <c r="AE55" s="180">
        <f t="shared" si="79"/>
        <v>52.480000000000004</v>
      </c>
      <c r="AF55" s="150">
        <f t="shared" si="108"/>
        <v>590.4</v>
      </c>
      <c r="AG55" s="150">
        <f t="shared" si="109"/>
        <v>600</v>
      </c>
      <c r="AH55" s="150">
        <f t="shared" si="36"/>
        <v>8027.9777777777772</v>
      </c>
      <c r="AI55" s="154">
        <f t="shared" si="110"/>
        <v>6393.4000807777784</v>
      </c>
      <c r="AJ55" s="70">
        <f t="shared" si="111"/>
        <v>6006.381030333333</v>
      </c>
      <c r="AK55" s="155">
        <f t="shared" si="112"/>
        <v>0.21607714510627132</v>
      </c>
      <c r="AL55" s="155">
        <f t="shared" si="113"/>
        <v>0.2806196689691835</v>
      </c>
    </row>
    <row r="56" spans="2:38" ht="14.25" customHeight="1" x14ac:dyDescent="0.25">
      <c r="B56" s="174" t="s">
        <v>286</v>
      </c>
      <c r="C56" s="171" t="s">
        <v>109</v>
      </c>
      <c r="D56" s="103">
        <v>176</v>
      </c>
      <c r="E56" s="104" t="s">
        <v>76</v>
      </c>
      <c r="F56" s="92">
        <v>0</v>
      </c>
      <c r="G56" s="219">
        <f>IF(F56&gt;0,F56,
IF(B56&lt;&gt;"",
IF(C56="CLT",VLOOKUP(B56,'Lista Profissionais'!$C$11:$H$348,3,0),
VLOOKUP(B56,'Lista Profissionais'!$C$11:$H$348,6,0)), 0))</f>
        <v>10000</v>
      </c>
      <c r="H56" s="219">
        <f>IF(B56&lt;&gt;"",
IF(C56="CLT",
       22*$M$5 + (G56*'Lista Profissionais'!$G$9),0),0)</f>
        <v>2550</v>
      </c>
      <c r="I56" s="66">
        <f t="shared" si="62"/>
        <v>10000</v>
      </c>
      <c r="J56" s="66">
        <f t="shared" si="106"/>
        <v>21634.722222222223</v>
      </c>
      <c r="K56" s="66">
        <f t="shared" si="107"/>
        <v>31116.463756944446</v>
      </c>
      <c r="L56" s="93">
        <f t="shared" si="63"/>
        <v>122.92455808080808</v>
      </c>
      <c r="M56" s="151"/>
      <c r="N56" s="152">
        <v>0</v>
      </c>
      <c r="O56" s="69">
        <f t="shared" si="64"/>
        <v>0</v>
      </c>
      <c r="P56" s="69">
        <f t="shared" si="65"/>
        <v>40024.236111111117</v>
      </c>
      <c r="Q56" s="70">
        <f t="shared" si="66"/>
        <v>40024.236111111117</v>
      </c>
      <c r="R56" s="153">
        <f t="shared" si="67"/>
        <v>1200.7270833333334</v>
      </c>
      <c r="S56" s="70">
        <v>0</v>
      </c>
      <c r="T56" s="165">
        <f t="shared" si="68"/>
        <v>41224.963194444448</v>
      </c>
      <c r="U56" s="163">
        <f t="shared" si="69"/>
        <v>234.23274542297983</v>
      </c>
      <c r="V56" s="164">
        <f t="shared" si="70"/>
        <v>800</v>
      </c>
      <c r="W56" s="164">
        <f t="shared" si="71"/>
        <v>320</v>
      </c>
      <c r="X56" s="144">
        <f t="shared" si="72"/>
        <v>833.33333333333337</v>
      </c>
      <c r="Y56" s="150">
        <f t="shared" si="73"/>
        <v>277.77777777777777</v>
      </c>
      <c r="Z56" s="150">
        <f t="shared" si="74"/>
        <v>833.33333333333337</v>
      </c>
      <c r="AA56" s="150">
        <f t="shared" si="75"/>
        <v>2750</v>
      </c>
      <c r="AB56" s="182">
        <f t="shared" si="76"/>
        <v>155.55555555555554</v>
      </c>
      <c r="AC56" s="182">
        <f t="shared" si="77"/>
        <v>534.72222222222229</v>
      </c>
      <c r="AD56" s="182">
        <f t="shared" si="78"/>
        <v>1000</v>
      </c>
      <c r="AE56" s="180">
        <f t="shared" si="79"/>
        <v>80</v>
      </c>
      <c r="AF56" s="150">
        <f t="shared" si="108"/>
        <v>900</v>
      </c>
      <c r="AG56" s="150">
        <f t="shared" si="109"/>
        <v>600</v>
      </c>
      <c r="AH56" s="150">
        <f t="shared" si="36"/>
        <v>11634.722222222223</v>
      </c>
      <c r="AI56" s="154">
        <f t="shared" si="110"/>
        <v>9481.7415347222232</v>
      </c>
      <c r="AJ56" s="70">
        <f t="shared" si="111"/>
        <v>8907.7723541666692</v>
      </c>
      <c r="AK56" s="155">
        <f t="shared" si="112"/>
        <v>0.21607714510627135</v>
      </c>
      <c r="AL56" s="155">
        <f t="shared" si="113"/>
        <v>0.28061966896918361</v>
      </c>
    </row>
    <row r="57" spans="2:38" ht="14.25" customHeight="1" x14ac:dyDescent="0.25">
      <c r="B57" s="174" t="s">
        <v>365</v>
      </c>
      <c r="C57" s="171" t="s">
        <v>109</v>
      </c>
      <c r="D57" s="103">
        <v>176</v>
      </c>
      <c r="E57" s="104" t="s">
        <v>76</v>
      </c>
      <c r="F57" s="92">
        <v>0</v>
      </c>
      <c r="G57" s="219">
        <f>IF(F57&gt;0,F57,
IF(B57&lt;&gt;"",
IF(C57="CLT",VLOOKUP(B57,'Lista Profissionais'!$C$11:$H$348,3,0),
VLOOKUP(B57,'Lista Profissionais'!$C$11:$H$348,6,0)), 0))</f>
        <v>11200</v>
      </c>
      <c r="H57" s="219">
        <f>IF(B57&lt;&gt;"",
IF(C57="CLT",
       22*$M$5 + (G57*'Lista Profissionais'!$G$9),0),0)</f>
        <v>2790</v>
      </c>
      <c r="I57" s="66">
        <f t="shared" ref="I57:I60" si="114">(G57/$G$2)*D57</f>
        <v>11200</v>
      </c>
      <c r="J57" s="66">
        <f t="shared" ref="J57:J60" si="115">I57+AH57</f>
        <v>24092.888888888891</v>
      </c>
      <c r="K57" s="66">
        <f t="shared" ref="K57:K60" si="116">J57+S57+AI57</f>
        <v>34651.958837777784</v>
      </c>
      <c r="L57" s="93">
        <f t="shared" ref="L57:L60" si="117">IF(D57&gt;0,J57/D57,0)</f>
        <v>136.89141414141415</v>
      </c>
      <c r="M57" s="151"/>
      <c r="N57" s="152">
        <v>0</v>
      </c>
      <c r="O57" s="69">
        <f t="shared" ref="O57:O61" si="118">J57*$G$6</f>
        <v>0</v>
      </c>
      <c r="P57" s="69">
        <f t="shared" ref="P57:P61" si="119">IF(M57&gt;0,M57,  J57*(1+$G$5))</f>
        <v>44571.844444444447</v>
      </c>
      <c r="Q57" s="70">
        <f t="shared" ref="Q57:Q61" si="120">(P57+O57)</f>
        <v>44571.844444444447</v>
      </c>
      <c r="R57" s="153">
        <f t="shared" ref="R57:R61" si="121">IF(E57="Sim", Q57*$G$3,0)</f>
        <v>1337.1553333333334</v>
      </c>
      <c r="S57" s="70">
        <v>0</v>
      </c>
      <c r="T57" s="165">
        <f t="shared" si="68"/>
        <v>45908.999777777783</v>
      </c>
      <c r="U57" s="163">
        <f t="shared" si="69"/>
        <v>260.84658964646468</v>
      </c>
      <c r="V57" s="164">
        <f t="shared" ref="V57:V61" si="122">IF(C57="CLT",
       I57*$M$2, 0)</f>
        <v>896</v>
      </c>
      <c r="W57" s="164">
        <f t="shared" ref="W57:W61" si="123">IF(C57="CLT",
       V57*$M$3, 0)</f>
        <v>358.40000000000003</v>
      </c>
      <c r="X57" s="144">
        <f t="shared" ref="X57:X61" si="124">IF(C57="CLT",
       I57/12, 0)</f>
        <v>933.33333333333337</v>
      </c>
      <c r="Y57" s="150">
        <f t="shared" ref="Y57:Y61" si="125">IF(C57="CLT",
       X57/3, 0)</f>
        <v>311.11111111111114</v>
      </c>
      <c r="Z57" s="150">
        <f t="shared" ref="Z57:Z61" si="126">IF(C57="CLT",
       I57/12, 0)</f>
        <v>933.33333333333337</v>
      </c>
      <c r="AA57" s="150">
        <f t="shared" ref="AA57:AA61" si="127">IF(C57="CLT", I57*$S$2,0)</f>
        <v>3080.0000000000005</v>
      </c>
      <c r="AB57" s="182">
        <f t="shared" ref="AB57:AB61" si="128">IF(C57="CLT", SUM(X57:Z57) * $M$2,0)</f>
        <v>174.22222222222223</v>
      </c>
      <c r="AC57" s="182">
        <f t="shared" ref="AC57:AC61" si="129">IF(C57="CLT", SUM(X57:Z57)*$S$2,0)</f>
        <v>598.88888888888891</v>
      </c>
      <c r="AD57" s="182">
        <f t="shared" ref="AD57:AD61" si="130">IF(C57="CLT",
       I57/30*3, 0)</f>
        <v>1120</v>
      </c>
      <c r="AE57" s="180">
        <f t="shared" ref="AE57:AE61" si="131">IF(C57="CLT",  AD57*$M$2, 0)</f>
        <v>89.600000000000009</v>
      </c>
      <c r="AF57" s="150">
        <f t="shared" ref="AF57:AF61" si="132">IF(C57="CLT",
       I57*$M$4, 0)</f>
        <v>1008</v>
      </c>
      <c r="AG57" s="150">
        <f t="shared" ref="AG57:AG61" si="133">IF(B57&lt;&gt;"",
IF(C57="CLT",
       $Q$2, 0),0)</f>
        <v>600</v>
      </c>
      <c r="AH57" s="150">
        <f t="shared" ref="AH57:AH61" si="134">SUM(V57:AG57)+H57</f>
        <v>12892.888888888891</v>
      </c>
      <c r="AI57" s="154">
        <f t="shared" ref="AI57:AI61" si="135">IF(E57="Sim", T57*$G$4, 0)</f>
        <v>10559.069948888891</v>
      </c>
      <c r="AJ57" s="70">
        <f t="shared" ref="AJ57:AJ61" si="136">T57-AI57-J57-R57</f>
        <v>9919.8856066666649</v>
      </c>
      <c r="AK57" s="155">
        <f t="shared" ref="AK57:AK61" si="137">(IF(AJ57&gt;0,AJ57/T57,0))</f>
        <v>0.21607714510627127</v>
      </c>
      <c r="AL57" s="155">
        <f t="shared" si="113"/>
        <v>0.2806196689691835</v>
      </c>
    </row>
    <row r="58" spans="2:38" ht="14.25" customHeight="1" x14ac:dyDescent="0.25">
      <c r="B58" s="174" t="s">
        <v>366</v>
      </c>
      <c r="C58" s="171" t="s">
        <v>109</v>
      </c>
      <c r="D58" s="103">
        <v>176</v>
      </c>
      <c r="E58" s="104" t="s">
        <v>76</v>
      </c>
      <c r="F58" s="92">
        <v>0</v>
      </c>
      <c r="G58" s="219">
        <f>IF(F58&gt;0,F58,
IF(B58&lt;&gt;"",
IF(C58="CLT",VLOOKUP(B58,'Lista Profissionais'!$C$11:$H$348,3,0),
VLOOKUP(B58,'Lista Profissionais'!$C$11:$H$348,6,0)), 0))</f>
        <v>3200</v>
      </c>
      <c r="H58" s="219">
        <f>IF(B58&lt;&gt;"",
IF(C58="CLT",
       22*$M$5 + (G58*'Lista Profissionais'!$G$9),0),0)</f>
        <v>1190</v>
      </c>
      <c r="I58" s="66">
        <f t="shared" si="114"/>
        <v>3200.0000000000005</v>
      </c>
      <c r="J58" s="66">
        <f t="shared" si="115"/>
        <v>7705.1111111111113</v>
      </c>
      <c r="K58" s="66">
        <f t="shared" si="116"/>
        <v>11081.991632222223</v>
      </c>
      <c r="L58" s="93">
        <f t="shared" si="117"/>
        <v>43.779040404040408</v>
      </c>
      <c r="M58" s="151"/>
      <c r="N58" s="152">
        <v>0</v>
      </c>
      <c r="O58" s="69">
        <f t="shared" si="118"/>
        <v>0</v>
      </c>
      <c r="P58" s="69">
        <f t="shared" si="119"/>
        <v>14254.455555555556</v>
      </c>
      <c r="Q58" s="70">
        <f t="shared" si="120"/>
        <v>14254.455555555556</v>
      </c>
      <c r="R58" s="153">
        <f t="shared" si="121"/>
        <v>427.63366666666667</v>
      </c>
      <c r="S58" s="70">
        <v>0</v>
      </c>
      <c r="T58" s="165">
        <f t="shared" si="68"/>
        <v>14682.089222222223</v>
      </c>
      <c r="U58" s="163">
        <f t="shared" si="69"/>
        <v>83.420961489899</v>
      </c>
      <c r="V58" s="164">
        <f t="shared" si="122"/>
        <v>256.00000000000006</v>
      </c>
      <c r="W58" s="164">
        <f t="shared" si="123"/>
        <v>102.40000000000003</v>
      </c>
      <c r="X58" s="144">
        <f t="shared" si="124"/>
        <v>266.66666666666669</v>
      </c>
      <c r="Y58" s="150">
        <f t="shared" si="125"/>
        <v>88.8888888888889</v>
      </c>
      <c r="Z58" s="150">
        <f t="shared" si="126"/>
        <v>266.66666666666669</v>
      </c>
      <c r="AA58" s="150">
        <f t="shared" si="127"/>
        <v>880.00000000000023</v>
      </c>
      <c r="AB58" s="182">
        <f t="shared" si="128"/>
        <v>49.777777777777786</v>
      </c>
      <c r="AC58" s="182">
        <f t="shared" si="129"/>
        <v>171.11111111111114</v>
      </c>
      <c r="AD58" s="182">
        <f t="shared" si="130"/>
        <v>320.00000000000006</v>
      </c>
      <c r="AE58" s="180">
        <f t="shared" si="131"/>
        <v>25.600000000000005</v>
      </c>
      <c r="AF58" s="150">
        <f t="shared" si="132"/>
        <v>288.00000000000006</v>
      </c>
      <c r="AG58" s="150">
        <f t="shared" si="133"/>
        <v>600</v>
      </c>
      <c r="AH58" s="150">
        <f t="shared" si="134"/>
        <v>4505.1111111111113</v>
      </c>
      <c r="AI58" s="154">
        <f t="shared" si="135"/>
        <v>3376.8805211111112</v>
      </c>
      <c r="AJ58" s="70">
        <f t="shared" si="136"/>
        <v>3172.4639233333328</v>
      </c>
      <c r="AK58" s="155">
        <f t="shared" si="137"/>
        <v>0.21607714510627127</v>
      </c>
      <c r="AL58" s="155">
        <f t="shared" si="113"/>
        <v>0.2806196689691835</v>
      </c>
    </row>
    <row r="59" spans="2:38" ht="14.25" customHeight="1" x14ac:dyDescent="0.25">
      <c r="B59" s="174" t="s">
        <v>367</v>
      </c>
      <c r="C59" s="171" t="s">
        <v>109</v>
      </c>
      <c r="D59" s="103">
        <v>176</v>
      </c>
      <c r="E59" s="104" t="s">
        <v>76</v>
      </c>
      <c r="F59" s="92">
        <v>0</v>
      </c>
      <c r="G59" s="219">
        <f>IF(F59&gt;0,F59,
IF(B59&lt;&gt;"",
IF(C59="CLT",VLOOKUP(B59,'Lista Profissionais'!$C$11:$H$348,3,0),
VLOOKUP(B59,'Lista Profissionais'!$C$11:$H$348,6,0)), 0))</f>
        <v>5200</v>
      </c>
      <c r="H59" s="219">
        <f>IF(B59&lt;&gt;"",
IF(C59="CLT",
       22*$M$5 + (G59*'Lista Profissionais'!$G$9),0),0)</f>
        <v>1590</v>
      </c>
      <c r="I59" s="66">
        <f t="shared" si="114"/>
        <v>5200</v>
      </c>
      <c r="J59" s="66">
        <f t="shared" si="115"/>
        <v>11802.055555555555</v>
      </c>
      <c r="K59" s="66">
        <f t="shared" si="116"/>
        <v>16974.483433611109</v>
      </c>
      <c r="L59" s="93">
        <f t="shared" si="117"/>
        <v>67.057133838383834</v>
      </c>
      <c r="M59" s="151"/>
      <c r="N59" s="152">
        <v>0</v>
      </c>
      <c r="O59" s="69">
        <f t="shared" si="118"/>
        <v>0</v>
      </c>
      <c r="P59" s="69">
        <f t="shared" si="119"/>
        <v>21833.802777777779</v>
      </c>
      <c r="Q59" s="70">
        <f t="shared" si="120"/>
        <v>21833.802777777779</v>
      </c>
      <c r="R59" s="153">
        <f t="shared" si="121"/>
        <v>655.01408333333336</v>
      </c>
      <c r="S59" s="70">
        <v>0</v>
      </c>
      <c r="T59" s="165">
        <f t="shared" si="68"/>
        <v>22488.81686111111</v>
      </c>
      <c r="U59" s="163">
        <f t="shared" si="69"/>
        <v>127.7773685290404</v>
      </c>
      <c r="V59" s="164">
        <f t="shared" si="122"/>
        <v>416</v>
      </c>
      <c r="W59" s="164">
        <f t="shared" si="123"/>
        <v>166.4</v>
      </c>
      <c r="X59" s="144">
        <f t="shared" si="124"/>
        <v>433.33333333333331</v>
      </c>
      <c r="Y59" s="150">
        <f t="shared" si="125"/>
        <v>144.44444444444443</v>
      </c>
      <c r="Z59" s="150">
        <f t="shared" si="126"/>
        <v>433.33333333333331</v>
      </c>
      <c r="AA59" s="150">
        <f t="shared" si="127"/>
        <v>1430.0000000000002</v>
      </c>
      <c r="AB59" s="182">
        <f t="shared" si="128"/>
        <v>80.888888888888886</v>
      </c>
      <c r="AC59" s="182">
        <f t="shared" si="129"/>
        <v>278.05555555555554</v>
      </c>
      <c r="AD59" s="182">
        <f t="shared" si="130"/>
        <v>520</v>
      </c>
      <c r="AE59" s="180">
        <f t="shared" si="131"/>
        <v>41.6</v>
      </c>
      <c r="AF59" s="150">
        <f t="shared" si="132"/>
        <v>468</v>
      </c>
      <c r="AG59" s="150">
        <f t="shared" si="133"/>
        <v>600</v>
      </c>
      <c r="AH59" s="150">
        <f t="shared" si="134"/>
        <v>6602.0555555555547</v>
      </c>
      <c r="AI59" s="154">
        <f t="shared" si="135"/>
        <v>5172.427878055556</v>
      </c>
      <c r="AJ59" s="70">
        <f t="shared" si="136"/>
        <v>4859.3193441666681</v>
      </c>
      <c r="AK59" s="155">
        <f t="shared" si="137"/>
        <v>0.21607714510627138</v>
      </c>
      <c r="AL59" s="155">
        <f t="shared" si="113"/>
        <v>0.28061966896918361</v>
      </c>
    </row>
    <row r="60" spans="2:38" ht="14.25" customHeight="1" x14ac:dyDescent="0.25">
      <c r="B60" s="174" t="s">
        <v>368</v>
      </c>
      <c r="C60" s="171" t="s">
        <v>109</v>
      </c>
      <c r="D60" s="103">
        <v>176</v>
      </c>
      <c r="E60" s="104" t="s">
        <v>76</v>
      </c>
      <c r="F60" s="92">
        <v>0</v>
      </c>
      <c r="G60" s="219">
        <f>IF(F60&gt;0,F60,
IF(B60&lt;&gt;"",
IF(C60="CLT",VLOOKUP(B60,'Lista Profissionais'!$C$11:$H$348,3,0),
VLOOKUP(B60,'Lista Profissionais'!$C$11:$H$348,6,0)), 0))</f>
        <v>7200</v>
      </c>
      <c r="H60" s="219">
        <f>IF(B60&lt;&gt;"",
IF(C60="CLT",
       22*$M$5 + (G60*'Lista Profissionais'!$G$9),0),0)</f>
        <v>1990</v>
      </c>
      <c r="I60" s="66">
        <f t="shared" si="114"/>
        <v>7200</v>
      </c>
      <c r="J60" s="66">
        <f t="shared" si="115"/>
        <v>15899</v>
      </c>
      <c r="K60" s="66">
        <f t="shared" si="116"/>
        <v>22866.975234999998</v>
      </c>
      <c r="L60" s="93">
        <f t="shared" si="117"/>
        <v>90.335227272727266</v>
      </c>
      <c r="M60" s="151"/>
      <c r="N60" s="152">
        <v>0</v>
      </c>
      <c r="O60" s="69">
        <f t="shared" si="118"/>
        <v>0</v>
      </c>
      <c r="P60" s="69">
        <f t="shared" si="119"/>
        <v>29413.15</v>
      </c>
      <c r="Q60" s="70">
        <f t="shared" si="120"/>
        <v>29413.15</v>
      </c>
      <c r="R60" s="153">
        <f t="shared" si="121"/>
        <v>882.39449999999999</v>
      </c>
      <c r="S60" s="70">
        <v>0</v>
      </c>
      <c r="T60" s="165">
        <f t="shared" si="68"/>
        <v>30295.5445</v>
      </c>
      <c r="U60" s="163">
        <f t="shared" si="69"/>
        <v>172.13377556818182</v>
      </c>
      <c r="V60" s="164">
        <f t="shared" si="122"/>
        <v>576</v>
      </c>
      <c r="W60" s="164">
        <f t="shared" si="123"/>
        <v>230.4</v>
      </c>
      <c r="X60" s="144">
        <f t="shared" si="124"/>
        <v>600</v>
      </c>
      <c r="Y60" s="150">
        <f t="shared" si="125"/>
        <v>200</v>
      </c>
      <c r="Z60" s="150">
        <f t="shared" si="126"/>
        <v>600</v>
      </c>
      <c r="AA60" s="150">
        <f t="shared" si="127"/>
        <v>1980.0000000000002</v>
      </c>
      <c r="AB60" s="182">
        <f t="shared" si="128"/>
        <v>112</v>
      </c>
      <c r="AC60" s="182">
        <f t="shared" si="129"/>
        <v>385.00000000000006</v>
      </c>
      <c r="AD60" s="182">
        <f t="shared" si="130"/>
        <v>720</v>
      </c>
      <c r="AE60" s="180">
        <f t="shared" si="131"/>
        <v>57.6</v>
      </c>
      <c r="AF60" s="150">
        <f t="shared" si="132"/>
        <v>648</v>
      </c>
      <c r="AG60" s="150">
        <f t="shared" si="133"/>
        <v>600</v>
      </c>
      <c r="AH60" s="150">
        <f t="shared" si="134"/>
        <v>8699</v>
      </c>
      <c r="AI60" s="154">
        <f t="shared" si="135"/>
        <v>6967.9752349999999</v>
      </c>
      <c r="AJ60" s="70">
        <f t="shared" si="136"/>
        <v>6546.1747649999979</v>
      </c>
      <c r="AK60" s="155">
        <f t="shared" si="137"/>
        <v>0.21607714510627124</v>
      </c>
      <c r="AL60" s="155">
        <f t="shared" si="113"/>
        <v>0.28061966896918344</v>
      </c>
    </row>
    <row r="61" spans="2:38" ht="14.25" customHeight="1" x14ac:dyDescent="0.25">
      <c r="B61" s="174" t="s">
        <v>287</v>
      </c>
      <c r="C61" s="171" t="s">
        <v>109</v>
      </c>
      <c r="D61" s="103">
        <v>176</v>
      </c>
      <c r="E61" s="104" t="s">
        <v>76</v>
      </c>
      <c r="F61" s="92">
        <v>0</v>
      </c>
      <c r="G61" s="219">
        <f>IF(F61&gt;0,F61,
IF(B61&lt;&gt;"",
IF(C61="CLT",VLOOKUP(B61,'Lista Profissionais'!$C$11:$H$348,3,0),
VLOOKUP(B61,'Lista Profissionais'!$C$11:$H$348,6,0)), 0))</f>
        <v>10400</v>
      </c>
      <c r="H61" s="219">
        <f>IF(B61&lt;&gt;"",
IF(C61="CLT",
       22*$M$5 + (G61*'Lista Profissionais'!$G$9),0),0)</f>
        <v>2630</v>
      </c>
      <c r="I61" s="66">
        <f t="shared" si="62"/>
        <v>10400</v>
      </c>
      <c r="J61" s="66">
        <f t="shared" si="106"/>
        <v>22454.111111111109</v>
      </c>
      <c r="K61" s="66">
        <f t="shared" si="107"/>
        <v>32294.962117222221</v>
      </c>
      <c r="L61" s="93">
        <f t="shared" si="63"/>
        <v>127.58017676767676</v>
      </c>
      <c r="M61" s="151"/>
      <c r="N61" s="152">
        <v>0</v>
      </c>
      <c r="O61" s="69">
        <f t="shared" si="118"/>
        <v>0</v>
      </c>
      <c r="P61" s="69">
        <f t="shared" si="119"/>
        <v>41540.105555555558</v>
      </c>
      <c r="Q61" s="70">
        <f t="shared" si="120"/>
        <v>41540.105555555558</v>
      </c>
      <c r="R61" s="153">
        <f t="shared" si="121"/>
        <v>1246.2031666666667</v>
      </c>
      <c r="S61" s="70">
        <v>0</v>
      </c>
      <c r="T61" s="165">
        <f t="shared" si="68"/>
        <v>42786.308722222224</v>
      </c>
      <c r="U61" s="163">
        <f t="shared" si="69"/>
        <v>243.1040268308081</v>
      </c>
      <c r="V61" s="164">
        <f t="shared" si="122"/>
        <v>832</v>
      </c>
      <c r="W61" s="164">
        <f t="shared" si="123"/>
        <v>332.8</v>
      </c>
      <c r="X61" s="144">
        <f t="shared" si="124"/>
        <v>866.66666666666663</v>
      </c>
      <c r="Y61" s="150">
        <f t="shared" si="125"/>
        <v>288.88888888888886</v>
      </c>
      <c r="Z61" s="150">
        <f t="shared" si="126"/>
        <v>866.66666666666663</v>
      </c>
      <c r="AA61" s="150">
        <f t="shared" si="127"/>
        <v>2860.0000000000005</v>
      </c>
      <c r="AB61" s="182">
        <f t="shared" si="128"/>
        <v>161.77777777777777</v>
      </c>
      <c r="AC61" s="182">
        <f t="shared" si="129"/>
        <v>556.11111111111109</v>
      </c>
      <c r="AD61" s="182">
        <f t="shared" si="130"/>
        <v>1040</v>
      </c>
      <c r="AE61" s="180">
        <f t="shared" si="131"/>
        <v>83.2</v>
      </c>
      <c r="AF61" s="150">
        <f t="shared" si="132"/>
        <v>936</v>
      </c>
      <c r="AG61" s="150">
        <f t="shared" si="133"/>
        <v>600</v>
      </c>
      <c r="AH61" s="150">
        <f t="shared" si="134"/>
        <v>12054.111111111109</v>
      </c>
      <c r="AI61" s="154">
        <f t="shared" si="135"/>
        <v>9840.8510061111119</v>
      </c>
      <c r="AJ61" s="70">
        <f t="shared" si="136"/>
        <v>9245.1434383333326</v>
      </c>
      <c r="AK61" s="155">
        <f t="shared" si="137"/>
        <v>0.2160771451062713</v>
      </c>
      <c r="AL61" s="155">
        <f t="shared" si="113"/>
        <v>0.28061966896918356</v>
      </c>
    </row>
    <row r="62" spans="2:38" ht="14.25" customHeight="1" x14ac:dyDescent="0.25">
      <c r="B62" s="174" t="s">
        <v>288</v>
      </c>
      <c r="C62" s="171" t="s">
        <v>109</v>
      </c>
      <c r="D62" s="103">
        <v>176</v>
      </c>
      <c r="E62" s="104" t="s">
        <v>76</v>
      </c>
      <c r="F62" s="92">
        <v>0</v>
      </c>
      <c r="G62" s="219">
        <f>IF(F62&gt;0,F62,
IF(B62&lt;&gt;"",
IF(C62="CLT",VLOOKUP(B62,'Lista Profissionais'!$C$11:$H$348,3,0),
VLOOKUP(B62,'Lista Profissionais'!$C$11:$H$348,6,0)), 0))</f>
        <v>3920</v>
      </c>
      <c r="H62" s="219">
        <f>IF(B62&lt;&gt;"",
IF(C62="CLT",
       22*$M$5 + (G62*'Lista Profissionais'!$G$9),0),0)</f>
        <v>1334</v>
      </c>
      <c r="I62" s="66">
        <f t="shared" si="62"/>
        <v>3920</v>
      </c>
      <c r="J62" s="66">
        <f t="shared" si="106"/>
        <v>9180.0111111111109</v>
      </c>
      <c r="K62" s="66">
        <f t="shared" si="107"/>
        <v>13203.288680722222</v>
      </c>
      <c r="L62" s="93">
        <f t="shared" si="63"/>
        <v>52.15915404040404</v>
      </c>
      <c r="M62" s="151"/>
      <c r="N62" s="152">
        <v>0</v>
      </c>
      <c r="O62" s="69">
        <f t="shared" ref="O62:O64" si="138">J62*$G$6</f>
        <v>0</v>
      </c>
      <c r="P62" s="69">
        <f t="shared" ref="P62:P64" si="139">IF(M62&gt;0,M62,  J62*(1+$G$5))</f>
        <v>16983.020555555555</v>
      </c>
      <c r="Q62" s="70">
        <f t="shared" ref="Q62:Q64" si="140">(P62+O62)</f>
        <v>16983.020555555555</v>
      </c>
      <c r="R62" s="153">
        <f t="shared" ref="R62:R64" si="141">IF(E62="Sim", Q62*$G$3,0)</f>
        <v>509.49061666666665</v>
      </c>
      <c r="S62" s="70">
        <v>0</v>
      </c>
      <c r="T62" s="165">
        <f t="shared" si="68"/>
        <v>17492.511172222221</v>
      </c>
      <c r="U62" s="163">
        <f t="shared" si="69"/>
        <v>99.389268023989885</v>
      </c>
      <c r="V62" s="164">
        <f t="shared" si="70"/>
        <v>313.60000000000002</v>
      </c>
      <c r="W62" s="164">
        <f t="shared" si="71"/>
        <v>125.44000000000001</v>
      </c>
      <c r="X62" s="144">
        <f t="shared" si="72"/>
        <v>326.66666666666669</v>
      </c>
      <c r="Y62" s="150">
        <f t="shared" si="73"/>
        <v>108.8888888888889</v>
      </c>
      <c r="Z62" s="150">
        <f t="shared" si="74"/>
        <v>326.66666666666669</v>
      </c>
      <c r="AA62" s="150">
        <f t="shared" si="75"/>
        <v>1078</v>
      </c>
      <c r="AB62" s="182">
        <f t="shared" si="76"/>
        <v>60.977777777777781</v>
      </c>
      <c r="AC62" s="182">
        <f t="shared" si="77"/>
        <v>209.61111111111114</v>
      </c>
      <c r="AD62" s="182">
        <f t="shared" si="78"/>
        <v>392</v>
      </c>
      <c r="AE62" s="180">
        <f t="shared" si="79"/>
        <v>31.36</v>
      </c>
      <c r="AF62" s="150">
        <f t="shared" si="108"/>
        <v>352.8</v>
      </c>
      <c r="AG62" s="150">
        <f t="shared" si="109"/>
        <v>600</v>
      </c>
      <c r="AH62" s="150">
        <f t="shared" si="36"/>
        <v>5260.0111111111119</v>
      </c>
      <c r="AI62" s="154">
        <f t="shared" si="110"/>
        <v>4023.2775696111112</v>
      </c>
      <c r="AJ62" s="70">
        <f t="shared" si="111"/>
        <v>3779.7318748333323</v>
      </c>
      <c r="AK62" s="155">
        <f t="shared" si="112"/>
        <v>0.21607714510627127</v>
      </c>
      <c r="AL62" s="155">
        <f t="shared" si="113"/>
        <v>0.2806196689691835</v>
      </c>
    </row>
    <row r="63" spans="2:38" ht="14.25" customHeight="1" x14ac:dyDescent="0.25">
      <c r="B63" s="174" t="s">
        <v>289</v>
      </c>
      <c r="C63" s="171" t="s">
        <v>109</v>
      </c>
      <c r="D63" s="103">
        <v>176</v>
      </c>
      <c r="E63" s="104" t="s">
        <v>76</v>
      </c>
      <c r="F63" s="92">
        <v>0</v>
      </c>
      <c r="G63" s="219">
        <f>IF(F63&gt;0,F63,
IF(B63&lt;&gt;"",
IF(C63="CLT",VLOOKUP(B63,'Lista Profissionais'!$C$11:$H$348,3,0),
VLOOKUP(B63,'Lista Profissionais'!$C$11:$H$348,6,0)), 0))</f>
        <v>7200</v>
      </c>
      <c r="H63" s="219">
        <f>IF(B63&lt;&gt;"",
IF(C63="CLT",
       22*$M$5 + (G63*'Lista Profissionais'!$G$9),0),0)</f>
        <v>1990</v>
      </c>
      <c r="I63" s="66">
        <f t="shared" si="62"/>
        <v>7200</v>
      </c>
      <c r="J63" s="66">
        <f t="shared" si="106"/>
        <v>15899</v>
      </c>
      <c r="K63" s="66">
        <f t="shared" si="107"/>
        <v>22866.975234999998</v>
      </c>
      <c r="L63" s="93">
        <f t="shared" si="63"/>
        <v>90.335227272727266</v>
      </c>
      <c r="M63" s="151"/>
      <c r="N63" s="152">
        <v>0</v>
      </c>
      <c r="O63" s="69">
        <f t="shared" si="138"/>
        <v>0</v>
      </c>
      <c r="P63" s="69">
        <f t="shared" si="139"/>
        <v>29413.15</v>
      </c>
      <c r="Q63" s="70">
        <f t="shared" si="140"/>
        <v>29413.15</v>
      </c>
      <c r="R63" s="153">
        <f t="shared" si="141"/>
        <v>882.39449999999999</v>
      </c>
      <c r="S63" s="70">
        <v>0</v>
      </c>
      <c r="T63" s="165">
        <f t="shared" si="68"/>
        <v>30295.5445</v>
      </c>
      <c r="U63" s="163">
        <f t="shared" si="69"/>
        <v>172.13377556818182</v>
      </c>
      <c r="V63" s="164">
        <f t="shared" si="70"/>
        <v>576</v>
      </c>
      <c r="W63" s="164">
        <f t="shared" si="71"/>
        <v>230.4</v>
      </c>
      <c r="X63" s="144">
        <f t="shared" si="72"/>
        <v>600</v>
      </c>
      <c r="Y63" s="150">
        <f t="shared" si="73"/>
        <v>200</v>
      </c>
      <c r="Z63" s="150">
        <f t="shared" si="74"/>
        <v>600</v>
      </c>
      <c r="AA63" s="150">
        <f t="shared" si="75"/>
        <v>1980.0000000000002</v>
      </c>
      <c r="AB63" s="182">
        <f t="shared" si="76"/>
        <v>112</v>
      </c>
      <c r="AC63" s="182">
        <f t="shared" si="77"/>
        <v>385.00000000000006</v>
      </c>
      <c r="AD63" s="182">
        <f t="shared" si="78"/>
        <v>720</v>
      </c>
      <c r="AE63" s="180">
        <f t="shared" si="79"/>
        <v>57.6</v>
      </c>
      <c r="AF63" s="150">
        <f t="shared" si="108"/>
        <v>648</v>
      </c>
      <c r="AG63" s="150">
        <f t="shared" si="109"/>
        <v>600</v>
      </c>
      <c r="AH63" s="150">
        <f t="shared" si="36"/>
        <v>8699</v>
      </c>
      <c r="AI63" s="154">
        <f t="shared" si="110"/>
        <v>6967.9752349999999</v>
      </c>
      <c r="AJ63" s="70">
        <f t="shared" si="111"/>
        <v>6546.1747649999979</v>
      </c>
      <c r="AK63" s="155">
        <f t="shared" si="112"/>
        <v>0.21607714510627124</v>
      </c>
      <c r="AL63" s="155">
        <f t="shared" si="113"/>
        <v>0.28061966896918344</v>
      </c>
    </row>
    <row r="64" spans="2:38" ht="14.25" customHeight="1" x14ac:dyDescent="0.25">
      <c r="B64" s="174" t="s">
        <v>290</v>
      </c>
      <c r="C64" s="171" t="s">
        <v>109</v>
      </c>
      <c r="D64" s="103">
        <v>176</v>
      </c>
      <c r="E64" s="104" t="s">
        <v>76</v>
      </c>
      <c r="F64" s="92">
        <v>0</v>
      </c>
      <c r="G64" s="219">
        <f>IF(F64&gt;0,F64,
IF(B64&lt;&gt;"",
IF(C64="CLT",VLOOKUP(B64,'Lista Profissionais'!$C$11:$H$348,3,0),
VLOOKUP(B64,'Lista Profissionais'!$C$11:$H$348,6,0)), 0))</f>
        <v>8800</v>
      </c>
      <c r="H64" s="219">
        <f>IF(B64&lt;&gt;"",
IF(C64="CLT",
       22*$M$5 + (G64*'Lista Profissionais'!$G$9),0),0)</f>
        <v>2310</v>
      </c>
      <c r="I64" s="66">
        <f t="shared" si="62"/>
        <v>8800</v>
      </c>
      <c r="J64" s="66">
        <f t="shared" si="106"/>
        <v>19176.555555555555</v>
      </c>
      <c r="K64" s="66">
        <f t="shared" si="107"/>
        <v>27580.968676111112</v>
      </c>
      <c r="L64" s="93">
        <f t="shared" si="63"/>
        <v>108.95770202020202</v>
      </c>
      <c r="M64" s="151"/>
      <c r="N64" s="152">
        <v>0</v>
      </c>
      <c r="O64" s="69">
        <f t="shared" si="138"/>
        <v>0</v>
      </c>
      <c r="P64" s="69">
        <f t="shared" si="139"/>
        <v>35476.62777777778</v>
      </c>
      <c r="Q64" s="70">
        <f t="shared" si="140"/>
        <v>35476.62777777778</v>
      </c>
      <c r="R64" s="153">
        <f t="shared" si="141"/>
        <v>1064.2988333333333</v>
      </c>
      <c r="S64" s="70">
        <v>0</v>
      </c>
      <c r="T64" s="165">
        <f t="shared" si="68"/>
        <v>36540.926611111114</v>
      </c>
      <c r="U64" s="163">
        <f t="shared" si="69"/>
        <v>207.61890119949496</v>
      </c>
      <c r="V64" s="164">
        <f t="shared" si="70"/>
        <v>704</v>
      </c>
      <c r="W64" s="164">
        <f t="shared" si="71"/>
        <v>281.60000000000002</v>
      </c>
      <c r="X64" s="144">
        <f t="shared" si="72"/>
        <v>733.33333333333337</v>
      </c>
      <c r="Y64" s="150">
        <f t="shared" si="73"/>
        <v>244.44444444444446</v>
      </c>
      <c r="Z64" s="150">
        <f t="shared" si="74"/>
        <v>733.33333333333337</v>
      </c>
      <c r="AA64" s="150">
        <f t="shared" si="75"/>
        <v>2420</v>
      </c>
      <c r="AB64" s="182">
        <f t="shared" si="76"/>
        <v>136.88888888888891</v>
      </c>
      <c r="AC64" s="182">
        <f t="shared" si="77"/>
        <v>470.55555555555566</v>
      </c>
      <c r="AD64" s="182">
        <f t="shared" si="78"/>
        <v>880</v>
      </c>
      <c r="AE64" s="180">
        <f t="shared" si="79"/>
        <v>70.400000000000006</v>
      </c>
      <c r="AF64" s="150">
        <f t="shared" si="108"/>
        <v>792</v>
      </c>
      <c r="AG64" s="150">
        <f t="shared" si="109"/>
        <v>600</v>
      </c>
      <c r="AH64" s="150">
        <f t="shared" si="36"/>
        <v>10376.555555555555</v>
      </c>
      <c r="AI64" s="154">
        <f t="shared" si="110"/>
        <v>8404.4131205555568</v>
      </c>
      <c r="AJ64" s="70">
        <f t="shared" si="111"/>
        <v>7895.6591016666689</v>
      </c>
      <c r="AK64" s="155">
        <f t="shared" si="112"/>
        <v>0.21607714510627138</v>
      </c>
      <c r="AL64" s="155">
        <f t="shared" si="113"/>
        <v>0.28061966896918361</v>
      </c>
    </row>
    <row r="65" spans="2:38" ht="14.25" customHeight="1" x14ac:dyDescent="0.25">
      <c r="B65" s="174" t="s">
        <v>291</v>
      </c>
      <c r="C65" s="171" t="s">
        <v>109</v>
      </c>
      <c r="D65" s="103">
        <v>176</v>
      </c>
      <c r="E65" s="104" t="s">
        <v>76</v>
      </c>
      <c r="F65" s="92">
        <v>0</v>
      </c>
      <c r="G65" s="219">
        <f>IF(F65&gt;0,F65,
IF(B65&lt;&gt;"",
IF(C65="CLT",VLOOKUP(B65,'Lista Profissionais'!$C$11:$H$348,3,0),
VLOOKUP(B65,'Lista Profissionais'!$C$11:$H$348,6,0)), 0))</f>
        <v>10400</v>
      </c>
      <c r="H65" s="219">
        <f>IF(B65&lt;&gt;"",
IF(C65="CLT",
       22*$M$5 + (G65*'Lista Profissionais'!$G$9),0),0)</f>
        <v>2630</v>
      </c>
      <c r="I65" s="66">
        <f t="shared" si="62"/>
        <v>10400</v>
      </c>
      <c r="J65" s="66">
        <f t="shared" si="106"/>
        <v>22454.111111111109</v>
      </c>
      <c r="K65" s="66">
        <f t="shared" si="107"/>
        <v>32294.962117222221</v>
      </c>
      <c r="L65" s="93">
        <f t="shared" si="63"/>
        <v>127.58017676767676</v>
      </c>
      <c r="M65" s="151"/>
      <c r="N65" s="152">
        <v>0</v>
      </c>
      <c r="O65" s="69">
        <f t="shared" si="64"/>
        <v>0</v>
      </c>
      <c r="P65" s="69">
        <f t="shared" si="65"/>
        <v>41540.105555555558</v>
      </c>
      <c r="Q65" s="70">
        <f t="shared" si="66"/>
        <v>41540.105555555558</v>
      </c>
      <c r="R65" s="153">
        <f t="shared" si="67"/>
        <v>1246.2031666666667</v>
      </c>
      <c r="S65" s="70">
        <v>0</v>
      </c>
      <c r="T65" s="165">
        <f t="shared" si="68"/>
        <v>42786.308722222224</v>
      </c>
      <c r="U65" s="163">
        <f t="shared" si="69"/>
        <v>243.1040268308081</v>
      </c>
      <c r="V65" s="164">
        <f t="shared" si="70"/>
        <v>832</v>
      </c>
      <c r="W65" s="164">
        <f t="shared" si="71"/>
        <v>332.8</v>
      </c>
      <c r="X65" s="144">
        <f t="shared" si="72"/>
        <v>866.66666666666663</v>
      </c>
      <c r="Y65" s="150">
        <f t="shared" si="73"/>
        <v>288.88888888888886</v>
      </c>
      <c r="Z65" s="150">
        <f t="shared" si="74"/>
        <v>866.66666666666663</v>
      </c>
      <c r="AA65" s="150">
        <f t="shared" si="75"/>
        <v>2860.0000000000005</v>
      </c>
      <c r="AB65" s="182">
        <f t="shared" si="76"/>
        <v>161.77777777777777</v>
      </c>
      <c r="AC65" s="182">
        <f t="shared" si="77"/>
        <v>556.11111111111109</v>
      </c>
      <c r="AD65" s="182">
        <f t="shared" si="78"/>
        <v>1040</v>
      </c>
      <c r="AE65" s="180">
        <f t="shared" si="79"/>
        <v>83.2</v>
      </c>
      <c r="AF65" s="150">
        <f t="shared" si="108"/>
        <v>936</v>
      </c>
      <c r="AG65" s="150">
        <f t="shared" si="109"/>
        <v>600</v>
      </c>
      <c r="AH65" s="150">
        <f t="shared" si="36"/>
        <v>12054.111111111109</v>
      </c>
      <c r="AI65" s="154">
        <f t="shared" si="110"/>
        <v>9840.8510061111119</v>
      </c>
      <c r="AJ65" s="70">
        <f t="shared" si="111"/>
        <v>9245.1434383333326</v>
      </c>
      <c r="AK65" s="155">
        <f t="shared" si="112"/>
        <v>0.2160771451062713</v>
      </c>
      <c r="AL65" s="155">
        <f t="shared" si="113"/>
        <v>0.28061966896918356</v>
      </c>
    </row>
    <row r="66" spans="2:38" ht="14.25" customHeight="1" x14ac:dyDescent="0.25">
      <c r="B66" s="174" t="s">
        <v>292</v>
      </c>
      <c r="C66" s="171" t="s">
        <v>109</v>
      </c>
      <c r="D66" s="103">
        <v>176</v>
      </c>
      <c r="E66" s="104" t="s">
        <v>76</v>
      </c>
      <c r="F66" s="92">
        <v>0</v>
      </c>
      <c r="G66" s="219">
        <f>IF(F66&gt;0,F66,
IF(B66&lt;&gt;"",
IF(C66="CLT",VLOOKUP(B66,'Lista Profissionais'!$C$11:$H$348,3,0),
VLOOKUP(B66,'Lista Profissionais'!$C$11:$H$348,6,0)), 0))</f>
        <v>3920</v>
      </c>
      <c r="H66" s="219">
        <f>IF(B66&lt;&gt;"",
IF(C66="CLT",
       22*$M$5 + (G66*'Lista Profissionais'!$G$9),0),0)</f>
        <v>1334</v>
      </c>
      <c r="I66" s="66">
        <f t="shared" si="62"/>
        <v>3920</v>
      </c>
      <c r="J66" s="66">
        <f t="shared" si="106"/>
        <v>9180.0111111111109</v>
      </c>
      <c r="K66" s="66">
        <f t="shared" si="107"/>
        <v>13203.288680722222</v>
      </c>
      <c r="L66" s="93">
        <f t="shared" si="63"/>
        <v>52.15915404040404</v>
      </c>
      <c r="M66" s="151"/>
      <c r="N66" s="152">
        <v>0</v>
      </c>
      <c r="O66" s="69">
        <f t="shared" si="64"/>
        <v>0</v>
      </c>
      <c r="P66" s="69">
        <f t="shared" si="65"/>
        <v>16983.020555555555</v>
      </c>
      <c r="Q66" s="70">
        <f t="shared" si="66"/>
        <v>16983.020555555555</v>
      </c>
      <c r="R66" s="153">
        <f t="shared" si="67"/>
        <v>509.49061666666665</v>
      </c>
      <c r="S66" s="70">
        <v>0</v>
      </c>
      <c r="T66" s="165">
        <f t="shared" si="68"/>
        <v>17492.511172222221</v>
      </c>
      <c r="U66" s="163">
        <f t="shared" si="69"/>
        <v>99.389268023989885</v>
      </c>
      <c r="V66" s="164">
        <f t="shared" si="70"/>
        <v>313.60000000000002</v>
      </c>
      <c r="W66" s="164">
        <f t="shared" si="71"/>
        <v>125.44000000000001</v>
      </c>
      <c r="X66" s="144">
        <f t="shared" si="72"/>
        <v>326.66666666666669</v>
      </c>
      <c r="Y66" s="150">
        <f t="shared" si="73"/>
        <v>108.8888888888889</v>
      </c>
      <c r="Z66" s="150">
        <f t="shared" si="74"/>
        <v>326.66666666666669</v>
      </c>
      <c r="AA66" s="150">
        <f t="shared" si="75"/>
        <v>1078</v>
      </c>
      <c r="AB66" s="182">
        <f t="shared" si="76"/>
        <v>60.977777777777781</v>
      </c>
      <c r="AC66" s="182">
        <f t="shared" si="77"/>
        <v>209.61111111111114</v>
      </c>
      <c r="AD66" s="182">
        <f t="shared" si="78"/>
        <v>392</v>
      </c>
      <c r="AE66" s="180">
        <f t="shared" si="79"/>
        <v>31.36</v>
      </c>
      <c r="AF66" s="150">
        <f t="shared" si="108"/>
        <v>352.8</v>
      </c>
      <c r="AG66" s="150">
        <f t="shared" si="109"/>
        <v>600</v>
      </c>
      <c r="AH66" s="150">
        <f t="shared" si="36"/>
        <v>5260.0111111111119</v>
      </c>
      <c r="AI66" s="154">
        <f t="shared" si="110"/>
        <v>4023.2775696111112</v>
      </c>
      <c r="AJ66" s="70">
        <f t="shared" si="111"/>
        <v>3779.7318748333323</v>
      </c>
      <c r="AK66" s="155">
        <f t="shared" si="112"/>
        <v>0.21607714510627127</v>
      </c>
      <c r="AL66" s="155">
        <f t="shared" si="113"/>
        <v>0.2806196689691835</v>
      </c>
    </row>
    <row r="67" spans="2:38" ht="14.25" customHeight="1" x14ac:dyDescent="0.25">
      <c r="B67" s="174" t="s">
        <v>293</v>
      </c>
      <c r="C67" s="171" t="s">
        <v>109</v>
      </c>
      <c r="D67" s="103">
        <v>176</v>
      </c>
      <c r="E67" s="104" t="s">
        <v>76</v>
      </c>
      <c r="F67" s="92">
        <v>0</v>
      </c>
      <c r="G67" s="219">
        <f>IF(F67&gt;0,F67,
IF(B67&lt;&gt;"",
IF(C67="CLT",VLOOKUP(B67,'Lista Profissionais'!$C$11:$H$348,3,0),
VLOOKUP(B67,'Lista Profissionais'!$C$11:$H$348,6,0)), 0))</f>
        <v>7200</v>
      </c>
      <c r="H67" s="219">
        <f>IF(B67&lt;&gt;"",
IF(C67="CLT",
       22*$M$5 + (G67*'Lista Profissionais'!$G$9),0),0)</f>
        <v>1990</v>
      </c>
      <c r="I67" s="66">
        <f t="shared" si="62"/>
        <v>7200</v>
      </c>
      <c r="J67" s="66">
        <f t="shared" si="106"/>
        <v>15899</v>
      </c>
      <c r="K67" s="66">
        <f t="shared" si="107"/>
        <v>22866.975234999998</v>
      </c>
      <c r="L67" s="93">
        <f t="shared" si="63"/>
        <v>90.335227272727266</v>
      </c>
      <c r="M67" s="151"/>
      <c r="N67" s="152">
        <v>0</v>
      </c>
      <c r="O67" s="69">
        <f t="shared" si="64"/>
        <v>0</v>
      </c>
      <c r="P67" s="69">
        <f t="shared" si="65"/>
        <v>29413.15</v>
      </c>
      <c r="Q67" s="70">
        <f t="shared" si="66"/>
        <v>29413.15</v>
      </c>
      <c r="R67" s="153">
        <f t="shared" si="67"/>
        <v>882.39449999999999</v>
      </c>
      <c r="S67" s="70">
        <v>0</v>
      </c>
      <c r="T67" s="165">
        <f t="shared" si="68"/>
        <v>30295.5445</v>
      </c>
      <c r="U67" s="163">
        <f t="shared" si="69"/>
        <v>172.13377556818182</v>
      </c>
      <c r="V67" s="164">
        <f t="shared" si="70"/>
        <v>576</v>
      </c>
      <c r="W67" s="164">
        <f t="shared" si="71"/>
        <v>230.4</v>
      </c>
      <c r="X67" s="144">
        <f t="shared" si="72"/>
        <v>600</v>
      </c>
      <c r="Y67" s="150">
        <f t="shared" si="73"/>
        <v>200</v>
      </c>
      <c r="Z67" s="150">
        <f t="shared" si="74"/>
        <v>600</v>
      </c>
      <c r="AA67" s="150">
        <f t="shared" si="75"/>
        <v>1980.0000000000002</v>
      </c>
      <c r="AB67" s="182">
        <f t="shared" si="76"/>
        <v>112</v>
      </c>
      <c r="AC67" s="182">
        <f t="shared" si="77"/>
        <v>385.00000000000006</v>
      </c>
      <c r="AD67" s="182">
        <f t="shared" si="78"/>
        <v>720</v>
      </c>
      <c r="AE67" s="180">
        <f t="shared" si="79"/>
        <v>57.6</v>
      </c>
      <c r="AF67" s="150">
        <f t="shared" si="108"/>
        <v>648</v>
      </c>
      <c r="AG67" s="150">
        <f t="shared" si="109"/>
        <v>600</v>
      </c>
      <c r="AH67" s="150">
        <f t="shared" si="36"/>
        <v>8699</v>
      </c>
      <c r="AI67" s="154">
        <f t="shared" si="110"/>
        <v>6967.9752349999999</v>
      </c>
      <c r="AJ67" s="70">
        <f t="shared" si="111"/>
        <v>6546.1747649999979</v>
      </c>
      <c r="AK67" s="155">
        <f t="shared" si="112"/>
        <v>0.21607714510627124</v>
      </c>
      <c r="AL67" s="155">
        <f t="shared" si="113"/>
        <v>0.28061966896918344</v>
      </c>
    </row>
    <row r="68" spans="2:38" ht="15.75" customHeight="1" x14ac:dyDescent="0.25">
      <c r="B68" s="174" t="s">
        <v>294</v>
      </c>
      <c r="C68" s="171" t="s">
        <v>109</v>
      </c>
      <c r="D68" s="103">
        <v>176</v>
      </c>
      <c r="E68" s="104" t="s">
        <v>76</v>
      </c>
      <c r="F68" s="92">
        <v>0</v>
      </c>
      <c r="G68" s="219">
        <f>IF(F68&gt;0,F68,
IF(B68&lt;&gt;"",
IF(C68="CLT",VLOOKUP(B68,'Lista Profissionais'!$C$11:$H$348,3,0),
VLOOKUP(B68,'Lista Profissionais'!$C$11:$H$348,6,0)), 0))</f>
        <v>8800</v>
      </c>
      <c r="H68" s="219">
        <f>IF(B68&lt;&gt;"",
IF(C68="CLT",
       22*$M$5 + (G68*'Lista Profissionais'!$G$9),0),0)</f>
        <v>2310</v>
      </c>
      <c r="I68" s="66">
        <f t="shared" si="62"/>
        <v>8800</v>
      </c>
      <c r="J68" s="66">
        <f t="shared" si="106"/>
        <v>19176.555555555555</v>
      </c>
      <c r="K68" s="66">
        <f t="shared" si="107"/>
        <v>27580.968676111112</v>
      </c>
      <c r="L68" s="93">
        <f t="shared" si="63"/>
        <v>108.95770202020202</v>
      </c>
      <c r="M68" s="151"/>
      <c r="N68" s="152">
        <v>0</v>
      </c>
      <c r="O68" s="69">
        <f t="shared" si="64"/>
        <v>0</v>
      </c>
      <c r="P68" s="69">
        <f t="shared" si="65"/>
        <v>35476.62777777778</v>
      </c>
      <c r="Q68" s="70">
        <f t="shared" si="66"/>
        <v>35476.62777777778</v>
      </c>
      <c r="R68" s="153">
        <f t="shared" si="67"/>
        <v>1064.2988333333333</v>
      </c>
      <c r="S68" s="70">
        <v>0</v>
      </c>
      <c r="T68" s="165">
        <f t="shared" si="68"/>
        <v>36540.926611111114</v>
      </c>
      <c r="U68" s="163">
        <f t="shared" si="69"/>
        <v>207.61890119949496</v>
      </c>
      <c r="V68" s="164">
        <f t="shared" si="70"/>
        <v>704</v>
      </c>
      <c r="W68" s="164">
        <f t="shared" si="71"/>
        <v>281.60000000000002</v>
      </c>
      <c r="X68" s="144">
        <f t="shared" si="72"/>
        <v>733.33333333333337</v>
      </c>
      <c r="Y68" s="150">
        <f t="shared" si="73"/>
        <v>244.44444444444446</v>
      </c>
      <c r="Z68" s="150">
        <f t="shared" si="74"/>
        <v>733.33333333333337</v>
      </c>
      <c r="AA68" s="150">
        <f t="shared" si="75"/>
        <v>2420</v>
      </c>
      <c r="AB68" s="182">
        <f t="shared" si="76"/>
        <v>136.88888888888891</v>
      </c>
      <c r="AC68" s="182">
        <f t="shared" si="77"/>
        <v>470.55555555555566</v>
      </c>
      <c r="AD68" s="182">
        <f t="shared" si="78"/>
        <v>880</v>
      </c>
      <c r="AE68" s="180">
        <f t="shared" si="79"/>
        <v>70.400000000000006</v>
      </c>
      <c r="AF68" s="150">
        <f t="shared" si="108"/>
        <v>792</v>
      </c>
      <c r="AG68" s="150">
        <f t="shared" si="109"/>
        <v>600</v>
      </c>
      <c r="AH68" s="150">
        <f t="shared" si="36"/>
        <v>10376.555555555555</v>
      </c>
      <c r="AI68" s="154">
        <f t="shared" si="110"/>
        <v>8404.4131205555568</v>
      </c>
      <c r="AJ68" s="70">
        <f t="shared" si="111"/>
        <v>7895.6591016666689</v>
      </c>
      <c r="AK68" s="155">
        <f t="shared" si="112"/>
        <v>0.21607714510627138</v>
      </c>
      <c r="AL68" s="155">
        <f t="shared" si="113"/>
        <v>0.28061966896918361</v>
      </c>
    </row>
    <row r="69" spans="2:38" ht="15.75" customHeight="1" x14ac:dyDescent="0.25">
      <c r="B69" s="174" t="s">
        <v>295</v>
      </c>
      <c r="C69" s="171" t="s">
        <v>109</v>
      </c>
      <c r="D69" s="103">
        <v>176</v>
      </c>
      <c r="E69" s="104" t="s">
        <v>76</v>
      </c>
      <c r="F69" s="92">
        <v>0</v>
      </c>
      <c r="G69" s="219">
        <f>IF(F69&gt;0,F69,
IF(B69&lt;&gt;"",
IF(C69="CLT",VLOOKUP(B69,'Lista Profissionais'!$C$11:$H$348,3,0),
VLOOKUP(B69,'Lista Profissionais'!$C$11:$H$348,6,0)), 0))</f>
        <v>10880</v>
      </c>
      <c r="H69" s="219">
        <f>IF(B69&lt;&gt;"",
IF(C69="CLT",
       22*$M$5 + (G69*'Lista Profissionais'!$G$9),0),0)</f>
        <v>2726</v>
      </c>
      <c r="I69" s="66">
        <f t="shared" si="62"/>
        <v>10880</v>
      </c>
      <c r="J69" s="66">
        <f t="shared" si="106"/>
        <v>23437.37777777778</v>
      </c>
      <c r="K69" s="66">
        <f t="shared" si="107"/>
        <v>33709.160149555559</v>
      </c>
      <c r="L69" s="93">
        <f t="shared" si="63"/>
        <v>133.16691919191919</v>
      </c>
      <c r="M69" s="151"/>
      <c r="N69" s="152">
        <v>0</v>
      </c>
      <c r="O69" s="69">
        <f t="shared" si="64"/>
        <v>0</v>
      </c>
      <c r="P69" s="69">
        <f t="shared" si="65"/>
        <v>43359.148888888893</v>
      </c>
      <c r="Q69" s="70">
        <f t="shared" si="66"/>
        <v>43359.148888888893</v>
      </c>
      <c r="R69" s="153">
        <f t="shared" si="67"/>
        <v>1300.7744666666667</v>
      </c>
      <c r="S69" s="70">
        <v>0</v>
      </c>
      <c r="T69" s="165">
        <f t="shared" si="68"/>
        <v>44659.923355555562</v>
      </c>
      <c r="U69" s="163">
        <f t="shared" si="69"/>
        <v>253.74956452020206</v>
      </c>
      <c r="V69" s="164">
        <f t="shared" si="70"/>
        <v>870.4</v>
      </c>
      <c r="W69" s="164">
        <f t="shared" si="71"/>
        <v>348.16</v>
      </c>
      <c r="X69" s="144">
        <f t="shared" si="72"/>
        <v>906.66666666666663</v>
      </c>
      <c r="Y69" s="150">
        <f t="shared" si="73"/>
        <v>302.22222222222223</v>
      </c>
      <c r="Z69" s="150">
        <f t="shared" si="74"/>
        <v>906.66666666666663</v>
      </c>
      <c r="AA69" s="150">
        <f t="shared" si="75"/>
        <v>2992.0000000000005</v>
      </c>
      <c r="AB69" s="182">
        <f t="shared" si="76"/>
        <v>169.24444444444447</v>
      </c>
      <c r="AC69" s="182">
        <f t="shared" si="77"/>
        <v>581.77777777777783</v>
      </c>
      <c r="AD69" s="182">
        <f t="shared" si="78"/>
        <v>1088</v>
      </c>
      <c r="AE69" s="180">
        <f t="shared" si="79"/>
        <v>87.04</v>
      </c>
      <c r="AF69" s="150">
        <f t="shared" si="108"/>
        <v>979.19999999999993</v>
      </c>
      <c r="AG69" s="150">
        <f t="shared" si="109"/>
        <v>600</v>
      </c>
      <c r="AH69" s="150">
        <f t="shared" si="36"/>
        <v>12557.37777777778</v>
      </c>
      <c r="AI69" s="154">
        <f t="shared" si="110"/>
        <v>10271.782371777779</v>
      </c>
      <c r="AJ69" s="70">
        <f t="shared" si="111"/>
        <v>9649.9887393333374</v>
      </c>
      <c r="AK69" s="155">
        <f t="shared" si="112"/>
        <v>0.21607714510627138</v>
      </c>
      <c r="AL69" s="155">
        <f t="shared" si="113"/>
        <v>0.28061966896918361</v>
      </c>
    </row>
    <row r="70" spans="2:38" ht="15.75" customHeight="1" x14ac:dyDescent="0.25">
      <c r="B70" s="174" t="s">
        <v>296</v>
      </c>
      <c r="C70" s="171" t="s">
        <v>109</v>
      </c>
      <c r="D70" s="103">
        <v>176</v>
      </c>
      <c r="E70" s="104" t="s">
        <v>76</v>
      </c>
      <c r="F70" s="92">
        <v>0</v>
      </c>
      <c r="G70" s="219">
        <f>IF(F70&gt;0,F70,
IF(B70&lt;&gt;"",
IF(C70="CLT",VLOOKUP(B70,'Lista Profissionais'!$C$11:$H$348,3,0),
VLOOKUP(B70,'Lista Profissionais'!$C$11:$H$348,6,0)), 0))</f>
        <v>3920</v>
      </c>
      <c r="H70" s="219">
        <f>IF(B70&lt;&gt;"",
IF(C70="CLT",
       22*$M$5 + (G70*'Lista Profissionais'!$G$9),0),0)</f>
        <v>1334</v>
      </c>
      <c r="I70" s="66">
        <f t="shared" si="62"/>
        <v>3920</v>
      </c>
      <c r="J70" s="66">
        <f t="shared" si="106"/>
        <v>9180.0111111111109</v>
      </c>
      <c r="K70" s="66">
        <f t="shared" si="107"/>
        <v>13203.288680722222</v>
      </c>
      <c r="L70" s="93">
        <f t="shared" si="63"/>
        <v>52.15915404040404</v>
      </c>
      <c r="M70" s="151"/>
      <c r="N70" s="152">
        <v>0</v>
      </c>
      <c r="O70" s="69">
        <f t="shared" si="64"/>
        <v>0</v>
      </c>
      <c r="P70" s="69">
        <f t="shared" si="65"/>
        <v>16983.020555555555</v>
      </c>
      <c r="Q70" s="70">
        <f t="shared" si="66"/>
        <v>16983.020555555555</v>
      </c>
      <c r="R70" s="153">
        <f t="shared" si="67"/>
        <v>509.49061666666665</v>
      </c>
      <c r="S70" s="70">
        <v>0</v>
      </c>
      <c r="T70" s="165">
        <f t="shared" si="68"/>
        <v>17492.511172222221</v>
      </c>
      <c r="U70" s="163">
        <f t="shared" si="69"/>
        <v>99.389268023989885</v>
      </c>
      <c r="V70" s="164">
        <f t="shared" si="70"/>
        <v>313.60000000000002</v>
      </c>
      <c r="W70" s="164">
        <f t="shared" si="71"/>
        <v>125.44000000000001</v>
      </c>
      <c r="X70" s="144">
        <f t="shared" si="72"/>
        <v>326.66666666666669</v>
      </c>
      <c r="Y70" s="150">
        <f t="shared" si="73"/>
        <v>108.8888888888889</v>
      </c>
      <c r="Z70" s="150">
        <f t="shared" si="74"/>
        <v>326.66666666666669</v>
      </c>
      <c r="AA70" s="150">
        <f t="shared" si="75"/>
        <v>1078</v>
      </c>
      <c r="AB70" s="182">
        <f t="shared" si="76"/>
        <v>60.977777777777781</v>
      </c>
      <c r="AC70" s="182">
        <f t="shared" si="77"/>
        <v>209.61111111111114</v>
      </c>
      <c r="AD70" s="182">
        <f t="shared" si="78"/>
        <v>392</v>
      </c>
      <c r="AE70" s="180">
        <f t="shared" si="79"/>
        <v>31.36</v>
      </c>
      <c r="AF70" s="150">
        <f t="shared" si="108"/>
        <v>352.8</v>
      </c>
      <c r="AG70" s="150">
        <f t="shared" si="109"/>
        <v>600</v>
      </c>
      <c r="AH70" s="150">
        <f t="shared" si="36"/>
        <v>5260.0111111111119</v>
      </c>
      <c r="AI70" s="154">
        <f t="shared" si="110"/>
        <v>4023.2775696111112</v>
      </c>
      <c r="AJ70" s="70">
        <f t="shared" si="111"/>
        <v>3779.7318748333323</v>
      </c>
      <c r="AK70" s="155">
        <f t="shared" si="112"/>
        <v>0.21607714510627127</v>
      </c>
      <c r="AL70" s="155">
        <f t="shared" si="113"/>
        <v>0.2806196689691835</v>
      </c>
    </row>
    <row r="71" spans="2:38" ht="15.75" customHeight="1" x14ac:dyDescent="0.25">
      <c r="B71" s="174" t="s">
        <v>297</v>
      </c>
      <c r="C71" s="171" t="s">
        <v>109</v>
      </c>
      <c r="D71" s="103">
        <v>176</v>
      </c>
      <c r="E71" s="104" t="s">
        <v>76</v>
      </c>
      <c r="F71" s="92">
        <v>0</v>
      </c>
      <c r="G71" s="219">
        <f>IF(F71&gt;0,F71,
IF(B71&lt;&gt;"",
IF(C71="CLT",VLOOKUP(B71,'Lista Profissionais'!$C$11:$H$348,3,0),
VLOOKUP(B71,'Lista Profissionais'!$C$11:$H$348,6,0)), 0))</f>
        <v>7520</v>
      </c>
      <c r="H71" s="219">
        <f>IF(B71&lt;&gt;"",
IF(C71="CLT",
       22*$M$5 + (G71*'Lista Profissionais'!$G$9),0),0)</f>
        <v>2054</v>
      </c>
      <c r="I71" s="66">
        <f t="shared" si="62"/>
        <v>7520</v>
      </c>
      <c r="J71" s="66">
        <f t="shared" si="106"/>
        <v>16554.511111111111</v>
      </c>
      <c r="K71" s="66">
        <f t="shared" si="107"/>
        <v>23809.773923222223</v>
      </c>
      <c r="L71" s="93">
        <f t="shared" si="63"/>
        <v>94.05972222222222</v>
      </c>
      <c r="M71" s="151"/>
      <c r="N71" s="152">
        <v>0</v>
      </c>
      <c r="O71" s="69">
        <f t="shared" si="64"/>
        <v>0</v>
      </c>
      <c r="P71" s="69">
        <f t="shared" si="65"/>
        <v>30625.845555555556</v>
      </c>
      <c r="Q71" s="70">
        <f t="shared" si="66"/>
        <v>30625.845555555556</v>
      </c>
      <c r="R71" s="153">
        <f t="shared" si="67"/>
        <v>918.77536666666663</v>
      </c>
      <c r="S71" s="70">
        <v>0</v>
      </c>
      <c r="T71" s="165">
        <f t="shared" si="68"/>
        <v>31544.620922222221</v>
      </c>
      <c r="U71" s="163">
        <f t="shared" si="69"/>
        <v>179.23080069444444</v>
      </c>
      <c r="V71" s="164">
        <f t="shared" si="70"/>
        <v>601.6</v>
      </c>
      <c r="W71" s="164">
        <f t="shared" si="71"/>
        <v>240.64000000000001</v>
      </c>
      <c r="X71" s="144">
        <f t="shared" si="72"/>
        <v>626.66666666666663</v>
      </c>
      <c r="Y71" s="150">
        <f t="shared" si="73"/>
        <v>208.88888888888889</v>
      </c>
      <c r="Z71" s="150">
        <f t="shared" si="74"/>
        <v>626.66666666666663</v>
      </c>
      <c r="AA71" s="150">
        <f t="shared" si="75"/>
        <v>2068</v>
      </c>
      <c r="AB71" s="182">
        <f t="shared" si="76"/>
        <v>116.97777777777777</v>
      </c>
      <c r="AC71" s="182">
        <f t="shared" si="77"/>
        <v>402.11111111111114</v>
      </c>
      <c r="AD71" s="182">
        <f t="shared" si="78"/>
        <v>752</v>
      </c>
      <c r="AE71" s="180">
        <f t="shared" si="79"/>
        <v>60.160000000000004</v>
      </c>
      <c r="AF71" s="150">
        <f t="shared" si="108"/>
        <v>676.8</v>
      </c>
      <c r="AG71" s="150">
        <f t="shared" si="109"/>
        <v>600</v>
      </c>
      <c r="AH71" s="150">
        <f t="shared" si="36"/>
        <v>9034.5111111111109</v>
      </c>
      <c r="AI71" s="154">
        <f t="shared" si="110"/>
        <v>7255.2628121111111</v>
      </c>
      <c r="AJ71" s="70">
        <f t="shared" si="111"/>
        <v>6816.0716323333309</v>
      </c>
      <c r="AK71" s="155">
        <f t="shared" si="112"/>
        <v>0.21607714510627124</v>
      </c>
      <c r="AL71" s="155">
        <f t="shared" si="113"/>
        <v>0.28061966896918344</v>
      </c>
    </row>
    <row r="72" spans="2:38" ht="15.75" customHeight="1" x14ac:dyDescent="0.25">
      <c r="B72" s="174" t="s">
        <v>298</v>
      </c>
      <c r="C72" s="171" t="s">
        <v>109</v>
      </c>
      <c r="D72" s="103">
        <v>176</v>
      </c>
      <c r="E72" s="104" t="s">
        <v>76</v>
      </c>
      <c r="F72" s="92">
        <v>0</v>
      </c>
      <c r="G72" s="219">
        <f>IF(F72&gt;0,F72,
IF(B72&lt;&gt;"",
IF(C72="CLT",VLOOKUP(B72,'Lista Profissionais'!$C$11:$H$348,3,0),
VLOOKUP(B72,'Lista Profissionais'!$C$11:$H$348,6,0)), 0))</f>
        <v>9200</v>
      </c>
      <c r="H72" s="219">
        <f>IF(B72&lt;&gt;"",
IF(C72="CLT",
       22*$M$5 + (G72*'Lista Profissionais'!$G$9),0),0)</f>
        <v>2390</v>
      </c>
      <c r="I72" s="66">
        <f t="shared" si="62"/>
        <v>9200</v>
      </c>
      <c r="J72" s="66">
        <f t="shared" si="106"/>
        <v>19995.944444444445</v>
      </c>
      <c r="K72" s="66">
        <f t="shared" si="107"/>
        <v>28759.467036388894</v>
      </c>
      <c r="L72" s="93">
        <f t="shared" si="63"/>
        <v>113.61332070707071</v>
      </c>
      <c r="M72" s="151"/>
      <c r="N72" s="152">
        <v>0</v>
      </c>
      <c r="O72" s="69">
        <f t="shared" si="64"/>
        <v>0</v>
      </c>
      <c r="P72" s="69">
        <f t="shared" si="65"/>
        <v>36992.497222222228</v>
      </c>
      <c r="Q72" s="70">
        <f t="shared" si="66"/>
        <v>36992.497222222228</v>
      </c>
      <c r="R72" s="153">
        <f t="shared" si="67"/>
        <v>1109.7749166666667</v>
      </c>
      <c r="S72" s="70">
        <v>0</v>
      </c>
      <c r="T72" s="165">
        <f t="shared" si="68"/>
        <v>38102.272138888897</v>
      </c>
      <c r="U72" s="163">
        <f t="shared" si="69"/>
        <v>216.49018260732328</v>
      </c>
      <c r="V72" s="164">
        <f t="shared" si="70"/>
        <v>736</v>
      </c>
      <c r="W72" s="164">
        <f t="shared" si="71"/>
        <v>294.40000000000003</v>
      </c>
      <c r="X72" s="144">
        <f t="shared" si="72"/>
        <v>766.66666666666663</v>
      </c>
      <c r="Y72" s="150">
        <f t="shared" si="73"/>
        <v>255.55555555555554</v>
      </c>
      <c r="Z72" s="150">
        <f t="shared" si="74"/>
        <v>766.66666666666663</v>
      </c>
      <c r="AA72" s="150">
        <f t="shared" si="75"/>
        <v>2530</v>
      </c>
      <c r="AB72" s="182">
        <f t="shared" si="76"/>
        <v>143.11111111111109</v>
      </c>
      <c r="AC72" s="182">
        <f t="shared" si="77"/>
        <v>491.9444444444444</v>
      </c>
      <c r="AD72" s="182">
        <f t="shared" si="78"/>
        <v>920</v>
      </c>
      <c r="AE72" s="180">
        <f t="shared" si="79"/>
        <v>73.600000000000009</v>
      </c>
      <c r="AF72" s="150">
        <f t="shared" si="108"/>
        <v>828</v>
      </c>
      <c r="AG72" s="150">
        <f t="shared" si="109"/>
        <v>600</v>
      </c>
      <c r="AH72" s="150">
        <f t="shared" si="36"/>
        <v>10795.944444444445</v>
      </c>
      <c r="AI72" s="154">
        <f t="shared" si="110"/>
        <v>8763.5225919444474</v>
      </c>
      <c r="AJ72" s="70">
        <f t="shared" si="111"/>
        <v>8233.0301858333351</v>
      </c>
      <c r="AK72" s="155">
        <f t="shared" si="112"/>
        <v>0.21607714510627132</v>
      </c>
      <c r="AL72" s="155">
        <f t="shared" si="113"/>
        <v>0.28061966896918356</v>
      </c>
    </row>
    <row r="73" spans="2:38" ht="15.75" customHeight="1" x14ac:dyDescent="0.25">
      <c r="B73" s="174" t="s">
        <v>299</v>
      </c>
      <c r="C73" s="171" t="s">
        <v>109</v>
      </c>
      <c r="D73" s="103">
        <v>176</v>
      </c>
      <c r="E73" s="104" t="s">
        <v>76</v>
      </c>
      <c r="F73" s="92">
        <v>0</v>
      </c>
      <c r="G73" s="219">
        <f>IF(F73&gt;0,F73,
IF(B73&lt;&gt;"",
IF(C73="CLT",VLOOKUP(B73,'Lista Profissionais'!$C$11:$H$348,3,0),
VLOOKUP(B73,'Lista Profissionais'!$C$11:$H$348,6,0)), 0))</f>
        <v>10880</v>
      </c>
      <c r="H73" s="219">
        <f>IF(B73&lt;&gt;"",
IF(C73="CLT",
       22*$M$5 + (G73*'Lista Profissionais'!$G$9),0),0)</f>
        <v>2726</v>
      </c>
      <c r="I73" s="66">
        <f t="shared" si="62"/>
        <v>10880</v>
      </c>
      <c r="J73" s="66">
        <f t="shared" si="106"/>
        <v>23437.37777777778</v>
      </c>
      <c r="K73" s="66">
        <f t="shared" si="107"/>
        <v>33709.160149555559</v>
      </c>
      <c r="L73" s="93">
        <f t="shared" si="63"/>
        <v>133.16691919191919</v>
      </c>
      <c r="M73" s="151"/>
      <c r="N73" s="152">
        <v>0</v>
      </c>
      <c r="O73" s="69">
        <f t="shared" si="64"/>
        <v>0</v>
      </c>
      <c r="P73" s="69">
        <f t="shared" si="65"/>
        <v>43359.148888888893</v>
      </c>
      <c r="Q73" s="70">
        <f t="shared" si="66"/>
        <v>43359.148888888893</v>
      </c>
      <c r="R73" s="153">
        <f t="shared" si="67"/>
        <v>1300.7744666666667</v>
      </c>
      <c r="S73" s="70">
        <v>0</v>
      </c>
      <c r="T73" s="165">
        <f t="shared" si="68"/>
        <v>44659.923355555562</v>
      </c>
      <c r="U73" s="163">
        <f t="shared" si="69"/>
        <v>253.74956452020206</v>
      </c>
      <c r="V73" s="164">
        <f t="shared" si="70"/>
        <v>870.4</v>
      </c>
      <c r="W73" s="164">
        <f t="shared" si="71"/>
        <v>348.16</v>
      </c>
      <c r="X73" s="144">
        <f t="shared" si="72"/>
        <v>906.66666666666663</v>
      </c>
      <c r="Y73" s="150">
        <f t="shared" si="73"/>
        <v>302.22222222222223</v>
      </c>
      <c r="Z73" s="150">
        <f t="shared" si="74"/>
        <v>906.66666666666663</v>
      </c>
      <c r="AA73" s="150">
        <f t="shared" si="75"/>
        <v>2992.0000000000005</v>
      </c>
      <c r="AB73" s="182">
        <f t="shared" si="76"/>
        <v>169.24444444444447</v>
      </c>
      <c r="AC73" s="182">
        <f t="shared" si="77"/>
        <v>581.77777777777783</v>
      </c>
      <c r="AD73" s="182">
        <f t="shared" si="78"/>
        <v>1088</v>
      </c>
      <c r="AE73" s="180">
        <f t="shared" si="79"/>
        <v>87.04</v>
      </c>
      <c r="AF73" s="150">
        <f t="shared" si="108"/>
        <v>979.19999999999993</v>
      </c>
      <c r="AG73" s="150">
        <f t="shared" si="109"/>
        <v>600</v>
      </c>
      <c r="AH73" s="150">
        <f t="shared" si="36"/>
        <v>12557.37777777778</v>
      </c>
      <c r="AI73" s="154">
        <f t="shared" si="110"/>
        <v>10271.782371777779</v>
      </c>
      <c r="AJ73" s="70">
        <f t="shared" si="111"/>
        <v>9649.9887393333374</v>
      </c>
      <c r="AK73" s="155">
        <f t="shared" si="112"/>
        <v>0.21607714510627138</v>
      </c>
      <c r="AL73" s="155">
        <f t="shared" si="113"/>
        <v>0.28061966896918361</v>
      </c>
    </row>
    <row r="74" spans="2:38" ht="15.75" customHeight="1" x14ac:dyDescent="0.25">
      <c r="B74" s="174" t="s">
        <v>300</v>
      </c>
      <c r="C74" s="171" t="s">
        <v>109</v>
      </c>
      <c r="D74" s="103">
        <v>176</v>
      </c>
      <c r="E74" s="104" t="s">
        <v>76</v>
      </c>
      <c r="F74" s="92">
        <v>0</v>
      </c>
      <c r="G74" s="219">
        <f>IF(F74&gt;0,F74,
IF(B74&lt;&gt;"",
IF(C74="CLT",VLOOKUP(B74,'Lista Profissionais'!$C$11:$H$348,3,0),
VLOOKUP(B74,'Lista Profissionais'!$C$11:$H$348,6,0)), 0))</f>
        <v>3920</v>
      </c>
      <c r="H74" s="219">
        <f>IF(B74&lt;&gt;"",
IF(C74="CLT",
       22*$M$5 + (G74*'Lista Profissionais'!$G$9),0),0)</f>
        <v>1334</v>
      </c>
      <c r="I74" s="66">
        <f t="shared" si="62"/>
        <v>3920</v>
      </c>
      <c r="J74" s="66">
        <f t="shared" si="106"/>
        <v>9180.0111111111109</v>
      </c>
      <c r="K74" s="66">
        <f t="shared" si="107"/>
        <v>13203.288680722222</v>
      </c>
      <c r="L74" s="93">
        <f t="shared" si="63"/>
        <v>52.15915404040404</v>
      </c>
      <c r="M74" s="151"/>
      <c r="N74" s="152">
        <v>0</v>
      </c>
      <c r="O74" s="69">
        <f t="shared" si="64"/>
        <v>0</v>
      </c>
      <c r="P74" s="69">
        <f t="shared" si="65"/>
        <v>16983.020555555555</v>
      </c>
      <c r="Q74" s="70">
        <f t="shared" si="66"/>
        <v>16983.020555555555</v>
      </c>
      <c r="R74" s="153">
        <f t="shared" si="67"/>
        <v>509.49061666666665</v>
      </c>
      <c r="S74" s="70">
        <v>0</v>
      </c>
      <c r="T74" s="165">
        <f t="shared" si="68"/>
        <v>17492.511172222221</v>
      </c>
      <c r="U74" s="163">
        <f t="shared" si="69"/>
        <v>99.389268023989885</v>
      </c>
      <c r="V74" s="164">
        <f t="shared" si="70"/>
        <v>313.60000000000002</v>
      </c>
      <c r="W74" s="164">
        <f t="shared" si="71"/>
        <v>125.44000000000001</v>
      </c>
      <c r="X74" s="144">
        <f t="shared" si="72"/>
        <v>326.66666666666669</v>
      </c>
      <c r="Y74" s="150">
        <f t="shared" si="73"/>
        <v>108.8888888888889</v>
      </c>
      <c r="Z74" s="150">
        <f t="shared" si="74"/>
        <v>326.66666666666669</v>
      </c>
      <c r="AA74" s="150">
        <f t="shared" si="75"/>
        <v>1078</v>
      </c>
      <c r="AB74" s="182">
        <f t="shared" si="76"/>
        <v>60.977777777777781</v>
      </c>
      <c r="AC74" s="182">
        <f t="shared" si="77"/>
        <v>209.61111111111114</v>
      </c>
      <c r="AD74" s="182">
        <f t="shared" si="78"/>
        <v>392</v>
      </c>
      <c r="AE74" s="180">
        <f t="shared" si="79"/>
        <v>31.36</v>
      </c>
      <c r="AF74" s="150">
        <f t="shared" si="108"/>
        <v>352.8</v>
      </c>
      <c r="AG74" s="150">
        <f t="shared" si="109"/>
        <v>600</v>
      </c>
      <c r="AH74" s="150">
        <f t="shared" si="36"/>
        <v>5260.0111111111119</v>
      </c>
      <c r="AI74" s="154">
        <f t="shared" si="110"/>
        <v>4023.2775696111112</v>
      </c>
      <c r="AJ74" s="70">
        <f t="shared" si="111"/>
        <v>3779.7318748333323</v>
      </c>
      <c r="AK74" s="155">
        <f t="shared" si="112"/>
        <v>0.21607714510627127</v>
      </c>
      <c r="AL74" s="155">
        <f t="shared" si="113"/>
        <v>0.2806196689691835</v>
      </c>
    </row>
    <row r="75" spans="2:38" ht="15.75" customHeight="1" x14ac:dyDescent="0.25">
      <c r="B75" s="174" t="s">
        <v>301</v>
      </c>
      <c r="C75" s="171" t="s">
        <v>109</v>
      </c>
      <c r="D75" s="103">
        <v>176</v>
      </c>
      <c r="E75" s="104" t="s">
        <v>76</v>
      </c>
      <c r="F75" s="92">
        <v>0</v>
      </c>
      <c r="G75" s="219">
        <f>IF(F75&gt;0,F75,
IF(B75&lt;&gt;"",
IF(C75="CLT",VLOOKUP(B75,'Lista Profissionais'!$C$11:$H$348,3,0),
VLOOKUP(B75,'Lista Profissionais'!$C$11:$H$348,6,0)), 0))</f>
        <v>7520</v>
      </c>
      <c r="H75" s="219">
        <f>IF(B75&lt;&gt;"",
IF(C75="CLT",
       22*$M$5 + (G75*'Lista Profissionais'!$G$9),0),0)</f>
        <v>2054</v>
      </c>
      <c r="I75" s="66">
        <f t="shared" si="62"/>
        <v>7520</v>
      </c>
      <c r="J75" s="66">
        <f t="shared" si="106"/>
        <v>16554.511111111111</v>
      </c>
      <c r="K75" s="66">
        <f t="shared" si="107"/>
        <v>23809.773923222223</v>
      </c>
      <c r="L75" s="93">
        <f t="shared" si="63"/>
        <v>94.05972222222222</v>
      </c>
      <c r="M75" s="151"/>
      <c r="N75" s="152">
        <v>0</v>
      </c>
      <c r="O75" s="69">
        <f t="shared" si="64"/>
        <v>0</v>
      </c>
      <c r="P75" s="69">
        <f t="shared" si="65"/>
        <v>30625.845555555556</v>
      </c>
      <c r="Q75" s="70">
        <f t="shared" si="66"/>
        <v>30625.845555555556</v>
      </c>
      <c r="R75" s="153">
        <f t="shared" si="67"/>
        <v>918.77536666666663</v>
      </c>
      <c r="S75" s="70">
        <v>0</v>
      </c>
      <c r="T75" s="165">
        <f t="shared" si="68"/>
        <v>31544.620922222221</v>
      </c>
      <c r="U75" s="163">
        <f t="shared" si="69"/>
        <v>179.23080069444444</v>
      </c>
      <c r="V75" s="164">
        <f t="shared" si="70"/>
        <v>601.6</v>
      </c>
      <c r="W75" s="164">
        <f t="shared" si="71"/>
        <v>240.64000000000001</v>
      </c>
      <c r="X75" s="144">
        <f t="shared" si="72"/>
        <v>626.66666666666663</v>
      </c>
      <c r="Y75" s="150">
        <f t="shared" si="73"/>
        <v>208.88888888888889</v>
      </c>
      <c r="Z75" s="150">
        <f t="shared" si="74"/>
        <v>626.66666666666663</v>
      </c>
      <c r="AA75" s="150">
        <f t="shared" si="75"/>
        <v>2068</v>
      </c>
      <c r="AB75" s="182">
        <f t="shared" si="76"/>
        <v>116.97777777777777</v>
      </c>
      <c r="AC75" s="182">
        <f t="shared" si="77"/>
        <v>402.11111111111114</v>
      </c>
      <c r="AD75" s="182">
        <f t="shared" si="78"/>
        <v>752</v>
      </c>
      <c r="AE75" s="180">
        <f t="shared" si="79"/>
        <v>60.160000000000004</v>
      </c>
      <c r="AF75" s="150">
        <f t="shared" si="108"/>
        <v>676.8</v>
      </c>
      <c r="AG75" s="150">
        <f t="shared" si="109"/>
        <v>600</v>
      </c>
      <c r="AH75" s="150">
        <f t="shared" si="36"/>
        <v>9034.5111111111109</v>
      </c>
      <c r="AI75" s="154">
        <f t="shared" si="110"/>
        <v>7255.2628121111111</v>
      </c>
      <c r="AJ75" s="70">
        <f t="shared" si="111"/>
        <v>6816.0716323333309</v>
      </c>
      <c r="AK75" s="155">
        <f t="shared" si="112"/>
        <v>0.21607714510627124</v>
      </c>
      <c r="AL75" s="155">
        <f t="shared" si="113"/>
        <v>0.28061966896918344</v>
      </c>
    </row>
    <row r="76" spans="2:38" ht="15.75" customHeight="1" x14ac:dyDescent="0.25">
      <c r="B76" s="174" t="s">
        <v>302</v>
      </c>
      <c r="C76" s="171" t="s">
        <v>109</v>
      </c>
      <c r="D76" s="103">
        <v>176</v>
      </c>
      <c r="E76" s="104" t="s">
        <v>76</v>
      </c>
      <c r="F76" s="92">
        <v>0</v>
      </c>
      <c r="G76" s="219">
        <f>IF(F76&gt;0,F76,
IF(B76&lt;&gt;"",
IF(C76="CLT",VLOOKUP(B76,'Lista Profissionais'!$C$11:$H$348,3,0),
VLOOKUP(B76,'Lista Profissionais'!$C$11:$H$348,6,0)), 0))</f>
        <v>9200</v>
      </c>
      <c r="H76" s="219">
        <f>IF(B76&lt;&gt;"",
IF(C76="CLT",
       22*$M$5 + (G76*'Lista Profissionais'!$G$9),0),0)</f>
        <v>2390</v>
      </c>
      <c r="I76" s="66">
        <f t="shared" si="62"/>
        <v>9200</v>
      </c>
      <c r="J76" s="66">
        <f t="shared" si="106"/>
        <v>19995.944444444445</v>
      </c>
      <c r="K76" s="66">
        <f t="shared" si="107"/>
        <v>28759.467036388894</v>
      </c>
      <c r="L76" s="93">
        <f t="shared" si="63"/>
        <v>113.61332070707071</v>
      </c>
      <c r="M76" s="151"/>
      <c r="N76" s="152">
        <v>0</v>
      </c>
      <c r="O76" s="69">
        <f t="shared" si="64"/>
        <v>0</v>
      </c>
      <c r="P76" s="69">
        <f t="shared" si="65"/>
        <v>36992.497222222228</v>
      </c>
      <c r="Q76" s="70">
        <f t="shared" si="66"/>
        <v>36992.497222222228</v>
      </c>
      <c r="R76" s="153">
        <f t="shared" si="67"/>
        <v>1109.7749166666667</v>
      </c>
      <c r="S76" s="70">
        <v>0</v>
      </c>
      <c r="T76" s="165">
        <f t="shared" si="68"/>
        <v>38102.272138888897</v>
      </c>
      <c r="U76" s="163">
        <f t="shared" si="69"/>
        <v>216.49018260732328</v>
      </c>
      <c r="V76" s="164">
        <f t="shared" si="70"/>
        <v>736</v>
      </c>
      <c r="W76" s="164">
        <f t="shared" si="71"/>
        <v>294.40000000000003</v>
      </c>
      <c r="X76" s="144">
        <f t="shared" si="72"/>
        <v>766.66666666666663</v>
      </c>
      <c r="Y76" s="150">
        <f t="shared" si="73"/>
        <v>255.55555555555554</v>
      </c>
      <c r="Z76" s="150">
        <f t="shared" si="74"/>
        <v>766.66666666666663</v>
      </c>
      <c r="AA76" s="150">
        <f t="shared" si="75"/>
        <v>2530</v>
      </c>
      <c r="AB76" s="182">
        <f t="shared" si="76"/>
        <v>143.11111111111109</v>
      </c>
      <c r="AC76" s="182">
        <f t="shared" si="77"/>
        <v>491.9444444444444</v>
      </c>
      <c r="AD76" s="182">
        <f t="shared" si="78"/>
        <v>920</v>
      </c>
      <c r="AE76" s="180">
        <f t="shared" si="79"/>
        <v>73.600000000000009</v>
      </c>
      <c r="AF76" s="150">
        <f t="shared" si="108"/>
        <v>828</v>
      </c>
      <c r="AG76" s="150">
        <f t="shared" si="109"/>
        <v>600</v>
      </c>
      <c r="AH76" s="150">
        <f t="shared" si="36"/>
        <v>10795.944444444445</v>
      </c>
      <c r="AI76" s="154">
        <f t="shared" si="110"/>
        <v>8763.5225919444474</v>
      </c>
      <c r="AJ76" s="70">
        <f t="shared" si="111"/>
        <v>8233.0301858333351</v>
      </c>
      <c r="AK76" s="155">
        <f t="shared" si="112"/>
        <v>0.21607714510627132</v>
      </c>
      <c r="AL76" s="155">
        <f t="shared" si="113"/>
        <v>0.28061966896918356</v>
      </c>
    </row>
    <row r="77" spans="2:38" ht="15.75" customHeight="1" x14ac:dyDescent="0.25">
      <c r="B77" s="174" t="s">
        <v>303</v>
      </c>
      <c r="C77" s="171" t="s">
        <v>109</v>
      </c>
      <c r="D77" s="103">
        <v>176</v>
      </c>
      <c r="E77" s="104" t="s">
        <v>76</v>
      </c>
      <c r="F77" s="92">
        <v>0</v>
      </c>
      <c r="G77" s="219">
        <f>IF(F77&gt;0,F77,
IF(B77&lt;&gt;"",
IF(C77="CLT",VLOOKUP(B77,'Lista Profissionais'!$C$11:$H$348,3,0),
VLOOKUP(B77,'Lista Profissionais'!$C$11:$H$348,6,0)), 0))</f>
        <v>8800</v>
      </c>
      <c r="H77" s="219">
        <f>IF(B77&lt;&gt;"",
IF(C77="CLT",
       22*$M$5 + (G77*'Lista Profissionais'!$G$9),0),0)</f>
        <v>2310</v>
      </c>
      <c r="I77" s="66">
        <f t="shared" si="62"/>
        <v>8800</v>
      </c>
      <c r="J77" s="66">
        <f t="shared" si="106"/>
        <v>19176.555555555555</v>
      </c>
      <c r="K77" s="66">
        <f t="shared" si="107"/>
        <v>27580.968676111112</v>
      </c>
      <c r="L77" s="93">
        <f t="shared" si="63"/>
        <v>108.95770202020202</v>
      </c>
      <c r="M77" s="151"/>
      <c r="N77" s="152">
        <v>0</v>
      </c>
      <c r="O77" s="69">
        <f t="shared" si="64"/>
        <v>0</v>
      </c>
      <c r="P77" s="69">
        <f t="shared" si="65"/>
        <v>35476.62777777778</v>
      </c>
      <c r="Q77" s="70">
        <f t="shared" si="66"/>
        <v>35476.62777777778</v>
      </c>
      <c r="R77" s="153">
        <f t="shared" si="67"/>
        <v>1064.2988333333333</v>
      </c>
      <c r="S77" s="70">
        <v>0</v>
      </c>
      <c r="T77" s="165">
        <f t="shared" si="68"/>
        <v>36540.926611111114</v>
      </c>
      <c r="U77" s="163">
        <f t="shared" si="69"/>
        <v>207.61890119949496</v>
      </c>
      <c r="V77" s="164">
        <f t="shared" si="70"/>
        <v>704</v>
      </c>
      <c r="W77" s="164">
        <f t="shared" si="71"/>
        <v>281.60000000000002</v>
      </c>
      <c r="X77" s="144">
        <f t="shared" si="72"/>
        <v>733.33333333333337</v>
      </c>
      <c r="Y77" s="150">
        <f t="shared" si="73"/>
        <v>244.44444444444446</v>
      </c>
      <c r="Z77" s="150">
        <f t="shared" si="74"/>
        <v>733.33333333333337</v>
      </c>
      <c r="AA77" s="150">
        <f t="shared" si="75"/>
        <v>2420</v>
      </c>
      <c r="AB77" s="182">
        <f t="shared" si="76"/>
        <v>136.88888888888891</v>
      </c>
      <c r="AC77" s="182">
        <f t="shared" si="77"/>
        <v>470.55555555555566</v>
      </c>
      <c r="AD77" s="182">
        <f t="shared" si="78"/>
        <v>880</v>
      </c>
      <c r="AE77" s="180">
        <f t="shared" si="79"/>
        <v>70.400000000000006</v>
      </c>
      <c r="AF77" s="150">
        <f t="shared" si="108"/>
        <v>792</v>
      </c>
      <c r="AG77" s="150">
        <f t="shared" si="109"/>
        <v>600</v>
      </c>
      <c r="AH77" s="150">
        <f t="shared" si="36"/>
        <v>10376.555555555555</v>
      </c>
      <c r="AI77" s="154">
        <f t="shared" si="110"/>
        <v>8404.4131205555568</v>
      </c>
      <c r="AJ77" s="70">
        <f t="shared" si="111"/>
        <v>7895.6591016666689</v>
      </c>
      <c r="AK77" s="155">
        <f t="shared" si="112"/>
        <v>0.21607714510627138</v>
      </c>
      <c r="AL77" s="155">
        <f t="shared" si="113"/>
        <v>0.28061966896918361</v>
      </c>
    </row>
    <row r="78" spans="2:38" ht="15.75" customHeight="1" x14ac:dyDescent="0.25">
      <c r="B78" s="174" t="s">
        <v>304</v>
      </c>
      <c r="C78" s="171" t="s">
        <v>109</v>
      </c>
      <c r="D78" s="103">
        <v>176</v>
      </c>
      <c r="E78" s="104" t="s">
        <v>76</v>
      </c>
      <c r="F78" s="92">
        <v>0</v>
      </c>
      <c r="G78" s="219">
        <f>IF(F78&gt;0,F78,
IF(B78&lt;&gt;"",
IF(C78="CLT",VLOOKUP(B78,'Lista Profissionais'!$C$11:$H$348,3,0),
VLOOKUP(B78,'Lista Profissionais'!$C$11:$H$348,6,0)), 0))</f>
        <v>3600</v>
      </c>
      <c r="H78" s="219">
        <f>IF(B78&lt;&gt;"",
IF(C78="CLT",
       22*$M$5 + (G78*'Lista Profissionais'!$G$9),0),0)</f>
        <v>1270</v>
      </c>
      <c r="I78" s="66">
        <f t="shared" si="62"/>
        <v>3600</v>
      </c>
      <c r="J78" s="66">
        <f t="shared" si="106"/>
        <v>8524.5</v>
      </c>
      <c r="K78" s="66">
        <f t="shared" si="107"/>
        <v>12260.489992500001</v>
      </c>
      <c r="L78" s="93">
        <f t="shared" si="63"/>
        <v>48.434659090909093</v>
      </c>
      <c r="M78" s="151"/>
      <c r="N78" s="152">
        <v>0</v>
      </c>
      <c r="O78" s="69">
        <f t="shared" si="64"/>
        <v>0</v>
      </c>
      <c r="P78" s="69">
        <f t="shared" si="65"/>
        <v>15770.325000000001</v>
      </c>
      <c r="Q78" s="70">
        <f t="shared" si="66"/>
        <v>15770.325000000001</v>
      </c>
      <c r="R78" s="153">
        <f t="shared" si="67"/>
        <v>473.10975000000002</v>
      </c>
      <c r="S78" s="70">
        <v>0</v>
      </c>
      <c r="T78" s="165">
        <f t="shared" si="68"/>
        <v>16243.43475</v>
      </c>
      <c r="U78" s="163">
        <f t="shared" si="69"/>
        <v>92.292242897727277</v>
      </c>
      <c r="V78" s="164">
        <f t="shared" si="70"/>
        <v>288</v>
      </c>
      <c r="W78" s="164">
        <f t="shared" si="71"/>
        <v>115.2</v>
      </c>
      <c r="X78" s="144">
        <f t="shared" si="72"/>
        <v>300</v>
      </c>
      <c r="Y78" s="150">
        <f t="shared" si="73"/>
        <v>100</v>
      </c>
      <c r="Z78" s="150">
        <f t="shared" si="74"/>
        <v>300</v>
      </c>
      <c r="AA78" s="150">
        <f t="shared" si="75"/>
        <v>990.00000000000011</v>
      </c>
      <c r="AB78" s="182">
        <f t="shared" si="76"/>
        <v>56</v>
      </c>
      <c r="AC78" s="182">
        <f t="shared" si="77"/>
        <v>192.50000000000003</v>
      </c>
      <c r="AD78" s="182">
        <f t="shared" si="78"/>
        <v>360</v>
      </c>
      <c r="AE78" s="180">
        <f t="shared" si="79"/>
        <v>28.8</v>
      </c>
      <c r="AF78" s="150">
        <f t="shared" si="108"/>
        <v>324</v>
      </c>
      <c r="AG78" s="150">
        <f t="shared" si="109"/>
        <v>600</v>
      </c>
      <c r="AH78" s="150">
        <f t="shared" si="36"/>
        <v>4924.5</v>
      </c>
      <c r="AI78" s="154">
        <f t="shared" si="110"/>
        <v>3735.9899925000004</v>
      </c>
      <c r="AJ78" s="70">
        <f t="shared" si="111"/>
        <v>3509.8350074999994</v>
      </c>
      <c r="AK78" s="155">
        <f t="shared" si="112"/>
        <v>0.21607714510627127</v>
      </c>
      <c r="AL78" s="155">
        <f t="shared" si="113"/>
        <v>0.2806196689691835</v>
      </c>
    </row>
    <row r="79" spans="2:38" ht="15.75" customHeight="1" x14ac:dyDescent="0.25">
      <c r="B79" s="174" t="s">
        <v>305</v>
      </c>
      <c r="C79" s="171" t="s">
        <v>109</v>
      </c>
      <c r="D79" s="103">
        <v>176</v>
      </c>
      <c r="E79" s="104" t="s">
        <v>76</v>
      </c>
      <c r="F79" s="92">
        <v>0</v>
      </c>
      <c r="G79" s="219">
        <f>IF(F79&gt;0,F79,
IF(B79&lt;&gt;"",
IF(C79="CLT",VLOOKUP(B79,'Lista Profissionais'!$C$11:$H$348,3,0),
VLOOKUP(B79,'Lista Profissionais'!$C$11:$H$348,6,0)), 0))</f>
        <v>5600</v>
      </c>
      <c r="H79" s="219">
        <f>IF(B79&lt;&gt;"",
IF(C79="CLT",
       22*$M$5 + (G79*'Lista Profissionais'!$G$9),0),0)</f>
        <v>1670</v>
      </c>
      <c r="I79" s="66">
        <f t="shared" si="62"/>
        <v>5600</v>
      </c>
      <c r="J79" s="66">
        <f t="shared" si="106"/>
        <v>12621.444444444445</v>
      </c>
      <c r="K79" s="66">
        <f t="shared" si="107"/>
        <v>18152.981793888888</v>
      </c>
      <c r="L79" s="93">
        <f t="shared" si="63"/>
        <v>71.712752525252526</v>
      </c>
      <c r="M79" s="151"/>
      <c r="N79" s="152">
        <v>0</v>
      </c>
      <c r="O79" s="69">
        <f t="shared" si="64"/>
        <v>0</v>
      </c>
      <c r="P79" s="69">
        <f t="shared" si="65"/>
        <v>23349.672222222223</v>
      </c>
      <c r="Q79" s="70">
        <f t="shared" si="66"/>
        <v>23349.672222222223</v>
      </c>
      <c r="R79" s="153">
        <f t="shared" si="67"/>
        <v>700.49016666666671</v>
      </c>
      <c r="S79" s="70">
        <v>0</v>
      </c>
      <c r="T79" s="165">
        <f t="shared" si="68"/>
        <v>24050.16238888889</v>
      </c>
      <c r="U79" s="163">
        <f t="shared" si="69"/>
        <v>136.64864993686868</v>
      </c>
      <c r="V79" s="164">
        <f t="shared" si="70"/>
        <v>448</v>
      </c>
      <c r="W79" s="164">
        <f t="shared" si="71"/>
        <v>179.20000000000002</v>
      </c>
      <c r="X79" s="144">
        <f t="shared" si="72"/>
        <v>466.66666666666669</v>
      </c>
      <c r="Y79" s="150">
        <f t="shared" si="73"/>
        <v>155.55555555555557</v>
      </c>
      <c r="Z79" s="150">
        <f t="shared" si="74"/>
        <v>466.66666666666669</v>
      </c>
      <c r="AA79" s="150">
        <f t="shared" si="75"/>
        <v>1540.0000000000002</v>
      </c>
      <c r="AB79" s="182">
        <f t="shared" si="76"/>
        <v>87.111111111111114</v>
      </c>
      <c r="AC79" s="182">
        <f t="shared" si="77"/>
        <v>299.44444444444446</v>
      </c>
      <c r="AD79" s="182">
        <f t="shared" si="78"/>
        <v>560</v>
      </c>
      <c r="AE79" s="180">
        <f t="shared" si="79"/>
        <v>44.800000000000004</v>
      </c>
      <c r="AF79" s="150">
        <f t="shared" si="108"/>
        <v>504</v>
      </c>
      <c r="AG79" s="150">
        <f t="shared" si="109"/>
        <v>600</v>
      </c>
      <c r="AH79" s="150">
        <f t="shared" si="36"/>
        <v>7021.4444444444453</v>
      </c>
      <c r="AI79" s="154">
        <f t="shared" si="110"/>
        <v>5531.5373494444448</v>
      </c>
      <c r="AJ79" s="70">
        <f t="shared" si="111"/>
        <v>5196.6904283333315</v>
      </c>
      <c r="AK79" s="155">
        <f t="shared" si="112"/>
        <v>0.21607714510627124</v>
      </c>
      <c r="AL79" s="155">
        <f t="shared" si="113"/>
        <v>0.28061966896918344</v>
      </c>
    </row>
    <row r="80" spans="2:38" ht="15.75" customHeight="1" x14ac:dyDescent="0.25">
      <c r="B80" s="174" t="s">
        <v>306</v>
      </c>
      <c r="C80" s="171" t="s">
        <v>109</v>
      </c>
      <c r="D80" s="103">
        <v>176</v>
      </c>
      <c r="E80" s="104" t="s">
        <v>76</v>
      </c>
      <c r="F80" s="92">
        <v>0</v>
      </c>
      <c r="G80" s="219">
        <f>IF(F80&gt;0,F80,
IF(B80&lt;&gt;"",
IF(C80="CLT",VLOOKUP(B80,'Lista Profissionais'!$C$11:$H$348,3,0),
VLOOKUP(B80,'Lista Profissionais'!$C$11:$H$348,6,0)), 0))</f>
        <v>7200</v>
      </c>
      <c r="H80" s="219">
        <f>IF(B80&lt;&gt;"",
IF(C80="CLT",
       22*$M$5 + (G80*'Lista Profissionais'!$G$9),0),0)</f>
        <v>1990</v>
      </c>
      <c r="I80" s="66">
        <f t="shared" si="62"/>
        <v>7200</v>
      </c>
      <c r="J80" s="66">
        <f t="shared" si="106"/>
        <v>15899</v>
      </c>
      <c r="K80" s="66">
        <f t="shared" si="107"/>
        <v>22866.975234999998</v>
      </c>
      <c r="L80" s="93">
        <f t="shared" si="63"/>
        <v>90.335227272727266</v>
      </c>
      <c r="M80" s="151"/>
      <c r="N80" s="152">
        <v>0</v>
      </c>
      <c r="O80" s="69">
        <f t="shared" si="64"/>
        <v>0</v>
      </c>
      <c r="P80" s="69">
        <f t="shared" si="65"/>
        <v>29413.15</v>
      </c>
      <c r="Q80" s="70">
        <f t="shared" si="66"/>
        <v>29413.15</v>
      </c>
      <c r="R80" s="153">
        <f t="shared" si="67"/>
        <v>882.39449999999999</v>
      </c>
      <c r="S80" s="70">
        <v>0</v>
      </c>
      <c r="T80" s="165">
        <f t="shared" si="68"/>
        <v>30295.5445</v>
      </c>
      <c r="U80" s="163">
        <f t="shared" si="69"/>
        <v>172.13377556818182</v>
      </c>
      <c r="V80" s="164">
        <f t="shared" si="70"/>
        <v>576</v>
      </c>
      <c r="W80" s="164">
        <f t="shared" si="71"/>
        <v>230.4</v>
      </c>
      <c r="X80" s="144">
        <f t="shared" si="72"/>
        <v>600</v>
      </c>
      <c r="Y80" s="150">
        <f t="shared" si="73"/>
        <v>200</v>
      </c>
      <c r="Z80" s="150">
        <f t="shared" si="74"/>
        <v>600</v>
      </c>
      <c r="AA80" s="150">
        <f t="shared" si="75"/>
        <v>1980.0000000000002</v>
      </c>
      <c r="AB80" s="182">
        <f t="shared" si="76"/>
        <v>112</v>
      </c>
      <c r="AC80" s="182">
        <f t="shared" si="77"/>
        <v>385.00000000000006</v>
      </c>
      <c r="AD80" s="182">
        <f t="shared" si="78"/>
        <v>720</v>
      </c>
      <c r="AE80" s="180">
        <f t="shared" si="79"/>
        <v>57.6</v>
      </c>
      <c r="AF80" s="150">
        <f t="shared" si="108"/>
        <v>648</v>
      </c>
      <c r="AG80" s="150">
        <f t="shared" si="109"/>
        <v>600</v>
      </c>
      <c r="AH80" s="150">
        <f t="shared" si="36"/>
        <v>8699</v>
      </c>
      <c r="AI80" s="154">
        <f t="shared" si="110"/>
        <v>6967.9752349999999</v>
      </c>
      <c r="AJ80" s="70">
        <f t="shared" si="111"/>
        <v>6546.1747649999979</v>
      </c>
      <c r="AK80" s="155">
        <f t="shared" si="112"/>
        <v>0.21607714510627124</v>
      </c>
      <c r="AL80" s="155">
        <f t="shared" si="113"/>
        <v>0.28061966896918344</v>
      </c>
    </row>
    <row r="81" spans="2:38" ht="15.75" customHeight="1" x14ac:dyDescent="0.25">
      <c r="B81" s="174" t="s">
        <v>307</v>
      </c>
      <c r="C81" s="171" t="s">
        <v>109</v>
      </c>
      <c r="D81" s="103">
        <v>176</v>
      </c>
      <c r="E81" s="104" t="s">
        <v>76</v>
      </c>
      <c r="F81" s="92">
        <v>0</v>
      </c>
      <c r="G81" s="219">
        <f>IF(F81&gt;0,F81,
IF(B81&lt;&gt;"",
IF(C81="CLT",VLOOKUP(B81,'Lista Profissionais'!$C$11:$H$348,3,0),
VLOOKUP(B81,'Lista Profissionais'!$C$11:$H$348,6,0)), 0))</f>
        <v>9600</v>
      </c>
      <c r="H81" s="219">
        <f>IF(B81&lt;&gt;"",
IF(C81="CLT",
       22*$M$5 + (G81*'Lista Profissionais'!$G$9),0),0)</f>
        <v>2470</v>
      </c>
      <c r="I81" s="66">
        <f t="shared" si="62"/>
        <v>9600</v>
      </c>
      <c r="J81" s="66">
        <f t="shared" ref="J81:J112" si="142">I81+AH81</f>
        <v>20815.333333333332</v>
      </c>
      <c r="K81" s="66">
        <f t="shared" ref="K81:K112" si="143">J81+S81+AI81</f>
        <v>29937.965396666666</v>
      </c>
      <c r="L81" s="93">
        <f t="shared" si="63"/>
        <v>118.26893939393939</v>
      </c>
      <c r="M81" s="151"/>
      <c r="N81" s="152">
        <v>0</v>
      </c>
      <c r="O81" s="69">
        <f t="shared" si="64"/>
        <v>0</v>
      </c>
      <c r="P81" s="69">
        <f t="shared" si="65"/>
        <v>38508.366666666669</v>
      </c>
      <c r="Q81" s="70">
        <f t="shared" si="66"/>
        <v>38508.366666666669</v>
      </c>
      <c r="R81" s="153">
        <f t="shared" si="67"/>
        <v>1155.251</v>
      </c>
      <c r="S81" s="70">
        <v>0</v>
      </c>
      <c r="T81" s="165">
        <f t="shared" si="68"/>
        <v>39663.617666666665</v>
      </c>
      <c r="U81" s="163">
        <f t="shared" si="69"/>
        <v>225.36146401515151</v>
      </c>
      <c r="V81" s="164">
        <f t="shared" si="70"/>
        <v>768</v>
      </c>
      <c r="W81" s="164">
        <f t="shared" si="71"/>
        <v>307.20000000000005</v>
      </c>
      <c r="X81" s="144">
        <f t="shared" si="72"/>
        <v>800</v>
      </c>
      <c r="Y81" s="150">
        <f t="shared" si="73"/>
        <v>266.66666666666669</v>
      </c>
      <c r="Z81" s="150">
        <f t="shared" si="74"/>
        <v>800</v>
      </c>
      <c r="AA81" s="150">
        <f t="shared" si="75"/>
        <v>2640</v>
      </c>
      <c r="AB81" s="182">
        <f t="shared" si="76"/>
        <v>149.33333333333334</v>
      </c>
      <c r="AC81" s="182">
        <f t="shared" si="77"/>
        <v>513.33333333333337</v>
      </c>
      <c r="AD81" s="182">
        <f t="shared" si="78"/>
        <v>960</v>
      </c>
      <c r="AE81" s="180">
        <f t="shared" si="79"/>
        <v>76.8</v>
      </c>
      <c r="AF81" s="150">
        <f t="shared" ref="AF81:AF112" si="144">IF(C81="CLT",
       I81*$M$4, 0)</f>
        <v>864</v>
      </c>
      <c r="AG81" s="150">
        <f t="shared" ref="AG81:AG112" si="145">IF(B81&lt;&gt;"",
IF(C81="CLT",
       $Q$2, 0),0)</f>
        <v>600</v>
      </c>
      <c r="AH81" s="150">
        <f t="shared" si="36"/>
        <v>11215.333333333332</v>
      </c>
      <c r="AI81" s="154">
        <f t="shared" ref="AI81:AI112" si="146">IF(E81="Sim", T81*$G$4, 0)</f>
        <v>9122.6320633333326</v>
      </c>
      <c r="AJ81" s="70">
        <f t="shared" ref="AJ81:AJ116" si="147">T81-AI81-J81-R81</f>
        <v>8570.4012700000021</v>
      </c>
      <c r="AK81" s="155">
        <f t="shared" ref="AK81:AK118" si="148">(IF(AJ81&gt;0,AJ81/T81,0))</f>
        <v>0.21607714510627138</v>
      </c>
      <c r="AL81" s="155">
        <f t="shared" ref="AL81:AL119" si="149">(IF(AJ81&gt;0,AJ81/(T81-AI81),0))</f>
        <v>0.28061966896918361</v>
      </c>
    </row>
    <row r="82" spans="2:38" ht="15.75" customHeight="1" x14ac:dyDescent="0.25">
      <c r="B82" s="174" t="s">
        <v>308</v>
      </c>
      <c r="C82" s="171" t="s">
        <v>109</v>
      </c>
      <c r="D82" s="103">
        <v>176</v>
      </c>
      <c r="E82" s="104" t="s">
        <v>76</v>
      </c>
      <c r="F82" s="92">
        <v>0</v>
      </c>
      <c r="G82" s="219">
        <f>IF(F82&gt;0,F82,
IF(B82&lt;&gt;"",
IF(C82="CLT",VLOOKUP(B82,'Lista Profissionais'!$C$11:$H$348,3,0),
VLOOKUP(B82,'Lista Profissionais'!$C$11:$H$348,6,0)), 0))</f>
        <v>3920</v>
      </c>
      <c r="H82" s="219">
        <f>IF(B82&lt;&gt;"",
IF(C82="CLT",
       22*$M$5 + (G82*'Lista Profissionais'!$G$9),0),0)</f>
        <v>1334</v>
      </c>
      <c r="I82" s="66">
        <f t="shared" si="62"/>
        <v>3920</v>
      </c>
      <c r="J82" s="66">
        <f t="shared" si="142"/>
        <v>9180.0111111111109</v>
      </c>
      <c r="K82" s="66">
        <f t="shared" si="143"/>
        <v>13203.288680722222</v>
      </c>
      <c r="L82" s="93">
        <f t="shared" si="63"/>
        <v>52.15915404040404</v>
      </c>
      <c r="M82" s="151"/>
      <c r="N82" s="152">
        <v>0</v>
      </c>
      <c r="O82" s="69">
        <f t="shared" si="64"/>
        <v>0</v>
      </c>
      <c r="P82" s="69">
        <f t="shared" si="65"/>
        <v>16983.020555555555</v>
      </c>
      <c r="Q82" s="70">
        <f t="shared" si="66"/>
        <v>16983.020555555555</v>
      </c>
      <c r="R82" s="153">
        <f t="shared" si="67"/>
        <v>509.49061666666665</v>
      </c>
      <c r="S82" s="70">
        <v>0</v>
      </c>
      <c r="T82" s="165">
        <f t="shared" si="68"/>
        <v>17492.511172222221</v>
      </c>
      <c r="U82" s="163">
        <f t="shared" si="69"/>
        <v>99.389268023989885</v>
      </c>
      <c r="V82" s="164">
        <f t="shared" si="70"/>
        <v>313.60000000000002</v>
      </c>
      <c r="W82" s="164">
        <f t="shared" si="71"/>
        <v>125.44000000000001</v>
      </c>
      <c r="X82" s="144">
        <f t="shared" si="72"/>
        <v>326.66666666666669</v>
      </c>
      <c r="Y82" s="150">
        <f t="shared" si="73"/>
        <v>108.8888888888889</v>
      </c>
      <c r="Z82" s="150">
        <f t="shared" si="74"/>
        <v>326.66666666666669</v>
      </c>
      <c r="AA82" s="150">
        <f t="shared" si="75"/>
        <v>1078</v>
      </c>
      <c r="AB82" s="182">
        <f t="shared" si="76"/>
        <v>60.977777777777781</v>
      </c>
      <c r="AC82" s="182">
        <f t="shared" si="77"/>
        <v>209.61111111111114</v>
      </c>
      <c r="AD82" s="182">
        <f t="shared" si="78"/>
        <v>392</v>
      </c>
      <c r="AE82" s="180">
        <f t="shared" si="79"/>
        <v>31.36</v>
      </c>
      <c r="AF82" s="150">
        <f t="shared" si="144"/>
        <v>352.8</v>
      </c>
      <c r="AG82" s="150">
        <f t="shared" si="145"/>
        <v>600</v>
      </c>
      <c r="AH82" s="150">
        <f t="shared" ref="AH82:AH112" si="150">SUM(V82:AG82)+H82</f>
        <v>5260.0111111111119</v>
      </c>
      <c r="AI82" s="154">
        <f t="shared" si="146"/>
        <v>4023.2775696111112</v>
      </c>
      <c r="AJ82" s="70">
        <f t="shared" si="147"/>
        <v>3779.7318748333323</v>
      </c>
      <c r="AK82" s="155">
        <f t="shared" si="148"/>
        <v>0.21607714510627127</v>
      </c>
      <c r="AL82" s="155">
        <f t="shared" si="149"/>
        <v>0.2806196689691835</v>
      </c>
    </row>
    <row r="83" spans="2:38" ht="15.75" customHeight="1" x14ac:dyDescent="0.25">
      <c r="B83" s="174" t="s">
        <v>309</v>
      </c>
      <c r="C83" s="171" t="s">
        <v>109</v>
      </c>
      <c r="D83" s="103">
        <v>176</v>
      </c>
      <c r="E83" s="104" t="s">
        <v>76</v>
      </c>
      <c r="F83" s="92">
        <v>0</v>
      </c>
      <c r="G83" s="219">
        <f>IF(F83&gt;0,F83,
IF(B83&lt;&gt;"",
IF(C83="CLT",VLOOKUP(B83,'Lista Profissionais'!$C$11:$H$348,3,0),
VLOOKUP(B83,'Lista Profissionais'!$C$11:$H$348,6,0)), 0))</f>
        <v>7200</v>
      </c>
      <c r="H83" s="219">
        <f>IF(B83&lt;&gt;"",
IF(C83="CLT",
       22*$M$5 + (G83*'Lista Profissionais'!$G$9),0),0)</f>
        <v>1990</v>
      </c>
      <c r="I83" s="66">
        <f t="shared" si="62"/>
        <v>7200</v>
      </c>
      <c r="J83" s="66">
        <f t="shared" si="142"/>
        <v>15899</v>
      </c>
      <c r="K83" s="66">
        <f t="shared" si="143"/>
        <v>22866.975234999998</v>
      </c>
      <c r="L83" s="93">
        <f t="shared" si="63"/>
        <v>90.335227272727266</v>
      </c>
      <c r="M83" s="151"/>
      <c r="N83" s="152">
        <v>0</v>
      </c>
      <c r="O83" s="69">
        <f t="shared" si="64"/>
        <v>0</v>
      </c>
      <c r="P83" s="69">
        <f t="shared" si="65"/>
        <v>29413.15</v>
      </c>
      <c r="Q83" s="70">
        <f t="shared" si="66"/>
        <v>29413.15</v>
      </c>
      <c r="R83" s="153">
        <f t="shared" si="67"/>
        <v>882.39449999999999</v>
      </c>
      <c r="S83" s="70">
        <v>0</v>
      </c>
      <c r="T83" s="165">
        <f t="shared" si="68"/>
        <v>30295.5445</v>
      </c>
      <c r="U83" s="163">
        <f t="shared" si="69"/>
        <v>172.13377556818182</v>
      </c>
      <c r="V83" s="164">
        <f t="shared" si="70"/>
        <v>576</v>
      </c>
      <c r="W83" s="164">
        <f t="shared" si="71"/>
        <v>230.4</v>
      </c>
      <c r="X83" s="144">
        <f t="shared" si="72"/>
        <v>600</v>
      </c>
      <c r="Y83" s="150">
        <f t="shared" si="73"/>
        <v>200</v>
      </c>
      <c r="Z83" s="150">
        <f t="shared" si="74"/>
        <v>600</v>
      </c>
      <c r="AA83" s="150">
        <f t="shared" si="75"/>
        <v>1980.0000000000002</v>
      </c>
      <c r="AB83" s="182">
        <f t="shared" si="76"/>
        <v>112</v>
      </c>
      <c r="AC83" s="182">
        <f t="shared" si="77"/>
        <v>385.00000000000006</v>
      </c>
      <c r="AD83" s="182">
        <f t="shared" si="78"/>
        <v>720</v>
      </c>
      <c r="AE83" s="180">
        <f t="shared" si="79"/>
        <v>57.6</v>
      </c>
      <c r="AF83" s="150">
        <f t="shared" si="144"/>
        <v>648</v>
      </c>
      <c r="AG83" s="150">
        <f t="shared" si="145"/>
        <v>600</v>
      </c>
      <c r="AH83" s="150">
        <f t="shared" si="150"/>
        <v>8699</v>
      </c>
      <c r="AI83" s="154">
        <f t="shared" si="146"/>
        <v>6967.9752349999999</v>
      </c>
      <c r="AJ83" s="70">
        <f t="shared" si="147"/>
        <v>6546.1747649999979</v>
      </c>
      <c r="AK83" s="155">
        <f t="shared" si="148"/>
        <v>0.21607714510627124</v>
      </c>
      <c r="AL83" s="155">
        <f t="shared" si="149"/>
        <v>0.28061966896918344</v>
      </c>
    </row>
    <row r="84" spans="2:38" ht="15.75" customHeight="1" x14ac:dyDescent="0.25">
      <c r="B84" s="174" t="s">
        <v>310</v>
      </c>
      <c r="C84" s="171" t="s">
        <v>109</v>
      </c>
      <c r="D84" s="103">
        <v>176</v>
      </c>
      <c r="E84" s="104" t="s">
        <v>76</v>
      </c>
      <c r="F84" s="92">
        <v>0</v>
      </c>
      <c r="G84" s="219">
        <f>IF(F84&gt;0,F84,
IF(B84&lt;&gt;"",
IF(C84="CLT",VLOOKUP(B84,'Lista Profissionais'!$C$11:$H$348,3,0),
VLOOKUP(B84,'Lista Profissionais'!$C$11:$H$348,6,0)), 0))</f>
        <v>8800</v>
      </c>
      <c r="H84" s="219">
        <f>IF(B84&lt;&gt;"",
IF(C84="CLT",
       22*$M$5 + (G84*'Lista Profissionais'!$G$9),0),0)</f>
        <v>2310</v>
      </c>
      <c r="I84" s="66">
        <f t="shared" si="62"/>
        <v>8800</v>
      </c>
      <c r="J84" s="66">
        <f t="shared" si="142"/>
        <v>19176.555555555555</v>
      </c>
      <c r="K84" s="66">
        <f t="shared" si="143"/>
        <v>27580.968676111112</v>
      </c>
      <c r="L84" s="93">
        <f t="shared" si="63"/>
        <v>108.95770202020202</v>
      </c>
      <c r="M84" s="151"/>
      <c r="N84" s="152">
        <v>0</v>
      </c>
      <c r="O84" s="69">
        <f t="shared" si="64"/>
        <v>0</v>
      </c>
      <c r="P84" s="69">
        <f t="shared" si="65"/>
        <v>35476.62777777778</v>
      </c>
      <c r="Q84" s="70">
        <f t="shared" si="66"/>
        <v>35476.62777777778</v>
      </c>
      <c r="R84" s="153">
        <f t="shared" si="67"/>
        <v>1064.2988333333333</v>
      </c>
      <c r="S84" s="70">
        <v>0</v>
      </c>
      <c r="T84" s="165">
        <f t="shared" si="68"/>
        <v>36540.926611111114</v>
      </c>
      <c r="U84" s="163">
        <f t="shared" si="69"/>
        <v>207.61890119949496</v>
      </c>
      <c r="V84" s="164">
        <f t="shared" si="70"/>
        <v>704</v>
      </c>
      <c r="W84" s="164">
        <f t="shared" si="71"/>
        <v>281.60000000000002</v>
      </c>
      <c r="X84" s="144">
        <f t="shared" si="72"/>
        <v>733.33333333333337</v>
      </c>
      <c r="Y84" s="150">
        <f t="shared" si="73"/>
        <v>244.44444444444446</v>
      </c>
      <c r="Z84" s="150">
        <f t="shared" si="74"/>
        <v>733.33333333333337</v>
      </c>
      <c r="AA84" s="150">
        <f t="shared" si="75"/>
        <v>2420</v>
      </c>
      <c r="AB84" s="182">
        <f t="shared" si="76"/>
        <v>136.88888888888891</v>
      </c>
      <c r="AC84" s="182">
        <f t="shared" si="77"/>
        <v>470.55555555555566</v>
      </c>
      <c r="AD84" s="182">
        <f t="shared" si="78"/>
        <v>880</v>
      </c>
      <c r="AE84" s="180">
        <f t="shared" si="79"/>
        <v>70.400000000000006</v>
      </c>
      <c r="AF84" s="150">
        <f t="shared" si="144"/>
        <v>792</v>
      </c>
      <c r="AG84" s="150">
        <f t="shared" si="145"/>
        <v>600</v>
      </c>
      <c r="AH84" s="150">
        <f t="shared" si="150"/>
        <v>10376.555555555555</v>
      </c>
      <c r="AI84" s="154">
        <f t="shared" si="146"/>
        <v>8404.4131205555568</v>
      </c>
      <c r="AJ84" s="70">
        <f t="shared" si="147"/>
        <v>7895.6591016666689</v>
      </c>
      <c r="AK84" s="155">
        <f t="shared" si="148"/>
        <v>0.21607714510627138</v>
      </c>
      <c r="AL84" s="155">
        <f t="shared" si="149"/>
        <v>0.28061966896918361</v>
      </c>
    </row>
    <row r="85" spans="2:38" ht="15.75" customHeight="1" x14ac:dyDescent="0.25">
      <c r="B85" s="174" t="s">
        <v>352</v>
      </c>
      <c r="C85" s="171" t="s">
        <v>109</v>
      </c>
      <c r="D85" s="103">
        <v>176</v>
      </c>
      <c r="E85" s="104" t="s">
        <v>76</v>
      </c>
      <c r="F85" s="92">
        <v>0</v>
      </c>
      <c r="G85" s="219">
        <f>IF(F85&gt;0,F85,
IF(B85&lt;&gt;"",
IF(C85="CLT",VLOOKUP(B85,'Lista Profissionais'!$C$11:$H$348,3,0),
VLOOKUP(B85,'Lista Profissionais'!$C$11:$H$348,6,0)), 0))</f>
        <v>11200</v>
      </c>
      <c r="H85" s="219">
        <f>IF(B85&lt;&gt;"",
IF(C85="CLT",
       22*$M$5 + (G85*'Lista Profissionais'!$G$9),0),0)</f>
        <v>2790</v>
      </c>
      <c r="I85" s="66">
        <f t="shared" si="62"/>
        <v>11200</v>
      </c>
      <c r="J85" s="66">
        <f t="shared" si="142"/>
        <v>24092.888888888891</v>
      </c>
      <c r="K85" s="66">
        <f t="shared" si="143"/>
        <v>34651.958837777784</v>
      </c>
      <c r="L85" s="93">
        <f t="shared" si="63"/>
        <v>136.89141414141415</v>
      </c>
      <c r="M85" s="151"/>
      <c r="N85" s="152">
        <v>0</v>
      </c>
      <c r="O85" s="69">
        <f t="shared" si="64"/>
        <v>0</v>
      </c>
      <c r="P85" s="69">
        <f t="shared" si="65"/>
        <v>44571.844444444447</v>
      </c>
      <c r="Q85" s="70">
        <f t="shared" si="66"/>
        <v>44571.844444444447</v>
      </c>
      <c r="R85" s="153">
        <f t="shared" si="67"/>
        <v>1337.1553333333334</v>
      </c>
      <c r="S85" s="70">
        <v>0</v>
      </c>
      <c r="T85" s="165">
        <f t="shared" si="68"/>
        <v>45908.999777777783</v>
      </c>
      <c r="U85" s="163">
        <f t="shared" si="69"/>
        <v>260.84658964646468</v>
      </c>
      <c r="V85" s="164">
        <f t="shared" si="70"/>
        <v>896</v>
      </c>
      <c r="W85" s="164">
        <f t="shared" si="71"/>
        <v>358.40000000000003</v>
      </c>
      <c r="X85" s="144">
        <f t="shared" si="72"/>
        <v>933.33333333333337</v>
      </c>
      <c r="Y85" s="150">
        <f t="shared" si="73"/>
        <v>311.11111111111114</v>
      </c>
      <c r="Z85" s="150">
        <f t="shared" si="74"/>
        <v>933.33333333333337</v>
      </c>
      <c r="AA85" s="150">
        <f t="shared" si="75"/>
        <v>3080.0000000000005</v>
      </c>
      <c r="AB85" s="182">
        <f t="shared" si="76"/>
        <v>174.22222222222223</v>
      </c>
      <c r="AC85" s="182">
        <f t="shared" si="77"/>
        <v>598.88888888888891</v>
      </c>
      <c r="AD85" s="182">
        <f t="shared" si="78"/>
        <v>1120</v>
      </c>
      <c r="AE85" s="180">
        <f t="shared" si="79"/>
        <v>89.600000000000009</v>
      </c>
      <c r="AF85" s="150">
        <f t="shared" si="144"/>
        <v>1008</v>
      </c>
      <c r="AG85" s="150">
        <f t="shared" si="145"/>
        <v>600</v>
      </c>
      <c r="AH85" s="150">
        <f t="shared" si="150"/>
        <v>12892.888888888891</v>
      </c>
      <c r="AI85" s="154">
        <f t="shared" si="146"/>
        <v>10559.069948888891</v>
      </c>
      <c r="AJ85" s="70">
        <f t="shared" si="147"/>
        <v>9919.8856066666649</v>
      </c>
      <c r="AK85" s="155">
        <f t="shared" si="148"/>
        <v>0.21607714510627127</v>
      </c>
      <c r="AL85" s="155">
        <f t="shared" si="149"/>
        <v>0.2806196689691835</v>
      </c>
    </row>
    <row r="86" spans="2:38" ht="15.75" customHeight="1" x14ac:dyDescent="0.25">
      <c r="B86" s="174" t="s">
        <v>353</v>
      </c>
      <c r="C86" s="171" t="s">
        <v>109</v>
      </c>
      <c r="D86" s="103">
        <v>176</v>
      </c>
      <c r="E86" s="104" t="s">
        <v>76</v>
      </c>
      <c r="F86" s="92">
        <v>0</v>
      </c>
      <c r="G86" s="219">
        <f>IF(F86&gt;0,F86,
IF(B86&lt;&gt;"",
IF(C86="CLT",VLOOKUP(B86,'Lista Profissionais'!$C$11:$H$348,3,0),
VLOOKUP(B86,'Lista Profissionais'!$C$11:$H$348,6,0)), 0))</f>
        <v>4000</v>
      </c>
      <c r="H86" s="219">
        <f>IF(B86&lt;&gt;"",
IF(C86="CLT",
       22*$M$5 + (G86*'Lista Profissionais'!$G$9),0),0)</f>
        <v>1350</v>
      </c>
      <c r="I86" s="66">
        <f t="shared" si="62"/>
        <v>4000</v>
      </c>
      <c r="J86" s="66">
        <f t="shared" si="142"/>
        <v>9343.8888888888887</v>
      </c>
      <c r="K86" s="66">
        <f t="shared" si="143"/>
        <v>13438.988352777778</v>
      </c>
      <c r="L86" s="93">
        <f t="shared" si="63"/>
        <v>53.090277777777779</v>
      </c>
      <c r="M86" s="151"/>
      <c r="N86" s="152">
        <v>0</v>
      </c>
      <c r="O86" s="69">
        <f t="shared" si="64"/>
        <v>0</v>
      </c>
      <c r="P86" s="69">
        <f t="shared" si="65"/>
        <v>17286.194444444445</v>
      </c>
      <c r="Q86" s="70">
        <f t="shared" si="66"/>
        <v>17286.194444444445</v>
      </c>
      <c r="R86" s="153">
        <f t="shared" si="67"/>
        <v>518.58583333333331</v>
      </c>
      <c r="S86" s="70">
        <v>0</v>
      </c>
      <c r="T86" s="165">
        <f t="shared" si="68"/>
        <v>17804.78027777778</v>
      </c>
      <c r="U86" s="163">
        <f t="shared" si="69"/>
        <v>101.16352430555557</v>
      </c>
      <c r="V86" s="164">
        <f t="shared" si="70"/>
        <v>320</v>
      </c>
      <c r="W86" s="164">
        <f t="shared" si="71"/>
        <v>128</v>
      </c>
      <c r="X86" s="144">
        <f t="shared" si="72"/>
        <v>333.33333333333331</v>
      </c>
      <c r="Y86" s="150">
        <f t="shared" si="73"/>
        <v>111.1111111111111</v>
      </c>
      <c r="Z86" s="150">
        <f t="shared" si="74"/>
        <v>333.33333333333331</v>
      </c>
      <c r="AA86" s="150">
        <f t="shared" si="75"/>
        <v>1100</v>
      </c>
      <c r="AB86" s="182">
        <f t="shared" si="76"/>
        <v>62.222222222222221</v>
      </c>
      <c r="AC86" s="182">
        <f t="shared" si="77"/>
        <v>213.88888888888889</v>
      </c>
      <c r="AD86" s="182">
        <f t="shared" si="78"/>
        <v>400</v>
      </c>
      <c r="AE86" s="180">
        <f t="shared" si="79"/>
        <v>32</v>
      </c>
      <c r="AF86" s="150">
        <f t="shared" si="144"/>
        <v>360</v>
      </c>
      <c r="AG86" s="150">
        <f t="shared" si="145"/>
        <v>600</v>
      </c>
      <c r="AH86" s="150">
        <f t="shared" si="150"/>
        <v>5343.8888888888887</v>
      </c>
      <c r="AI86" s="154">
        <f t="shared" si="146"/>
        <v>4095.0994638888897</v>
      </c>
      <c r="AJ86" s="70">
        <f t="shared" si="147"/>
        <v>3847.2060916666678</v>
      </c>
      <c r="AK86" s="155">
        <f t="shared" si="148"/>
        <v>0.21607714510627135</v>
      </c>
      <c r="AL86" s="155">
        <f t="shared" si="149"/>
        <v>0.28061966896918361</v>
      </c>
    </row>
    <row r="87" spans="2:38" ht="15.75" customHeight="1" x14ac:dyDescent="0.25">
      <c r="B87" s="174" t="s">
        <v>354</v>
      </c>
      <c r="C87" s="171" t="s">
        <v>109</v>
      </c>
      <c r="D87" s="103">
        <v>176</v>
      </c>
      <c r="E87" s="104" t="s">
        <v>76</v>
      </c>
      <c r="F87" s="92">
        <v>0</v>
      </c>
      <c r="G87" s="219">
        <f>IF(F87&gt;0,F87,
IF(B87&lt;&gt;"",
IF(C87="CLT",VLOOKUP(B87,'Lista Profissionais'!$C$11:$H$348,3,0),
VLOOKUP(B87,'Lista Profissionais'!$C$11:$H$348,6,0)), 0))</f>
        <v>6400</v>
      </c>
      <c r="H87" s="219">
        <f>IF(B87&lt;&gt;"",
IF(C87="CLT",
       22*$M$5 + (G87*'Lista Profissionais'!$G$9),0),0)</f>
        <v>1830</v>
      </c>
      <c r="I87" s="66">
        <f t="shared" si="62"/>
        <v>6400.0000000000009</v>
      </c>
      <c r="J87" s="66">
        <f t="shared" si="142"/>
        <v>14260.222222222224</v>
      </c>
      <c r="K87" s="66">
        <f t="shared" si="143"/>
        <v>20509.978514444447</v>
      </c>
      <c r="L87" s="93">
        <f t="shared" si="63"/>
        <v>81.02398989898991</v>
      </c>
      <c r="M87" s="151"/>
      <c r="N87" s="152">
        <v>0</v>
      </c>
      <c r="O87" s="69">
        <f t="shared" si="64"/>
        <v>0</v>
      </c>
      <c r="P87" s="69">
        <f t="shared" si="65"/>
        <v>26381.411111111116</v>
      </c>
      <c r="Q87" s="70">
        <f t="shared" si="66"/>
        <v>26381.411111111116</v>
      </c>
      <c r="R87" s="153">
        <f t="shared" si="67"/>
        <v>791.44233333333341</v>
      </c>
      <c r="S87" s="70">
        <v>0</v>
      </c>
      <c r="T87" s="165">
        <f t="shared" si="68"/>
        <v>27172.853444444449</v>
      </c>
      <c r="U87" s="163">
        <f t="shared" si="69"/>
        <v>154.39121275252526</v>
      </c>
      <c r="V87" s="164">
        <f t="shared" si="70"/>
        <v>512.00000000000011</v>
      </c>
      <c r="W87" s="164">
        <f t="shared" si="71"/>
        <v>204.80000000000007</v>
      </c>
      <c r="X87" s="144">
        <f t="shared" si="72"/>
        <v>533.33333333333337</v>
      </c>
      <c r="Y87" s="150">
        <f t="shared" si="73"/>
        <v>177.7777777777778</v>
      </c>
      <c r="Z87" s="150">
        <f t="shared" si="74"/>
        <v>533.33333333333337</v>
      </c>
      <c r="AA87" s="150">
        <f t="shared" si="75"/>
        <v>1760.0000000000005</v>
      </c>
      <c r="AB87" s="182">
        <f t="shared" si="76"/>
        <v>99.555555555555571</v>
      </c>
      <c r="AC87" s="182">
        <f t="shared" si="77"/>
        <v>342.22222222222229</v>
      </c>
      <c r="AD87" s="182">
        <f t="shared" si="78"/>
        <v>640.00000000000011</v>
      </c>
      <c r="AE87" s="180">
        <f t="shared" si="79"/>
        <v>51.20000000000001</v>
      </c>
      <c r="AF87" s="150">
        <f t="shared" si="144"/>
        <v>576.00000000000011</v>
      </c>
      <c r="AG87" s="150">
        <f t="shared" si="145"/>
        <v>600</v>
      </c>
      <c r="AH87" s="150">
        <f t="shared" si="150"/>
        <v>7860.2222222222235</v>
      </c>
      <c r="AI87" s="154">
        <f t="shared" si="146"/>
        <v>6249.7562922222232</v>
      </c>
      <c r="AJ87" s="70">
        <f t="shared" si="147"/>
        <v>5871.4325966666665</v>
      </c>
      <c r="AK87" s="155">
        <f t="shared" si="148"/>
        <v>0.2160771451062713</v>
      </c>
      <c r="AL87" s="155">
        <f t="shared" si="149"/>
        <v>0.2806196689691835</v>
      </c>
    </row>
    <row r="88" spans="2:38" ht="15.75" customHeight="1" x14ac:dyDescent="0.25">
      <c r="B88" s="174" t="s">
        <v>355</v>
      </c>
      <c r="C88" s="171" t="s">
        <v>109</v>
      </c>
      <c r="D88" s="103">
        <v>176</v>
      </c>
      <c r="E88" s="104" t="s">
        <v>76</v>
      </c>
      <c r="F88" s="92">
        <v>0</v>
      </c>
      <c r="G88" s="219">
        <f>IF(F88&gt;0,F88,
IF(B88&lt;&gt;"",
IF(C88="CLT",VLOOKUP(B88,'Lista Profissionais'!$C$11:$H$348,3,0),
VLOOKUP(B88,'Lista Profissionais'!$C$11:$H$348,6,0)), 0))</f>
        <v>8800</v>
      </c>
      <c r="H88" s="219">
        <f>IF(B88&lt;&gt;"",
IF(C88="CLT",
       22*$M$5 + (G88*'Lista Profissionais'!$G$9),0),0)</f>
        <v>2310</v>
      </c>
      <c r="I88" s="66">
        <f t="shared" si="62"/>
        <v>8800</v>
      </c>
      <c r="J88" s="66">
        <f t="shared" si="142"/>
        <v>19176.555555555555</v>
      </c>
      <c r="K88" s="66">
        <f t="shared" si="143"/>
        <v>27580.968676111112</v>
      </c>
      <c r="L88" s="93">
        <f t="shared" si="63"/>
        <v>108.95770202020202</v>
      </c>
      <c r="M88" s="151"/>
      <c r="N88" s="152">
        <v>0</v>
      </c>
      <c r="O88" s="69">
        <f t="shared" si="64"/>
        <v>0</v>
      </c>
      <c r="P88" s="69">
        <f t="shared" si="65"/>
        <v>35476.62777777778</v>
      </c>
      <c r="Q88" s="70">
        <f t="shared" si="66"/>
        <v>35476.62777777778</v>
      </c>
      <c r="R88" s="153">
        <f t="shared" si="67"/>
        <v>1064.2988333333333</v>
      </c>
      <c r="S88" s="70">
        <v>0</v>
      </c>
      <c r="T88" s="165">
        <f t="shared" si="68"/>
        <v>36540.926611111114</v>
      </c>
      <c r="U88" s="163">
        <f t="shared" si="69"/>
        <v>207.61890119949496</v>
      </c>
      <c r="V88" s="164">
        <f t="shared" si="70"/>
        <v>704</v>
      </c>
      <c r="W88" s="164">
        <f t="shared" si="71"/>
        <v>281.60000000000002</v>
      </c>
      <c r="X88" s="144">
        <f t="shared" si="72"/>
        <v>733.33333333333337</v>
      </c>
      <c r="Y88" s="150">
        <f t="shared" si="73"/>
        <v>244.44444444444446</v>
      </c>
      <c r="Z88" s="150">
        <f t="shared" si="74"/>
        <v>733.33333333333337</v>
      </c>
      <c r="AA88" s="150">
        <f t="shared" si="75"/>
        <v>2420</v>
      </c>
      <c r="AB88" s="182">
        <f t="shared" si="76"/>
        <v>136.88888888888891</v>
      </c>
      <c r="AC88" s="182">
        <f t="shared" si="77"/>
        <v>470.55555555555566</v>
      </c>
      <c r="AD88" s="182">
        <f t="shared" si="78"/>
        <v>880</v>
      </c>
      <c r="AE88" s="180">
        <f t="shared" si="79"/>
        <v>70.400000000000006</v>
      </c>
      <c r="AF88" s="150">
        <f t="shared" si="144"/>
        <v>792</v>
      </c>
      <c r="AG88" s="150">
        <f t="shared" si="145"/>
        <v>600</v>
      </c>
      <c r="AH88" s="150">
        <f t="shared" si="150"/>
        <v>10376.555555555555</v>
      </c>
      <c r="AI88" s="154">
        <f t="shared" si="146"/>
        <v>8404.4131205555568</v>
      </c>
      <c r="AJ88" s="70">
        <f t="shared" si="147"/>
        <v>7895.6591016666689</v>
      </c>
      <c r="AK88" s="155">
        <f t="shared" si="148"/>
        <v>0.21607714510627138</v>
      </c>
      <c r="AL88" s="155">
        <f t="shared" si="149"/>
        <v>0.28061966896918361</v>
      </c>
    </row>
    <row r="89" spans="2:38" ht="15.75" customHeight="1" x14ac:dyDescent="0.25">
      <c r="B89" s="174" t="s">
        <v>311</v>
      </c>
      <c r="C89" s="171" t="s">
        <v>109</v>
      </c>
      <c r="D89" s="103">
        <v>176</v>
      </c>
      <c r="E89" s="104" t="s">
        <v>76</v>
      </c>
      <c r="F89" s="92">
        <v>0</v>
      </c>
      <c r="G89" s="219">
        <f>IF(F89&gt;0,F89,
IF(B89&lt;&gt;"",
IF(C89="CLT",VLOOKUP(B89,'Lista Profissionais'!$C$11:$H$348,3,0),
VLOOKUP(B89,'Lista Profissionais'!$C$11:$H$348,6,0)), 0))</f>
        <v>9200</v>
      </c>
      <c r="H89" s="219">
        <f>IF(B89&lt;&gt;"",
IF(C89="CLT",
       22*$M$5 + (G89*'Lista Profissionais'!$G$9),0),0)</f>
        <v>2390</v>
      </c>
      <c r="I89" s="66">
        <f t="shared" si="62"/>
        <v>9200</v>
      </c>
      <c r="J89" s="66">
        <f t="shared" si="142"/>
        <v>19995.944444444445</v>
      </c>
      <c r="K89" s="66">
        <f t="shared" si="143"/>
        <v>28759.467036388894</v>
      </c>
      <c r="L89" s="93">
        <f t="shared" si="63"/>
        <v>113.61332070707071</v>
      </c>
      <c r="M89" s="151"/>
      <c r="N89" s="152">
        <v>0</v>
      </c>
      <c r="O89" s="69">
        <f t="shared" si="64"/>
        <v>0</v>
      </c>
      <c r="P89" s="69">
        <f t="shared" si="65"/>
        <v>36992.497222222228</v>
      </c>
      <c r="Q89" s="70">
        <f t="shared" si="66"/>
        <v>36992.497222222228</v>
      </c>
      <c r="R89" s="153">
        <f t="shared" si="67"/>
        <v>1109.7749166666667</v>
      </c>
      <c r="S89" s="70">
        <v>0</v>
      </c>
      <c r="T89" s="165">
        <f t="shared" si="68"/>
        <v>38102.272138888897</v>
      </c>
      <c r="U89" s="163">
        <f t="shared" si="69"/>
        <v>216.49018260732328</v>
      </c>
      <c r="V89" s="164">
        <f t="shared" si="70"/>
        <v>736</v>
      </c>
      <c r="W89" s="164">
        <f t="shared" si="71"/>
        <v>294.40000000000003</v>
      </c>
      <c r="X89" s="144">
        <f t="shared" si="72"/>
        <v>766.66666666666663</v>
      </c>
      <c r="Y89" s="150">
        <f t="shared" si="73"/>
        <v>255.55555555555554</v>
      </c>
      <c r="Z89" s="150">
        <f t="shared" si="74"/>
        <v>766.66666666666663</v>
      </c>
      <c r="AA89" s="150">
        <f t="shared" si="75"/>
        <v>2530</v>
      </c>
      <c r="AB89" s="182">
        <f t="shared" si="76"/>
        <v>143.11111111111109</v>
      </c>
      <c r="AC89" s="182">
        <f t="shared" si="77"/>
        <v>491.9444444444444</v>
      </c>
      <c r="AD89" s="182">
        <f t="shared" si="78"/>
        <v>920</v>
      </c>
      <c r="AE89" s="180">
        <f t="shared" si="79"/>
        <v>73.600000000000009</v>
      </c>
      <c r="AF89" s="150">
        <f t="shared" si="144"/>
        <v>828</v>
      </c>
      <c r="AG89" s="150">
        <f t="shared" si="145"/>
        <v>600</v>
      </c>
      <c r="AH89" s="150">
        <f t="shared" si="150"/>
        <v>10795.944444444445</v>
      </c>
      <c r="AI89" s="154">
        <f t="shared" si="146"/>
        <v>8763.5225919444474</v>
      </c>
      <c r="AJ89" s="70">
        <f t="shared" si="147"/>
        <v>8233.0301858333351</v>
      </c>
      <c r="AK89" s="155">
        <f t="shared" si="148"/>
        <v>0.21607714510627132</v>
      </c>
      <c r="AL89" s="155">
        <f t="shared" si="149"/>
        <v>0.28061966896918356</v>
      </c>
    </row>
    <row r="90" spans="2:38" ht="15.75" customHeight="1" x14ac:dyDescent="0.25">
      <c r="B90" s="174" t="s">
        <v>312</v>
      </c>
      <c r="C90" s="171" t="s">
        <v>109</v>
      </c>
      <c r="D90" s="103">
        <v>176</v>
      </c>
      <c r="E90" s="104" t="s">
        <v>76</v>
      </c>
      <c r="F90" s="92">
        <v>0</v>
      </c>
      <c r="G90" s="219">
        <f>IF(F90&gt;0,F90,
IF(B90&lt;&gt;"",
IF(C90="CLT",VLOOKUP(B90,'Lista Profissionais'!$C$11:$H$348,3,0),
VLOOKUP(B90,'Lista Profissionais'!$C$11:$H$348,6,0)), 0))</f>
        <v>3600</v>
      </c>
      <c r="H90" s="219">
        <f>IF(B90&lt;&gt;"",
IF(C90="CLT",
       22*$M$5 + (G90*'Lista Profissionais'!$G$9),0),0)</f>
        <v>1270</v>
      </c>
      <c r="I90" s="66">
        <f t="shared" si="62"/>
        <v>3600</v>
      </c>
      <c r="J90" s="66">
        <f t="shared" si="142"/>
        <v>8524.5</v>
      </c>
      <c r="K90" s="66">
        <f t="shared" si="143"/>
        <v>12260.489992500001</v>
      </c>
      <c r="L90" s="93">
        <f t="shared" si="63"/>
        <v>48.434659090909093</v>
      </c>
      <c r="M90" s="151"/>
      <c r="N90" s="152">
        <v>0</v>
      </c>
      <c r="O90" s="69">
        <f t="shared" si="64"/>
        <v>0</v>
      </c>
      <c r="P90" s="69">
        <f t="shared" si="65"/>
        <v>15770.325000000001</v>
      </c>
      <c r="Q90" s="70">
        <f t="shared" si="66"/>
        <v>15770.325000000001</v>
      </c>
      <c r="R90" s="153">
        <f t="shared" si="67"/>
        <v>473.10975000000002</v>
      </c>
      <c r="S90" s="70">
        <v>0</v>
      </c>
      <c r="T90" s="165">
        <f t="shared" si="68"/>
        <v>16243.43475</v>
      </c>
      <c r="U90" s="163">
        <f t="shared" si="69"/>
        <v>92.292242897727277</v>
      </c>
      <c r="V90" s="164">
        <f t="shared" si="70"/>
        <v>288</v>
      </c>
      <c r="W90" s="164">
        <f t="shared" si="71"/>
        <v>115.2</v>
      </c>
      <c r="X90" s="144">
        <f t="shared" si="72"/>
        <v>300</v>
      </c>
      <c r="Y90" s="150">
        <f t="shared" si="73"/>
        <v>100</v>
      </c>
      <c r="Z90" s="150">
        <f t="shared" si="74"/>
        <v>300</v>
      </c>
      <c r="AA90" s="150">
        <f t="shared" si="75"/>
        <v>990.00000000000011</v>
      </c>
      <c r="AB90" s="182">
        <f t="shared" si="76"/>
        <v>56</v>
      </c>
      <c r="AC90" s="182">
        <f t="shared" si="77"/>
        <v>192.50000000000003</v>
      </c>
      <c r="AD90" s="182">
        <f t="shared" si="78"/>
        <v>360</v>
      </c>
      <c r="AE90" s="180">
        <f t="shared" si="79"/>
        <v>28.8</v>
      </c>
      <c r="AF90" s="150">
        <f t="shared" si="144"/>
        <v>324</v>
      </c>
      <c r="AG90" s="150">
        <f t="shared" si="145"/>
        <v>600</v>
      </c>
      <c r="AH90" s="150">
        <f t="shared" si="150"/>
        <v>4924.5</v>
      </c>
      <c r="AI90" s="154">
        <f t="shared" si="146"/>
        <v>3735.9899925000004</v>
      </c>
      <c r="AJ90" s="70">
        <f t="shared" si="147"/>
        <v>3509.8350074999994</v>
      </c>
      <c r="AK90" s="155">
        <f t="shared" si="148"/>
        <v>0.21607714510627127</v>
      </c>
      <c r="AL90" s="155">
        <f t="shared" si="149"/>
        <v>0.2806196689691835</v>
      </c>
    </row>
    <row r="91" spans="2:38" ht="15.75" customHeight="1" x14ac:dyDescent="0.25">
      <c r="B91" s="174" t="s">
        <v>313</v>
      </c>
      <c r="C91" s="171" t="s">
        <v>109</v>
      </c>
      <c r="D91" s="103">
        <v>176</v>
      </c>
      <c r="E91" s="104" t="s">
        <v>76</v>
      </c>
      <c r="F91" s="92">
        <v>0</v>
      </c>
      <c r="G91" s="219">
        <f>IF(F91&gt;0,F91,
IF(B91&lt;&gt;"",
IF(C91="CLT",VLOOKUP(B91,'Lista Profissionais'!$C$11:$H$348,3,0),
VLOOKUP(B91,'Lista Profissionais'!$C$11:$H$348,6,0)), 0))</f>
        <v>6000</v>
      </c>
      <c r="H91" s="219">
        <f>IF(B91&lt;&gt;"",
IF(C91="CLT",
       22*$M$5 + (G91*'Lista Profissionais'!$G$9),0),0)</f>
        <v>1750</v>
      </c>
      <c r="I91" s="66">
        <f t="shared" si="62"/>
        <v>6000</v>
      </c>
      <c r="J91" s="66">
        <f t="shared" si="142"/>
        <v>13440.833333333334</v>
      </c>
      <c r="K91" s="66">
        <f t="shared" si="143"/>
        <v>19331.480154166667</v>
      </c>
      <c r="L91" s="93">
        <f t="shared" si="63"/>
        <v>76.368371212121218</v>
      </c>
      <c r="M91" s="151"/>
      <c r="N91" s="152">
        <v>0</v>
      </c>
      <c r="O91" s="69">
        <f t="shared" si="64"/>
        <v>0</v>
      </c>
      <c r="P91" s="69">
        <f t="shared" si="65"/>
        <v>24865.541666666668</v>
      </c>
      <c r="Q91" s="70">
        <f t="shared" si="66"/>
        <v>24865.541666666668</v>
      </c>
      <c r="R91" s="153">
        <f t="shared" si="67"/>
        <v>745.96625000000006</v>
      </c>
      <c r="S91" s="70">
        <v>0</v>
      </c>
      <c r="T91" s="165">
        <f t="shared" si="68"/>
        <v>25611.507916666669</v>
      </c>
      <c r="U91" s="163">
        <f t="shared" si="69"/>
        <v>145.51993134469697</v>
      </c>
      <c r="V91" s="164">
        <f t="shared" si="70"/>
        <v>480</v>
      </c>
      <c r="W91" s="164">
        <f t="shared" si="71"/>
        <v>192</v>
      </c>
      <c r="X91" s="144">
        <f t="shared" si="72"/>
        <v>500</v>
      </c>
      <c r="Y91" s="150">
        <f t="shared" si="73"/>
        <v>166.66666666666666</v>
      </c>
      <c r="Z91" s="150">
        <f t="shared" si="74"/>
        <v>500</v>
      </c>
      <c r="AA91" s="150">
        <f t="shared" si="75"/>
        <v>1650.0000000000002</v>
      </c>
      <c r="AB91" s="182">
        <f t="shared" si="76"/>
        <v>93.333333333333329</v>
      </c>
      <c r="AC91" s="182">
        <f t="shared" si="77"/>
        <v>320.83333333333331</v>
      </c>
      <c r="AD91" s="182">
        <f t="shared" si="78"/>
        <v>600</v>
      </c>
      <c r="AE91" s="180">
        <f t="shared" si="79"/>
        <v>48</v>
      </c>
      <c r="AF91" s="150">
        <f t="shared" si="144"/>
        <v>540</v>
      </c>
      <c r="AG91" s="150">
        <f t="shared" si="145"/>
        <v>600</v>
      </c>
      <c r="AH91" s="150">
        <f t="shared" si="150"/>
        <v>7440.8333333333339</v>
      </c>
      <c r="AI91" s="154">
        <f t="shared" si="146"/>
        <v>5890.6468208333345</v>
      </c>
      <c r="AJ91" s="70">
        <f t="shared" si="147"/>
        <v>5534.0615124999995</v>
      </c>
      <c r="AK91" s="155">
        <f t="shared" si="148"/>
        <v>0.21607714510627127</v>
      </c>
      <c r="AL91" s="155">
        <f t="shared" si="149"/>
        <v>0.2806196689691835</v>
      </c>
    </row>
    <row r="92" spans="2:38" ht="15.75" customHeight="1" x14ac:dyDescent="0.25">
      <c r="B92" s="174" t="s">
        <v>314</v>
      </c>
      <c r="C92" s="171" t="s">
        <v>109</v>
      </c>
      <c r="D92" s="103">
        <v>176</v>
      </c>
      <c r="E92" s="104" t="s">
        <v>76</v>
      </c>
      <c r="F92" s="92">
        <v>0</v>
      </c>
      <c r="G92" s="219">
        <f>IF(F92&gt;0,F92,
IF(B92&lt;&gt;"",
IF(C92="CLT",VLOOKUP(B92,'Lista Profissionais'!$C$11:$H$348,3,0),
VLOOKUP(B92,'Lista Profissionais'!$C$11:$H$348,6,0)), 0))</f>
        <v>8000</v>
      </c>
      <c r="H92" s="219">
        <f>IF(B92&lt;&gt;"",
IF(C92="CLT",
       22*$M$5 + (G92*'Lista Profissionais'!$G$9),0),0)</f>
        <v>2150</v>
      </c>
      <c r="I92" s="66">
        <f t="shared" si="62"/>
        <v>8000</v>
      </c>
      <c r="J92" s="66">
        <f t="shared" si="142"/>
        <v>17537.777777777777</v>
      </c>
      <c r="K92" s="66">
        <f t="shared" si="143"/>
        <v>25223.971955555557</v>
      </c>
      <c r="L92" s="93">
        <f t="shared" si="63"/>
        <v>99.646464646464651</v>
      </c>
      <c r="M92" s="151"/>
      <c r="N92" s="152">
        <v>0</v>
      </c>
      <c r="O92" s="69">
        <f t="shared" si="64"/>
        <v>0</v>
      </c>
      <c r="P92" s="69">
        <f t="shared" si="65"/>
        <v>32444.888888888891</v>
      </c>
      <c r="Q92" s="70">
        <f t="shared" si="66"/>
        <v>32444.888888888891</v>
      </c>
      <c r="R92" s="153">
        <f t="shared" si="67"/>
        <v>973.34666666666669</v>
      </c>
      <c r="S92" s="70">
        <v>0</v>
      </c>
      <c r="T92" s="165">
        <f t="shared" si="68"/>
        <v>33418.235555555555</v>
      </c>
      <c r="U92" s="163">
        <f t="shared" si="69"/>
        <v>189.87633838383837</v>
      </c>
      <c r="V92" s="164">
        <f t="shared" si="70"/>
        <v>640</v>
      </c>
      <c r="W92" s="164">
        <f t="shared" si="71"/>
        <v>256</v>
      </c>
      <c r="X92" s="144">
        <f t="shared" si="72"/>
        <v>666.66666666666663</v>
      </c>
      <c r="Y92" s="150">
        <f t="shared" si="73"/>
        <v>222.2222222222222</v>
      </c>
      <c r="Z92" s="150">
        <f t="shared" si="74"/>
        <v>666.66666666666663</v>
      </c>
      <c r="AA92" s="150">
        <f t="shared" si="75"/>
        <v>2200</v>
      </c>
      <c r="AB92" s="182">
        <f t="shared" si="76"/>
        <v>124.44444444444444</v>
      </c>
      <c r="AC92" s="182">
        <f t="shared" si="77"/>
        <v>427.77777777777777</v>
      </c>
      <c r="AD92" s="182">
        <f t="shared" si="78"/>
        <v>800</v>
      </c>
      <c r="AE92" s="180">
        <f t="shared" si="79"/>
        <v>64</v>
      </c>
      <c r="AF92" s="150">
        <f t="shared" si="144"/>
        <v>720</v>
      </c>
      <c r="AG92" s="150">
        <f t="shared" si="145"/>
        <v>600</v>
      </c>
      <c r="AH92" s="150">
        <f t="shared" si="150"/>
        <v>9537.7777777777774</v>
      </c>
      <c r="AI92" s="154">
        <f t="shared" si="146"/>
        <v>7686.1941777777783</v>
      </c>
      <c r="AJ92" s="70">
        <f t="shared" si="147"/>
        <v>7220.9169333333321</v>
      </c>
      <c r="AK92" s="155">
        <f t="shared" si="148"/>
        <v>0.2160771451062713</v>
      </c>
      <c r="AL92" s="155">
        <f t="shared" si="149"/>
        <v>0.2806196689691835</v>
      </c>
    </row>
    <row r="93" spans="2:38" ht="15.75" customHeight="1" x14ac:dyDescent="0.25">
      <c r="B93" s="174" t="s">
        <v>315</v>
      </c>
      <c r="C93" s="171" t="s">
        <v>109</v>
      </c>
      <c r="D93" s="103">
        <v>176</v>
      </c>
      <c r="E93" s="104" t="s">
        <v>76</v>
      </c>
      <c r="F93" s="92">
        <v>0</v>
      </c>
      <c r="G93" s="219">
        <f>IF(F93&gt;0,F93,
IF(B93&lt;&gt;"",
IF(C93="CLT",VLOOKUP(B93,'Lista Profissionais'!$C$11:$H$348,3,0),
VLOOKUP(B93,'Lista Profissionais'!$C$11:$H$348,6,0)), 0))</f>
        <v>4800</v>
      </c>
      <c r="H93" s="219">
        <f>IF(B93&lt;&gt;"",
IF(C93="CLT",
       22*$M$5 + (G93*'Lista Profissionais'!$G$9),0),0)</f>
        <v>1510</v>
      </c>
      <c r="I93" s="66">
        <f t="shared" si="62"/>
        <v>4800</v>
      </c>
      <c r="J93" s="66">
        <f t="shared" si="142"/>
        <v>10982.666666666666</v>
      </c>
      <c r="K93" s="66">
        <f t="shared" si="143"/>
        <v>15795.985073333333</v>
      </c>
      <c r="L93" s="93">
        <f t="shared" si="63"/>
        <v>62.401515151515149</v>
      </c>
      <c r="M93" s="151"/>
      <c r="N93" s="152">
        <v>0</v>
      </c>
      <c r="O93" s="69">
        <f t="shared" si="64"/>
        <v>0</v>
      </c>
      <c r="P93" s="69">
        <f t="shared" si="65"/>
        <v>20317.933333333334</v>
      </c>
      <c r="Q93" s="70">
        <f t="shared" si="66"/>
        <v>20317.933333333334</v>
      </c>
      <c r="R93" s="153">
        <f t="shared" si="67"/>
        <v>609.53800000000001</v>
      </c>
      <c r="S93" s="70">
        <v>0</v>
      </c>
      <c r="T93" s="165">
        <f t="shared" si="68"/>
        <v>20927.471333333335</v>
      </c>
      <c r="U93" s="163">
        <f t="shared" si="69"/>
        <v>118.90608712121212</v>
      </c>
      <c r="V93" s="164">
        <f t="shared" si="70"/>
        <v>384</v>
      </c>
      <c r="W93" s="164">
        <f t="shared" si="71"/>
        <v>153.60000000000002</v>
      </c>
      <c r="X93" s="144">
        <f t="shared" si="72"/>
        <v>400</v>
      </c>
      <c r="Y93" s="150">
        <f t="shared" si="73"/>
        <v>133.33333333333334</v>
      </c>
      <c r="Z93" s="150">
        <f t="shared" si="74"/>
        <v>400</v>
      </c>
      <c r="AA93" s="150">
        <f t="shared" si="75"/>
        <v>1320</v>
      </c>
      <c r="AB93" s="182">
        <f t="shared" si="76"/>
        <v>74.666666666666671</v>
      </c>
      <c r="AC93" s="182">
        <f t="shared" si="77"/>
        <v>256.66666666666669</v>
      </c>
      <c r="AD93" s="182">
        <f t="shared" si="78"/>
        <v>480</v>
      </c>
      <c r="AE93" s="180">
        <f t="shared" si="79"/>
        <v>38.4</v>
      </c>
      <c r="AF93" s="150">
        <f t="shared" si="144"/>
        <v>432</v>
      </c>
      <c r="AG93" s="150">
        <f t="shared" si="145"/>
        <v>600</v>
      </c>
      <c r="AH93" s="150">
        <f t="shared" si="150"/>
        <v>6182.6666666666661</v>
      </c>
      <c r="AI93" s="154">
        <f t="shared" si="146"/>
        <v>4813.3184066666672</v>
      </c>
      <c r="AJ93" s="70">
        <f t="shared" si="147"/>
        <v>4521.948260000001</v>
      </c>
      <c r="AK93" s="155">
        <f t="shared" si="148"/>
        <v>0.21607714510627135</v>
      </c>
      <c r="AL93" s="155">
        <f t="shared" si="149"/>
        <v>0.28061966896918356</v>
      </c>
    </row>
    <row r="94" spans="2:38" ht="15.75" customHeight="1" x14ac:dyDescent="0.25">
      <c r="B94" s="174" t="s">
        <v>316</v>
      </c>
      <c r="C94" s="171" t="s">
        <v>109</v>
      </c>
      <c r="D94" s="103">
        <v>176</v>
      </c>
      <c r="E94" s="104" t="s">
        <v>76</v>
      </c>
      <c r="F94" s="92">
        <v>0</v>
      </c>
      <c r="G94" s="219">
        <f>IF(F94&gt;0,F94,
IF(B94&lt;&gt;"",
IF(C94="CLT",VLOOKUP(B94,'Lista Profissionais'!$C$11:$H$348,3,0),
VLOOKUP(B94,'Lista Profissionais'!$C$11:$H$348,6,0)), 0))</f>
        <v>6000</v>
      </c>
      <c r="H94" s="219">
        <f>IF(B94&lt;&gt;"",
IF(C94="CLT",
       22*$M$5 + (G94*'Lista Profissionais'!$G$9),0),0)</f>
        <v>1750</v>
      </c>
      <c r="I94" s="66">
        <f t="shared" si="62"/>
        <v>6000</v>
      </c>
      <c r="J94" s="66">
        <f t="shared" si="142"/>
        <v>13440.833333333334</v>
      </c>
      <c r="K94" s="66">
        <f t="shared" si="143"/>
        <v>19331.480154166667</v>
      </c>
      <c r="L94" s="93">
        <f t="shared" si="63"/>
        <v>76.368371212121218</v>
      </c>
      <c r="M94" s="151"/>
      <c r="N94" s="152">
        <v>0</v>
      </c>
      <c r="O94" s="69">
        <f t="shared" si="64"/>
        <v>0</v>
      </c>
      <c r="P94" s="69">
        <f t="shared" si="65"/>
        <v>24865.541666666668</v>
      </c>
      <c r="Q94" s="70">
        <f t="shared" si="66"/>
        <v>24865.541666666668</v>
      </c>
      <c r="R94" s="153">
        <f t="shared" si="67"/>
        <v>745.96625000000006</v>
      </c>
      <c r="S94" s="70">
        <v>0</v>
      </c>
      <c r="T94" s="165">
        <f t="shared" si="68"/>
        <v>25611.507916666669</v>
      </c>
      <c r="U94" s="163">
        <f t="shared" si="69"/>
        <v>145.51993134469697</v>
      </c>
      <c r="V94" s="164">
        <f t="shared" si="70"/>
        <v>480</v>
      </c>
      <c r="W94" s="164">
        <f t="shared" si="71"/>
        <v>192</v>
      </c>
      <c r="X94" s="144">
        <f t="shared" si="72"/>
        <v>500</v>
      </c>
      <c r="Y94" s="150">
        <f t="shared" si="73"/>
        <v>166.66666666666666</v>
      </c>
      <c r="Z94" s="150">
        <f t="shared" si="74"/>
        <v>500</v>
      </c>
      <c r="AA94" s="150">
        <f t="shared" si="75"/>
        <v>1650.0000000000002</v>
      </c>
      <c r="AB94" s="182">
        <f t="shared" si="76"/>
        <v>93.333333333333329</v>
      </c>
      <c r="AC94" s="182">
        <f t="shared" si="77"/>
        <v>320.83333333333331</v>
      </c>
      <c r="AD94" s="182">
        <f t="shared" si="78"/>
        <v>600</v>
      </c>
      <c r="AE94" s="180">
        <f t="shared" si="79"/>
        <v>48</v>
      </c>
      <c r="AF94" s="150">
        <f t="shared" si="144"/>
        <v>540</v>
      </c>
      <c r="AG94" s="150">
        <f t="shared" si="145"/>
        <v>600</v>
      </c>
      <c r="AH94" s="150">
        <f>SUM(V94:AG94)+H94</f>
        <v>7440.8333333333339</v>
      </c>
      <c r="AI94" s="154">
        <f t="shared" si="146"/>
        <v>5890.6468208333345</v>
      </c>
      <c r="AJ94" s="70">
        <f t="shared" si="147"/>
        <v>5534.0615124999995</v>
      </c>
      <c r="AK94" s="155">
        <f t="shared" si="148"/>
        <v>0.21607714510627127</v>
      </c>
      <c r="AL94" s="155">
        <f t="shared" si="149"/>
        <v>0.2806196689691835</v>
      </c>
    </row>
    <row r="95" spans="2:38" ht="15.75" customHeight="1" x14ac:dyDescent="0.25">
      <c r="B95" s="174" t="s">
        <v>317</v>
      </c>
      <c r="C95" s="171" t="s">
        <v>109</v>
      </c>
      <c r="D95" s="103">
        <v>176</v>
      </c>
      <c r="E95" s="104" t="s">
        <v>76</v>
      </c>
      <c r="F95" s="92">
        <v>0</v>
      </c>
      <c r="G95" s="219">
        <f>IF(F95&gt;0,F95,
IF(B95&lt;&gt;"",
IF(C95="CLT",VLOOKUP(B95,'Lista Profissionais'!$C$11:$H$348,3,0),
VLOOKUP(B95,'Lista Profissionais'!$C$11:$H$348,6,0)), 0))</f>
        <v>8400</v>
      </c>
      <c r="H95" s="219">
        <f>IF(B95&lt;&gt;"",
IF(C95="CLT",
       22*$M$5 + (G95*'Lista Profissionais'!$G$9),0),0)</f>
        <v>2230</v>
      </c>
      <c r="I95" s="66">
        <f t="shared" si="62"/>
        <v>8400</v>
      </c>
      <c r="J95" s="66">
        <f t="shared" si="142"/>
        <v>18357.166666666668</v>
      </c>
      <c r="K95" s="66">
        <f t="shared" si="143"/>
        <v>26402.470315833336</v>
      </c>
      <c r="L95" s="93">
        <f t="shared" si="63"/>
        <v>104.30208333333334</v>
      </c>
      <c r="M95" s="151"/>
      <c r="N95" s="152">
        <v>0</v>
      </c>
      <c r="O95" s="69">
        <f t="shared" si="64"/>
        <v>0</v>
      </c>
      <c r="P95" s="69">
        <f t="shared" si="65"/>
        <v>33960.758333333339</v>
      </c>
      <c r="Q95" s="70">
        <f t="shared" si="66"/>
        <v>33960.758333333339</v>
      </c>
      <c r="R95" s="153">
        <f t="shared" si="67"/>
        <v>1018.8227500000002</v>
      </c>
      <c r="S95" s="70">
        <v>0</v>
      </c>
      <c r="T95" s="165">
        <f t="shared" si="68"/>
        <v>34979.581083333338</v>
      </c>
      <c r="U95" s="163">
        <f t="shared" si="69"/>
        <v>198.74761979166669</v>
      </c>
      <c r="V95" s="164">
        <f t="shared" si="70"/>
        <v>672</v>
      </c>
      <c r="W95" s="164">
        <f t="shared" si="71"/>
        <v>268.8</v>
      </c>
      <c r="X95" s="144">
        <f t="shared" si="72"/>
        <v>700</v>
      </c>
      <c r="Y95" s="150">
        <f t="shared" si="73"/>
        <v>233.33333333333334</v>
      </c>
      <c r="Z95" s="150">
        <f t="shared" si="74"/>
        <v>700</v>
      </c>
      <c r="AA95" s="150">
        <f t="shared" si="75"/>
        <v>2310</v>
      </c>
      <c r="AB95" s="182">
        <f t="shared" si="76"/>
        <v>130.66666666666669</v>
      </c>
      <c r="AC95" s="182">
        <f t="shared" si="77"/>
        <v>449.16666666666674</v>
      </c>
      <c r="AD95" s="182">
        <f t="shared" si="78"/>
        <v>840</v>
      </c>
      <c r="AE95" s="180">
        <f t="shared" si="79"/>
        <v>67.2</v>
      </c>
      <c r="AF95" s="150">
        <f t="shared" si="144"/>
        <v>756</v>
      </c>
      <c r="AG95" s="150">
        <f t="shared" si="145"/>
        <v>600</v>
      </c>
      <c r="AH95" s="150">
        <f t="shared" si="150"/>
        <v>9957.1666666666679</v>
      </c>
      <c r="AI95" s="154">
        <f t="shared" si="146"/>
        <v>8045.303649166668</v>
      </c>
      <c r="AJ95" s="70">
        <f t="shared" si="147"/>
        <v>7558.2880175000018</v>
      </c>
      <c r="AK95" s="155">
        <f t="shared" si="148"/>
        <v>0.21607714510627135</v>
      </c>
      <c r="AL95" s="155">
        <f t="shared" si="149"/>
        <v>0.28061966896918356</v>
      </c>
    </row>
    <row r="96" spans="2:38" ht="15.75" customHeight="1" x14ac:dyDescent="0.25">
      <c r="B96" s="174" t="s">
        <v>318</v>
      </c>
      <c r="C96" s="171" t="s">
        <v>109</v>
      </c>
      <c r="D96" s="103">
        <v>176</v>
      </c>
      <c r="E96" s="104" t="s">
        <v>76</v>
      </c>
      <c r="F96" s="92">
        <v>0</v>
      </c>
      <c r="G96" s="219">
        <f>IF(F96&gt;0,F96,
IF(B96&lt;&gt;"",
IF(C96="CLT",VLOOKUP(B96,'Lista Profissionais'!$C$11:$H$348,3,0),
VLOOKUP(B96,'Lista Profissionais'!$C$11:$H$348,6,0)), 0))</f>
        <v>12000</v>
      </c>
      <c r="H96" s="219">
        <f>IF(B96&lt;&gt;"",
IF(C96="CLT",
       22*$M$5 + (G96*'Lista Profissionais'!$G$9),0),0)</f>
        <v>2950</v>
      </c>
      <c r="I96" s="66">
        <f t="shared" si="62"/>
        <v>12000</v>
      </c>
      <c r="J96" s="66">
        <f t="shared" si="142"/>
        <v>25731.666666666668</v>
      </c>
      <c r="K96" s="66">
        <f t="shared" si="143"/>
        <v>37008.955558333335</v>
      </c>
      <c r="L96" s="93">
        <f t="shared" si="63"/>
        <v>146.20265151515153</v>
      </c>
      <c r="M96" s="151"/>
      <c r="N96" s="152">
        <v>0</v>
      </c>
      <c r="O96" s="69">
        <f t="shared" si="64"/>
        <v>0</v>
      </c>
      <c r="P96" s="69">
        <f t="shared" si="65"/>
        <v>47603.583333333336</v>
      </c>
      <c r="Q96" s="70">
        <f t="shared" si="66"/>
        <v>47603.583333333336</v>
      </c>
      <c r="R96" s="153">
        <f t="shared" si="67"/>
        <v>1428.1075000000001</v>
      </c>
      <c r="S96" s="70">
        <v>0</v>
      </c>
      <c r="T96" s="165">
        <f t="shared" si="68"/>
        <v>49031.690833333334</v>
      </c>
      <c r="U96" s="163">
        <f t="shared" si="69"/>
        <v>278.58915246212121</v>
      </c>
      <c r="V96" s="164">
        <f t="shared" si="70"/>
        <v>960</v>
      </c>
      <c r="W96" s="164">
        <f t="shared" si="71"/>
        <v>384</v>
      </c>
      <c r="X96" s="144">
        <f t="shared" si="72"/>
        <v>1000</v>
      </c>
      <c r="Y96" s="150">
        <f t="shared" si="73"/>
        <v>333.33333333333331</v>
      </c>
      <c r="Z96" s="150">
        <f t="shared" si="74"/>
        <v>1000</v>
      </c>
      <c r="AA96" s="150">
        <f t="shared" si="75"/>
        <v>3300.0000000000005</v>
      </c>
      <c r="AB96" s="182">
        <f t="shared" si="76"/>
        <v>186.66666666666666</v>
      </c>
      <c r="AC96" s="182">
        <f t="shared" si="77"/>
        <v>641.66666666666663</v>
      </c>
      <c r="AD96" s="182">
        <f t="shared" si="78"/>
        <v>1200</v>
      </c>
      <c r="AE96" s="180">
        <f t="shared" si="79"/>
        <v>96</v>
      </c>
      <c r="AF96" s="150">
        <f t="shared" si="144"/>
        <v>1080</v>
      </c>
      <c r="AG96" s="150">
        <f t="shared" si="145"/>
        <v>600</v>
      </c>
      <c r="AH96" s="150">
        <f t="shared" si="150"/>
        <v>13731.666666666668</v>
      </c>
      <c r="AI96" s="154">
        <f t="shared" si="146"/>
        <v>11277.288891666667</v>
      </c>
      <c r="AJ96" s="70">
        <f t="shared" si="147"/>
        <v>10594.627775000003</v>
      </c>
      <c r="AK96" s="155">
        <f t="shared" si="148"/>
        <v>0.21607714510627138</v>
      </c>
      <c r="AL96" s="155">
        <f t="shared" si="149"/>
        <v>0.28061966896918356</v>
      </c>
    </row>
    <row r="97" spans="2:38" ht="15.75" customHeight="1" x14ac:dyDescent="0.25">
      <c r="B97" s="174" t="s">
        <v>319</v>
      </c>
      <c r="C97" s="171" t="s">
        <v>109</v>
      </c>
      <c r="D97" s="103">
        <v>176</v>
      </c>
      <c r="E97" s="104" t="s">
        <v>76</v>
      </c>
      <c r="F97" s="92">
        <v>0</v>
      </c>
      <c r="G97" s="219">
        <f>IF(F97&gt;0,F97,
IF(B97&lt;&gt;"",
IF(C97="CLT",VLOOKUP(B97,'Lista Profissionais'!$C$11:$H$348,3,0),
VLOOKUP(B97,'Lista Profissionais'!$C$11:$H$348,6,0)), 0))</f>
        <v>4960</v>
      </c>
      <c r="H97" s="219">
        <f>IF(B97&lt;&gt;"",
IF(C97="CLT",
       22*$M$5 + (G97*'Lista Profissionais'!$G$9),0),0)</f>
        <v>1542</v>
      </c>
      <c r="I97" s="66">
        <f t="shared" si="62"/>
        <v>4960</v>
      </c>
      <c r="J97" s="66">
        <f t="shared" si="142"/>
        <v>11310.422222222222</v>
      </c>
      <c r="K97" s="66">
        <f t="shared" si="143"/>
        <v>16267.384417444444</v>
      </c>
      <c r="L97" s="93">
        <f t="shared" si="63"/>
        <v>64.263762626262618</v>
      </c>
      <c r="M97" s="151"/>
      <c r="N97" s="152">
        <v>0</v>
      </c>
      <c r="O97" s="69">
        <f t="shared" si="64"/>
        <v>0</v>
      </c>
      <c r="P97" s="69">
        <f t="shared" si="65"/>
        <v>20924.281111111111</v>
      </c>
      <c r="Q97" s="70">
        <f t="shared" si="66"/>
        <v>20924.281111111111</v>
      </c>
      <c r="R97" s="153">
        <f t="shared" si="67"/>
        <v>627.72843333333333</v>
      </c>
      <c r="S97" s="70">
        <v>0</v>
      </c>
      <c r="T97" s="165">
        <f t="shared" si="68"/>
        <v>21552.009544444445</v>
      </c>
      <c r="U97" s="163">
        <f t="shared" si="69"/>
        <v>122.45459968434344</v>
      </c>
      <c r="V97" s="164">
        <f t="shared" si="70"/>
        <v>396.8</v>
      </c>
      <c r="W97" s="164">
        <f t="shared" si="71"/>
        <v>158.72000000000003</v>
      </c>
      <c r="X97" s="144">
        <f t="shared" si="72"/>
        <v>413.33333333333331</v>
      </c>
      <c r="Y97" s="150">
        <f t="shared" si="73"/>
        <v>137.77777777777777</v>
      </c>
      <c r="Z97" s="150">
        <f t="shared" si="74"/>
        <v>413.33333333333331</v>
      </c>
      <c r="AA97" s="150">
        <f t="shared" si="75"/>
        <v>1364</v>
      </c>
      <c r="AB97" s="182">
        <f t="shared" si="76"/>
        <v>77.155555555555551</v>
      </c>
      <c r="AC97" s="182">
        <f t="shared" si="77"/>
        <v>265.22222222222223</v>
      </c>
      <c r="AD97" s="182">
        <f t="shared" si="78"/>
        <v>496</v>
      </c>
      <c r="AE97" s="180">
        <f t="shared" si="79"/>
        <v>39.68</v>
      </c>
      <c r="AF97" s="150">
        <f t="shared" si="144"/>
        <v>446.4</v>
      </c>
      <c r="AG97" s="150">
        <f t="shared" si="145"/>
        <v>600</v>
      </c>
      <c r="AH97" s="150">
        <f t="shared" si="150"/>
        <v>6350.4222222222215</v>
      </c>
      <c r="AI97" s="154">
        <f t="shared" si="146"/>
        <v>4956.9621952222224</v>
      </c>
      <c r="AJ97" s="70">
        <f t="shared" si="147"/>
        <v>4656.8966936666675</v>
      </c>
      <c r="AK97" s="155">
        <f t="shared" si="148"/>
        <v>0.21607714510627135</v>
      </c>
      <c r="AL97" s="155">
        <f t="shared" si="149"/>
        <v>0.28061966896918356</v>
      </c>
    </row>
    <row r="98" spans="2:38" ht="15.75" customHeight="1" x14ac:dyDescent="0.25">
      <c r="B98" s="174" t="s">
        <v>320</v>
      </c>
      <c r="C98" s="171" t="s">
        <v>109</v>
      </c>
      <c r="D98" s="103">
        <v>176</v>
      </c>
      <c r="E98" s="104" t="s">
        <v>76</v>
      </c>
      <c r="F98" s="92">
        <v>0</v>
      </c>
      <c r="G98" s="219">
        <f>IF(F98&gt;0,F98,
IF(B98&lt;&gt;"",
IF(C98="CLT",VLOOKUP(B98,'Lista Profissionais'!$C$11:$H$348,3,0),
VLOOKUP(B98,'Lista Profissionais'!$C$11:$H$348,6,0)), 0))</f>
        <v>7200</v>
      </c>
      <c r="H98" s="219">
        <f>IF(B98&lt;&gt;"",
IF(C98="CLT",
       22*$M$5 + (G98*'Lista Profissionais'!$G$9),0),0)</f>
        <v>1990</v>
      </c>
      <c r="I98" s="66">
        <f t="shared" si="62"/>
        <v>7200</v>
      </c>
      <c r="J98" s="66">
        <f t="shared" si="142"/>
        <v>15899</v>
      </c>
      <c r="K98" s="66">
        <f t="shared" si="143"/>
        <v>22866.975234999998</v>
      </c>
      <c r="L98" s="93">
        <f t="shared" si="63"/>
        <v>90.335227272727266</v>
      </c>
      <c r="M98" s="151"/>
      <c r="N98" s="152">
        <v>0</v>
      </c>
      <c r="O98" s="69">
        <f t="shared" si="64"/>
        <v>0</v>
      </c>
      <c r="P98" s="69">
        <f t="shared" si="65"/>
        <v>29413.15</v>
      </c>
      <c r="Q98" s="70">
        <f t="shared" si="66"/>
        <v>29413.15</v>
      </c>
      <c r="R98" s="153">
        <f t="shared" si="67"/>
        <v>882.39449999999999</v>
      </c>
      <c r="S98" s="70">
        <v>0</v>
      </c>
      <c r="T98" s="165">
        <f t="shared" si="68"/>
        <v>30295.5445</v>
      </c>
      <c r="U98" s="163">
        <f t="shared" si="69"/>
        <v>172.13377556818182</v>
      </c>
      <c r="V98" s="164">
        <f t="shared" si="70"/>
        <v>576</v>
      </c>
      <c r="W98" s="164">
        <f t="shared" si="71"/>
        <v>230.4</v>
      </c>
      <c r="X98" s="144">
        <f t="shared" si="72"/>
        <v>600</v>
      </c>
      <c r="Y98" s="150">
        <f t="shared" si="73"/>
        <v>200</v>
      </c>
      <c r="Z98" s="150">
        <f t="shared" si="74"/>
        <v>600</v>
      </c>
      <c r="AA98" s="150">
        <f t="shared" si="75"/>
        <v>1980.0000000000002</v>
      </c>
      <c r="AB98" s="182">
        <f t="shared" si="76"/>
        <v>112</v>
      </c>
      <c r="AC98" s="182">
        <f t="shared" si="77"/>
        <v>385.00000000000006</v>
      </c>
      <c r="AD98" s="182">
        <f t="shared" si="78"/>
        <v>720</v>
      </c>
      <c r="AE98" s="180">
        <f t="shared" si="79"/>
        <v>57.6</v>
      </c>
      <c r="AF98" s="150">
        <f t="shared" si="144"/>
        <v>648</v>
      </c>
      <c r="AG98" s="150">
        <f t="shared" si="145"/>
        <v>600</v>
      </c>
      <c r="AH98" s="150">
        <f t="shared" si="150"/>
        <v>8699</v>
      </c>
      <c r="AI98" s="154">
        <f t="shared" si="146"/>
        <v>6967.9752349999999</v>
      </c>
      <c r="AJ98" s="70">
        <f t="shared" si="147"/>
        <v>6546.1747649999979</v>
      </c>
      <c r="AK98" s="155">
        <f t="shared" si="148"/>
        <v>0.21607714510627124</v>
      </c>
      <c r="AL98" s="155">
        <f t="shared" si="149"/>
        <v>0.28061966896918344</v>
      </c>
    </row>
    <row r="99" spans="2:38" ht="15.75" customHeight="1" x14ac:dyDescent="0.25">
      <c r="B99" s="174" t="s">
        <v>321</v>
      </c>
      <c r="C99" s="171" t="s">
        <v>109</v>
      </c>
      <c r="D99" s="103">
        <v>176</v>
      </c>
      <c r="E99" s="104" t="s">
        <v>76</v>
      </c>
      <c r="F99" s="92">
        <v>0</v>
      </c>
      <c r="G99" s="219">
        <f>IF(F99&gt;0,F99,
IF(B99&lt;&gt;"",
IF(C99="CLT",VLOOKUP(B99,'Lista Profissionais'!$C$11:$H$348,3,0),
VLOOKUP(B99,'Lista Profissionais'!$C$11:$H$348,6,0)), 0))</f>
        <v>10400</v>
      </c>
      <c r="H99" s="219">
        <f>IF(B99&lt;&gt;"",
IF(C99="CLT",
       22*$M$5 + (G99*'Lista Profissionais'!$G$9),0),0)</f>
        <v>2630</v>
      </c>
      <c r="I99" s="66">
        <f t="shared" si="62"/>
        <v>10400</v>
      </c>
      <c r="J99" s="66">
        <f t="shared" si="142"/>
        <v>22454.111111111109</v>
      </c>
      <c r="K99" s="66">
        <f t="shared" si="143"/>
        <v>32294.962117222221</v>
      </c>
      <c r="L99" s="93">
        <f t="shared" si="63"/>
        <v>127.58017676767676</v>
      </c>
      <c r="M99" s="151"/>
      <c r="N99" s="152">
        <v>0</v>
      </c>
      <c r="O99" s="69">
        <f t="shared" si="64"/>
        <v>0</v>
      </c>
      <c r="P99" s="69">
        <f t="shared" si="65"/>
        <v>41540.105555555558</v>
      </c>
      <c r="Q99" s="70">
        <f t="shared" si="66"/>
        <v>41540.105555555558</v>
      </c>
      <c r="R99" s="153">
        <f t="shared" si="67"/>
        <v>1246.2031666666667</v>
      </c>
      <c r="S99" s="70">
        <v>0</v>
      </c>
      <c r="T99" s="165">
        <f t="shared" si="68"/>
        <v>42786.308722222224</v>
      </c>
      <c r="U99" s="163">
        <f t="shared" si="69"/>
        <v>243.1040268308081</v>
      </c>
      <c r="V99" s="164">
        <f t="shared" si="70"/>
        <v>832</v>
      </c>
      <c r="W99" s="164">
        <f t="shared" si="71"/>
        <v>332.8</v>
      </c>
      <c r="X99" s="144">
        <f t="shared" si="72"/>
        <v>866.66666666666663</v>
      </c>
      <c r="Y99" s="150">
        <f t="shared" si="73"/>
        <v>288.88888888888886</v>
      </c>
      <c r="Z99" s="150">
        <f t="shared" si="74"/>
        <v>866.66666666666663</v>
      </c>
      <c r="AA99" s="150">
        <f t="shared" si="75"/>
        <v>2860.0000000000005</v>
      </c>
      <c r="AB99" s="182">
        <f t="shared" si="76"/>
        <v>161.77777777777777</v>
      </c>
      <c r="AC99" s="182">
        <f t="shared" si="77"/>
        <v>556.11111111111109</v>
      </c>
      <c r="AD99" s="182">
        <f t="shared" si="78"/>
        <v>1040</v>
      </c>
      <c r="AE99" s="180">
        <f t="shared" si="79"/>
        <v>83.2</v>
      </c>
      <c r="AF99" s="150">
        <f t="shared" si="144"/>
        <v>936</v>
      </c>
      <c r="AG99" s="150">
        <f t="shared" si="145"/>
        <v>600</v>
      </c>
      <c r="AH99" s="150">
        <f t="shared" si="150"/>
        <v>12054.111111111109</v>
      </c>
      <c r="AI99" s="154">
        <f t="shared" si="146"/>
        <v>9840.8510061111119</v>
      </c>
      <c r="AJ99" s="70">
        <f t="shared" si="147"/>
        <v>9245.1434383333326</v>
      </c>
      <c r="AK99" s="155">
        <f t="shared" si="148"/>
        <v>0.2160771451062713</v>
      </c>
      <c r="AL99" s="155">
        <f t="shared" si="149"/>
        <v>0.28061966896918356</v>
      </c>
    </row>
    <row r="100" spans="2:38" s="102" customFormat="1" ht="15.75" customHeight="1" x14ac:dyDescent="0.2">
      <c r="B100" s="174" t="s">
        <v>322</v>
      </c>
      <c r="C100" s="171" t="s">
        <v>109</v>
      </c>
      <c r="D100" s="103">
        <v>176</v>
      </c>
      <c r="E100" s="104" t="s">
        <v>76</v>
      </c>
      <c r="F100" s="92">
        <v>0</v>
      </c>
      <c r="G100" s="219">
        <f>IF(F100&gt;0,F100,
IF(B100&lt;&gt;"",
IF(C100="CLT",VLOOKUP(B100,'Lista Profissionais'!$C$11:$H$348,3,0),
VLOOKUP(B100,'Lista Profissionais'!$C$11:$H$348,6,0)), 0))</f>
        <v>3600</v>
      </c>
      <c r="H100" s="219">
        <f>IF(B100&lt;&gt;"",
IF(C100="CLT",
       22*$M$5 + (G100*'Lista Profissionais'!$G$9),0),0)</f>
        <v>1270</v>
      </c>
      <c r="I100" s="66">
        <f t="shared" ref="I100:I127" si="151">(G100/$G$2)*D100</f>
        <v>3600</v>
      </c>
      <c r="J100" s="66">
        <f t="shared" si="142"/>
        <v>8524.5</v>
      </c>
      <c r="K100" s="66">
        <f t="shared" si="143"/>
        <v>12260.489992500001</v>
      </c>
      <c r="L100" s="93">
        <f t="shared" ref="L100:L127" si="152">IF(D100&gt;0,J100/D100,0)</f>
        <v>48.434659090909093</v>
      </c>
      <c r="M100" s="151"/>
      <c r="N100" s="152">
        <v>0</v>
      </c>
      <c r="O100" s="69">
        <f t="shared" ref="O100:O127" si="153">J100*$G$6</f>
        <v>0</v>
      </c>
      <c r="P100" s="69">
        <f t="shared" ref="P100:P127" si="154">IF(M100&gt;0,M100,  J100*(1+$G$5))</f>
        <v>15770.325000000001</v>
      </c>
      <c r="Q100" s="70">
        <f t="shared" ref="Q100:Q127" si="155">(P100+O100)</f>
        <v>15770.325000000001</v>
      </c>
      <c r="R100" s="153">
        <f t="shared" ref="R100:R127" si="156">IF(E100="Sim", Q100*$G$3,0)</f>
        <v>473.10975000000002</v>
      </c>
      <c r="S100" s="70">
        <v>0</v>
      </c>
      <c r="T100" s="165">
        <f t="shared" ref="T100:T127" si="157">IF($D$4="Sim",(IF(E100="Não",0,(Q100+(Q100*$O$4)+R100+S100)*$D$5)+Q100),
IF(E100="Não",0,Q100+(Q100*$O$4)+R100+S100
))</f>
        <v>16243.43475</v>
      </c>
      <c r="U100" s="163">
        <f t="shared" ref="U100:U127" si="158">IF(D100&gt;0,T100/D100,0)</f>
        <v>92.292242897727277</v>
      </c>
      <c r="V100" s="164">
        <f t="shared" ref="V100:V127" si="159">IF(C100="CLT",
       I100*$M$2, 0)</f>
        <v>288</v>
      </c>
      <c r="W100" s="164">
        <f t="shared" ref="W100:W127" si="160">IF(C100="CLT",
       V100*$M$3, 0)</f>
        <v>115.2</v>
      </c>
      <c r="X100" s="144">
        <f t="shared" ref="X100:X127" si="161">IF(C100="CLT",
       I100/12, 0)</f>
        <v>300</v>
      </c>
      <c r="Y100" s="150">
        <f t="shared" ref="Y100:Y127" si="162">IF(C100="CLT",
       X100/3, 0)</f>
        <v>100</v>
      </c>
      <c r="Z100" s="150">
        <f t="shared" ref="Z100:Z127" si="163">IF(C100="CLT",
       I100/12, 0)</f>
        <v>300</v>
      </c>
      <c r="AA100" s="150">
        <f t="shared" ref="AA100:AA127" si="164">IF(C100="CLT", I100*$S$2,0)</f>
        <v>990.00000000000011</v>
      </c>
      <c r="AB100" s="182">
        <f t="shared" ref="AB100:AB127" si="165">IF(C100="CLT", SUM(X100:Z100) * $M$2,0)</f>
        <v>56</v>
      </c>
      <c r="AC100" s="182">
        <f t="shared" ref="AC100:AC112" si="166">IF(C100="CLT", SUM(X100:Z100)*$S$2,0)</f>
        <v>192.50000000000003</v>
      </c>
      <c r="AD100" s="182">
        <f t="shared" ref="AD100:AD112" si="167">IF(C100="CLT",
       I100/30*3, 0)</f>
        <v>360</v>
      </c>
      <c r="AE100" s="180">
        <f t="shared" ref="AE100:AE112" si="168">IF(C100="CLT",  AD100*$M$2, 0)</f>
        <v>28.8</v>
      </c>
      <c r="AF100" s="150">
        <f t="shared" si="144"/>
        <v>324</v>
      </c>
      <c r="AG100" s="150">
        <f t="shared" si="145"/>
        <v>600</v>
      </c>
      <c r="AH100" s="150">
        <f t="shared" si="150"/>
        <v>4924.5</v>
      </c>
      <c r="AI100" s="154">
        <f t="shared" si="146"/>
        <v>3735.9899925000004</v>
      </c>
      <c r="AJ100" s="70">
        <f t="shared" si="147"/>
        <v>3509.8350074999994</v>
      </c>
      <c r="AK100" s="155">
        <f t="shared" si="148"/>
        <v>0.21607714510627127</v>
      </c>
      <c r="AL100" s="155">
        <f t="shared" si="149"/>
        <v>0.2806196689691835</v>
      </c>
    </row>
    <row r="101" spans="2:38" s="102" customFormat="1" ht="15.75" customHeight="1" x14ac:dyDescent="0.2">
      <c r="B101" s="174" t="s">
        <v>323</v>
      </c>
      <c r="C101" s="171" t="s">
        <v>109</v>
      </c>
      <c r="D101" s="103">
        <v>176</v>
      </c>
      <c r="E101" s="104" t="s">
        <v>76</v>
      </c>
      <c r="F101" s="92">
        <v>0</v>
      </c>
      <c r="G101" s="219">
        <f>IF(F101&gt;0,F101,
IF(B101&lt;&gt;"",
IF(C101="CLT",VLOOKUP(B101,'Lista Profissionais'!$C$11:$H$348,3,0),
VLOOKUP(B101,'Lista Profissionais'!$C$11:$H$348,6,0)), 0))</f>
        <v>7600</v>
      </c>
      <c r="H101" s="219">
        <f>IF(B101&lt;&gt;"",
IF(C101="CLT",
       22*$M$5 + (G101*'Lista Profissionais'!$G$9),0),0)</f>
        <v>2070</v>
      </c>
      <c r="I101" s="66">
        <f t="shared" si="151"/>
        <v>7600</v>
      </c>
      <c r="J101" s="66">
        <f t="shared" si="142"/>
        <v>16718.388888888891</v>
      </c>
      <c r="K101" s="66">
        <f t="shared" si="143"/>
        <v>24045.473595277781</v>
      </c>
      <c r="L101" s="93">
        <f t="shared" si="152"/>
        <v>94.990845959595973</v>
      </c>
      <c r="M101" s="151"/>
      <c r="N101" s="152">
        <v>0</v>
      </c>
      <c r="O101" s="69">
        <f t="shared" si="153"/>
        <v>0</v>
      </c>
      <c r="P101" s="69">
        <f t="shared" si="154"/>
        <v>30929.01944444445</v>
      </c>
      <c r="Q101" s="70">
        <f t="shared" si="155"/>
        <v>30929.01944444445</v>
      </c>
      <c r="R101" s="153">
        <f t="shared" si="156"/>
        <v>927.87058333333346</v>
      </c>
      <c r="S101" s="70">
        <v>0</v>
      </c>
      <c r="T101" s="165">
        <f t="shared" si="157"/>
        <v>31856.890027777783</v>
      </c>
      <c r="U101" s="163">
        <f t="shared" si="158"/>
        <v>181.00505697601014</v>
      </c>
      <c r="V101" s="164">
        <f t="shared" si="159"/>
        <v>608</v>
      </c>
      <c r="W101" s="164">
        <f t="shared" si="160"/>
        <v>243.20000000000002</v>
      </c>
      <c r="X101" s="144">
        <f t="shared" si="161"/>
        <v>633.33333333333337</v>
      </c>
      <c r="Y101" s="150">
        <f t="shared" si="162"/>
        <v>211.11111111111111</v>
      </c>
      <c r="Z101" s="150">
        <f t="shared" si="163"/>
        <v>633.33333333333337</v>
      </c>
      <c r="AA101" s="150">
        <f t="shared" si="164"/>
        <v>2090</v>
      </c>
      <c r="AB101" s="182">
        <f t="shared" si="165"/>
        <v>118.22222222222223</v>
      </c>
      <c r="AC101" s="182">
        <f t="shared" si="166"/>
        <v>406.38888888888891</v>
      </c>
      <c r="AD101" s="182">
        <f t="shared" si="167"/>
        <v>760</v>
      </c>
      <c r="AE101" s="180">
        <f t="shared" si="168"/>
        <v>60.800000000000004</v>
      </c>
      <c r="AF101" s="150">
        <f t="shared" si="144"/>
        <v>684</v>
      </c>
      <c r="AG101" s="150">
        <f t="shared" si="145"/>
        <v>600</v>
      </c>
      <c r="AH101" s="150">
        <f t="shared" si="150"/>
        <v>9118.3888888888905</v>
      </c>
      <c r="AI101" s="154">
        <f t="shared" si="146"/>
        <v>7327.0847063888905</v>
      </c>
      <c r="AJ101" s="70">
        <f t="shared" si="147"/>
        <v>6883.5458491666686</v>
      </c>
      <c r="AK101" s="155">
        <f t="shared" si="148"/>
        <v>0.21607714510627135</v>
      </c>
      <c r="AL101" s="155">
        <f t="shared" si="149"/>
        <v>0.28061966896918356</v>
      </c>
    </row>
    <row r="102" spans="2:38" s="102" customFormat="1" ht="15.75" customHeight="1" x14ac:dyDescent="0.2">
      <c r="B102" s="174" t="s">
        <v>324</v>
      </c>
      <c r="C102" s="171" t="s">
        <v>109</v>
      </c>
      <c r="D102" s="103">
        <v>176</v>
      </c>
      <c r="E102" s="104" t="s">
        <v>76</v>
      </c>
      <c r="F102" s="92">
        <v>0</v>
      </c>
      <c r="G102" s="219">
        <f>IF(F102&gt;0,F102,
IF(B102&lt;&gt;"",
IF(C102="CLT",VLOOKUP(B102,'Lista Profissionais'!$C$11:$H$348,3,0),
VLOOKUP(B102,'Lista Profissionais'!$C$11:$H$348,6,0)), 0))</f>
        <v>8800</v>
      </c>
      <c r="H102" s="219">
        <f>IF(B102&lt;&gt;"",
IF(C102="CLT",
       22*$M$5 + (G102*'Lista Profissionais'!$G$9),0),0)</f>
        <v>2310</v>
      </c>
      <c r="I102" s="66">
        <f t="shared" si="151"/>
        <v>8800</v>
      </c>
      <c r="J102" s="66">
        <f t="shared" si="142"/>
        <v>19176.555555555555</v>
      </c>
      <c r="K102" s="66">
        <f t="shared" si="143"/>
        <v>27580.968676111112</v>
      </c>
      <c r="L102" s="93">
        <f t="shared" si="152"/>
        <v>108.95770202020202</v>
      </c>
      <c r="M102" s="151"/>
      <c r="N102" s="152">
        <v>0</v>
      </c>
      <c r="O102" s="69">
        <f t="shared" si="153"/>
        <v>0</v>
      </c>
      <c r="P102" s="69">
        <f t="shared" si="154"/>
        <v>35476.62777777778</v>
      </c>
      <c r="Q102" s="70">
        <f t="shared" si="155"/>
        <v>35476.62777777778</v>
      </c>
      <c r="R102" s="153">
        <f t="shared" si="156"/>
        <v>1064.2988333333333</v>
      </c>
      <c r="S102" s="70">
        <v>0</v>
      </c>
      <c r="T102" s="165">
        <f t="shared" si="157"/>
        <v>36540.926611111114</v>
      </c>
      <c r="U102" s="163">
        <f t="shared" si="158"/>
        <v>207.61890119949496</v>
      </c>
      <c r="V102" s="164">
        <f t="shared" si="159"/>
        <v>704</v>
      </c>
      <c r="W102" s="164">
        <f t="shared" si="160"/>
        <v>281.60000000000002</v>
      </c>
      <c r="X102" s="144">
        <f t="shared" si="161"/>
        <v>733.33333333333337</v>
      </c>
      <c r="Y102" s="150">
        <f t="shared" si="162"/>
        <v>244.44444444444446</v>
      </c>
      <c r="Z102" s="150">
        <f t="shared" si="163"/>
        <v>733.33333333333337</v>
      </c>
      <c r="AA102" s="150">
        <f t="shared" si="164"/>
        <v>2420</v>
      </c>
      <c r="AB102" s="182">
        <f t="shared" si="165"/>
        <v>136.88888888888891</v>
      </c>
      <c r="AC102" s="182">
        <f t="shared" si="166"/>
        <v>470.55555555555566</v>
      </c>
      <c r="AD102" s="182">
        <f t="shared" si="167"/>
        <v>880</v>
      </c>
      <c r="AE102" s="180">
        <f t="shared" si="168"/>
        <v>70.400000000000006</v>
      </c>
      <c r="AF102" s="150">
        <f t="shared" si="144"/>
        <v>792</v>
      </c>
      <c r="AG102" s="150">
        <f t="shared" si="145"/>
        <v>600</v>
      </c>
      <c r="AH102" s="150">
        <f t="shared" si="150"/>
        <v>10376.555555555555</v>
      </c>
      <c r="AI102" s="154">
        <f t="shared" si="146"/>
        <v>8404.4131205555568</v>
      </c>
      <c r="AJ102" s="70">
        <f t="shared" si="147"/>
        <v>7895.6591016666689</v>
      </c>
      <c r="AK102" s="155">
        <f t="shared" si="148"/>
        <v>0.21607714510627138</v>
      </c>
      <c r="AL102" s="155">
        <f t="shared" si="149"/>
        <v>0.28061966896918361</v>
      </c>
    </row>
    <row r="103" spans="2:38" s="102" customFormat="1" ht="15.75" customHeight="1" x14ac:dyDescent="0.2">
      <c r="B103" s="174" t="s">
        <v>325</v>
      </c>
      <c r="C103" s="171" t="s">
        <v>109</v>
      </c>
      <c r="D103" s="103">
        <v>176</v>
      </c>
      <c r="E103" s="104" t="s">
        <v>76</v>
      </c>
      <c r="F103" s="92">
        <v>0</v>
      </c>
      <c r="G103" s="219">
        <f>IF(F103&gt;0,F103,
IF(B103&lt;&gt;"",
IF(C103="CLT",VLOOKUP(B103,'Lista Profissionais'!$C$11:$H$348,3,0),
VLOOKUP(B103,'Lista Profissionais'!$C$11:$H$348,6,0)), 0))</f>
        <v>9200</v>
      </c>
      <c r="H103" s="219">
        <f>IF(B103&lt;&gt;"",
IF(C103="CLT",
       22*$M$5 + (G103*'Lista Profissionais'!$G$9),0),0)</f>
        <v>2390</v>
      </c>
      <c r="I103" s="66">
        <f t="shared" si="151"/>
        <v>9200</v>
      </c>
      <c r="J103" s="66">
        <f t="shared" si="142"/>
        <v>19995.944444444445</v>
      </c>
      <c r="K103" s="66">
        <f t="shared" si="143"/>
        <v>28759.467036388894</v>
      </c>
      <c r="L103" s="93">
        <f t="shared" si="152"/>
        <v>113.61332070707071</v>
      </c>
      <c r="M103" s="151"/>
      <c r="N103" s="152">
        <v>0</v>
      </c>
      <c r="O103" s="69">
        <f t="shared" si="153"/>
        <v>0</v>
      </c>
      <c r="P103" s="69">
        <f t="shared" si="154"/>
        <v>36992.497222222228</v>
      </c>
      <c r="Q103" s="70">
        <f t="shared" si="155"/>
        <v>36992.497222222228</v>
      </c>
      <c r="R103" s="153">
        <f t="shared" si="156"/>
        <v>1109.7749166666667</v>
      </c>
      <c r="S103" s="70">
        <v>0</v>
      </c>
      <c r="T103" s="165">
        <f t="shared" si="157"/>
        <v>38102.272138888897</v>
      </c>
      <c r="U103" s="163">
        <f t="shared" si="158"/>
        <v>216.49018260732328</v>
      </c>
      <c r="V103" s="164">
        <f t="shared" si="159"/>
        <v>736</v>
      </c>
      <c r="W103" s="164">
        <f t="shared" si="160"/>
        <v>294.40000000000003</v>
      </c>
      <c r="X103" s="144">
        <f t="shared" si="161"/>
        <v>766.66666666666663</v>
      </c>
      <c r="Y103" s="150">
        <f t="shared" si="162"/>
        <v>255.55555555555554</v>
      </c>
      <c r="Z103" s="150">
        <f t="shared" si="163"/>
        <v>766.66666666666663</v>
      </c>
      <c r="AA103" s="150">
        <f t="shared" si="164"/>
        <v>2530</v>
      </c>
      <c r="AB103" s="182">
        <f t="shared" si="165"/>
        <v>143.11111111111109</v>
      </c>
      <c r="AC103" s="182">
        <f t="shared" si="166"/>
        <v>491.9444444444444</v>
      </c>
      <c r="AD103" s="182">
        <f t="shared" si="167"/>
        <v>920</v>
      </c>
      <c r="AE103" s="180">
        <f t="shared" si="168"/>
        <v>73.600000000000009</v>
      </c>
      <c r="AF103" s="150">
        <f t="shared" si="144"/>
        <v>828</v>
      </c>
      <c r="AG103" s="150">
        <f t="shared" si="145"/>
        <v>600</v>
      </c>
      <c r="AH103" s="150">
        <f t="shared" si="150"/>
        <v>10795.944444444445</v>
      </c>
      <c r="AI103" s="154">
        <f t="shared" si="146"/>
        <v>8763.5225919444474</v>
      </c>
      <c r="AJ103" s="70">
        <f t="shared" si="147"/>
        <v>8233.0301858333351</v>
      </c>
      <c r="AK103" s="155">
        <f t="shared" si="148"/>
        <v>0.21607714510627132</v>
      </c>
      <c r="AL103" s="155">
        <f t="shared" si="149"/>
        <v>0.28061966896918356</v>
      </c>
    </row>
    <row r="104" spans="2:38" s="102" customFormat="1" ht="15.75" customHeight="1" x14ac:dyDescent="0.2">
      <c r="B104" s="174" t="s">
        <v>326</v>
      </c>
      <c r="C104" s="171" t="s">
        <v>109</v>
      </c>
      <c r="D104" s="103">
        <v>176</v>
      </c>
      <c r="E104" s="104" t="s">
        <v>76</v>
      </c>
      <c r="F104" s="92">
        <v>0</v>
      </c>
      <c r="G104" s="219">
        <f>IF(F104&gt;0,F104,
IF(B104&lt;&gt;"",
IF(C104="CLT",VLOOKUP(B104,'Lista Profissionais'!$C$11:$H$348,3,0),
VLOOKUP(B104,'Lista Profissionais'!$C$11:$H$348,6,0)), 0))</f>
        <v>3040</v>
      </c>
      <c r="H104" s="219">
        <f>IF(B104&lt;&gt;"",
IF(C104="CLT",
       22*$M$5 + (G104*'Lista Profissionais'!$G$9),0),0)</f>
        <v>1158</v>
      </c>
      <c r="I104" s="66">
        <f t="shared" si="151"/>
        <v>3040</v>
      </c>
      <c r="J104" s="66">
        <f t="shared" si="142"/>
        <v>7377.3555555555558</v>
      </c>
      <c r="K104" s="66">
        <f t="shared" si="143"/>
        <v>10610.592288111111</v>
      </c>
      <c r="L104" s="93">
        <f t="shared" si="152"/>
        <v>41.916792929292932</v>
      </c>
      <c r="M104" s="151"/>
      <c r="N104" s="152">
        <v>0</v>
      </c>
      <c r="O104" s="69">
        <f t="shared" si="153"/>
        <v>0</v>
      </c>
      <c r="P104" s="69">
        <f t="shared" si="154"/>
        <v>13648.107777777779</v>
      </c>
      <c r="Q104" s="70">
        <f t="shared" si="155"/>
        <v>13648.107777777779</v>
      </c>
      <c r="R104" s="153">
        <f t="shared" si="156"/>
        <v>409.44323333333335</v>
      </c>
      <c r="S104" s="70">
        <v>0</v>
      </c>
      <c r="T104" s="165">
        <f t="shared" si="157"/>
        <v>14057.551011111113</v>
      </c>
      <c r="U104" s="163">
        <f t="shared" si="158"/>
        <v>79.872448926767689</v>
      </c>
      <c r="V104" s="164">
        <f t="shared" si="159"/>
        <v>243.20000000000002</v>
      </c>
      <c r="W104" s="164">
        <f t="shared" si="160"/>
        <v>97.280000000000015</v>
      </c>
      <c r="X104" s="144">
        <f t="shared" si="161"/>
        <v>253.33333333333334</v>
      </c>
      <c r="Y104" s="150">
        <f t="shared" si="162"/>
        <v>84.444444444444443</v>
      </c>
      <c r="Z104" s="150">
        <f t="shared" si="163"/>
        <v>253.33333333333334</v>
      </c>
      <c r="AA104" s="150">
        <f t="shared" si="164"/>
        <v>836.00000000000011</v>
      </c>
      <c r="AB104" s="182">
        <f t="shared" si="165"/>
        <v>47.288888888888884</v>
      </c>
      <c r="AC104" s="182">
        <f t="shared" si="166"/>
        <v>162.55555555555557</v>
      </c>
      <c r="AD104" s="182">
        <f t="shared" si="167"/>
        <v>304</v>
      </c>
      <c r="AE104" s="180">
        <f t="shared" si="168"/>
        <v>24.32</v>
      </c>
      <c r="AF104" s="150">
        <f t="shared" si="144"/>
        <v>273.59999999999997</v>
      </c>
      <c r="AG104" s="150">
        <f t="shared" si="145"/>
        <v>600</v>
      </c>
      <c r="AH104" s="150">
        <f t="shared" si="150"/>
        <v>4337.3555555555558</v>
      </c>
      <c r="AI104" s="154">
        <f t="shared" si="146"/>
        <v>3233.236732555556</v>
      </c>
      <c r="AJ104" s="70">
        <f t="shared" si="147"/>
        <v>3037.5154896666681</v>
      </c>
      <c r="AK104" s="155">
        <f t="shared" si="148"/>
        <v>0.21607714510627141</v>
      </c>
      <c r="AL104" s="155">
        <f t="shared" si="149"/>
        <v>0.28061966896918361</v>
      </c>
    </row>
    <row r="105" spans="2:38" s="102" customFormat="1" ht="15.75" customHeight="1" x14ac:dyDescent="0.2">
      <c r="B105" s="174" t="s">
        <v>327</v>
      </c>
      <c r="C105" s="171" t="s">
        <v>109</v>
      </c>
      <c r="D105" s="103">
        <v>176</v>
      </c>
      <c r="E105" s="104" t="s">
        <v>76</v>
      </c>
      <c r="F105" s="92">
        <v>0</v>
      </c>
      <c r="G105" s="219">
        <f>IF(F105&gt;0,F105,
IF(B105&lt;&gt;"",
IF(C105="CLT",VLOOKUP(B105,'Lista Profissionais'!$C$11:$H$348,3,0),
VLOOKUP(B105,'Lista Profissionais'!$C$11:$H$348,6,0)), 0))</f>
        <v>6000</v>
      </c>
      <c r="H105" s="219">
        <f>IF(B105&lt;&gt;"",
IF(C105="CLT",
       22*$M$5 + (G105*'Lista Profissionais'!$G$9),0),0)</f>
        <v>1750</v>
      </c>
      <c r="I105" s="66">
        <f t="shared" si="151"/>
        <v>6000</v>
      </c>
      <c r="J105" s="66">
        <f t="shared" si="142"/>
        <v>13440.833333333334</v>
      </c>
      <c r="K105" s="66">
        <f t="shared" si="143"/>
        <v>19331.480154166667</v>
      </c>
      <c r="L105" s="93">
        <f t="shared" si="152"/>
        <v>76.368371212121218</v>
      </c>
      <c r="M105" s="151"/>
      <c r="N105" s="152">
        <v>0</v>
      </c>
      <c r="O105" s="69">
        <f t="shared" si="153"/>
        <v>0</v>
      </c>
      <c r="P105" s="69">
        <f t="shared" si="154"/>
        <v>24865.541666666668</v>
      </c>
      <c r="Q105" s="70">
        <f t="shared" si="155"/>
        <v>24865.541666666668</v>
      </c>
      <c r="R105" s="153">
        <f t="shared" si="156"/>
        <v>745.96625000000006</v>
      </c>
      <c r="S105" s="70">
        <v>0</v>
      </c>
      <c r="T105" s="165">
        <f t="shared" si="157"/>
        <v>25611.507916666669</v>
      </c>
      <c r="U105" s="163">
        <f t="shared" si="158"/>
        <v>145.51993134469697</v>
      </c>
      <c r="V105" s="164">
        <f t="shared" si="159"/>
        <v>480</v>
      </c>
      <c r="W105" s="164">
        <f t="shared" si="160"/>
        <v>192</v>
      </c>
      <c r="X105" s="144">
        <f t="shared" si="161"/>
        <v>500</v>
      </c>
      <c r="Y105" s="150">
        <f t="shared" si="162"/>
        <v>166.66666666666666</v>
      </c>
      <c r="Z105" s="150">
        <f t="shared" si="163"/>
        <v>500</v>
      </c>
      <c r="AA105" s="150">
        <f t="shared" si="164"/>
        <v>1650.0000000000002</v>
      </c>
      <c r="AB105" s="182">
        <f t="shared" si="165"/>
        <v>93.333333333333329</v>
      </c>
      <c r="AC105" s="182">
        <f t="shared" si="166"/>
        <v>320.83333333333331</v>
      </c>
      <c r="AD105" s="182">
        <f t="shared" si="167"/>
        <v>600</v>
      </c>
      <c r="AE105" s="180">
        <f t="shared" si="168"/>
        <v>48</v>
      </c>
      <c r="AF105" s="150">
        <f t="shared" si="144"/>
        <v>540</v>
      </c>
      <c r="AG105" s="150">
        <f t="shared" si="145"/>
        <v>600</v>
      </c>
      <c r="AH105" s="150">
        <f t="shared" si="150"/>
        <v>7440.8333333333339</v>
      </c>
      <c r="AI105" s="154">
        <f t="shared" si="146"/>
        <v>5890.6468208333345</v>
      </c>
      <c r="AJ105" s="70">
        <f t="shared" si="147"/>
        <v>5534.0615124999995</v>
      </c>
      <c r="AK105" s="155">
        <f t="shared" si="148"/>
        <v>0.21607714510627127</v>
      </c>
      <c r="AL105" s="155">
        <f t="shared" si="149"/>
        <v>0.2806196689691835</v>
      </c>
    </row>
    <row r="106" spans="2:38" s="102" customFormat="1" ht="15.75" customHeight="1" x14ac:dyDescent="0.2">
      <c r="B106" s="174" t="s">
        <v>328</v>
      </c>
      <c r="C106" s="171" t="s">
        <v>109</v>
      </c>
      <c r="D106" s="103">
        <v>176</v>
      </c>
      <c r="E106" s="104" t="s">
        <v>76</v>
      </c>
      <c r="F106" s="92">
        <v>0</v>
      </c>
      <c r="G106" s="219">
        <f>IF(F106&gt;0,F106,
IF(B106&lt;&gt;"",
IF(C106="CLT",VLOOKUP(B106,'Lista Profissionais'!$C$11:$H$348,3,0),
VLOOKUP(B106,'Lista Profissionais'!$C$11:$H$348,6,0)), 0))</f>
        <v>8000</v>
      </c>
      <c r="H106" s="219">
        <f>IF(B106&lt;&gt;"",
IF(C106="CLT",
       22*$M$5 + (G106*'Lista Profissionais'!$G$9),0),0)</f>
        <v>2150</v>
      </c>
      <c r="I106" s="66">
        <f t="shared" si="151"/>
        <v>8000</v>
      </c>
      <c r="J106" s="66">
        <f t="shared" si="142"/>
        <v>17537.777777777777</v>
      </c>
      <c r="K106" s="66">
        <f t="shared" si="143"/>
        <v>25223.971955555557</v>
      </c>
      <c r="L106" s="93">
        <f t="shared" si="152"/>
        <v>99.646464646464651</v>
      </c>
      <c r="M106" s="151"/>
      <c r="N106" s="152">
        <v>0</v>
      </c>
      <c r="O106" s="69">
        <f t="shared" si="153"/>
        <v>0</v>
      </c>
      <c r="P106" s="69">
        <f t="shared" si="154"/>
        <v>32444.888888888891</v>
      </c>
      <c r="Q106" s="70">
        <f t="shared" si="155"/>
        <v>32444.888888888891</v>
      </c>
      <c r="R106" s="153">
        <f t="shared" si="156"/>
        <v>973.34666666666669</v>
      </c>
      <c r="S106" s="70">
        <v>0</v>
      </c>
      <c r="T106" s="165">
        <f t="shared" si="157"/>
        <v>33418.235555555555</v>
      </c>
      <c r="U106" s="163">
        <f t="shared" si="158"/>
        <v>189.87633838383837</v>
      </c>
      <c r="V106" s="164">
        <f t="shared" si="159"/>
        <v>640</v>
      </c>
      <c r="W106" s="164">
        <f t="shared" si="160"/>
        <v>256</v>
      </c>
      <c r="X106" s="144">
        <f t="shared" si="161"/>
        <v>666.66666666666663</v>
      </c>
      <c r="Y106" s="150">
        <f t="shared" si="162"/>
        <v>222.2222222222222</v>
      </c>
      <c r="Z106" s="150">
        <f t="shared" si="163"/>
        <v>666.66666666666663</v>
      </c>
      <c r="AA106" s="150">
        <f t="shared" si="164"/>
        <v>2200</v>
      </c>
      <c r="AB106" s="182">
        <f t="shared" si="165"/>
        <v>124.44444444444444</v>
      </c>
      <c r="AC106" s="182">
        <f t="shared" si="166"/>
        <v>427.77777777777777</v>
      </c>
      <c r="AD106" s="182">
        <f t="shared" si="167"/>
        <v>800</v>
      </c>
      <c r="AE106" s="180">
        <f t="shared" si="168"/>
        <v>64</v>
      </c>
      <c r="AF106" s="150">
        <f t="shared" si="144"/>
        <v>720</v>
      </c>
      <c r="AG106" s="150">
        <f t="shared" si="145"/>
        <v>600</v>
      </c>
      <c r="AH106" s="150">
        <f t="shared" si="150"/>
        <v>9537.7777777777774</v>
      </c>
      <c r="AI106" s="154">
        <f t="shared" si="146"/>
        <v>7686.1941777777783</v>
      </c>
      <c r="AJ106" s="70">
        <f t="shared" si="147"/>
        <v>7220.9169333333321</v>
      </c>
      <c r="AK106" s="155">
        <f t="shared" si="148"/>
        <v>0.2160771451062713</v>
      </c>
      <c r="AL106" s="155">
        <f t="shared" si="149"/>
        <v>0.2806196689691835</v>
      </c>
    </row>
    <row r="107" spans="2:38" s="102" customFormat="1" ht="15.75" customHeight="1" x14ac:dyDescent="0.2">
      <c r="B107" s="174" t="s">
        <v>1446</v>
      </c>
      <c r="C107" s="171" t="s">
        <v>109</v>
      </c>
      <c r="D107" s="103">
        <v>176</v>
      </c>
      <c r="E107" s="104" t="s">
        <v>76</v>
      </c>
      <c r="F107" s="92">
        <v>0</v>
      </c>
      <c r="G107" s="219">
        <f>IF(F107&gt;0,F107,
IF(B107&lt;&gt;"",
IF(C107="CLT",VLOOKUP(B107,'Lista Profissionais'!$C$11:$H$348,3,0),
VLOOKUP(B107,'Lista Profissionais'!$C$11:$H$348,6,0)), 0))</f>
        <v>4160</v>
      </c>
      <c r="H107" s="219">
        <f>IF(B107&lt;&gt;"",
IF(C107="CLT",
       22*$M$5 + (G107*'Lista Profissionais'!$G$9),0),0)</f>
        <v>1382</v>
      </c>
      <c r="I107" s="66">
        <f t="shared" si="151"/>
        <v>4160</v>
      </c>
      <c r="J107" s="66">
        <f t="shared" si="142"/>
        <v>9671.6444444444442</v>
      </c>
      <c r="K107" s="66">
        <f t="shared" si="143"/>
        <v>13910.387696888889</v>
      </c>
      <c r="L107" s="93">
        <f t="shared" si="152"/>
        <v>54.952525252525248</v>
      </c>
      <c r="M107" s="151"/>
      <c r="N107" s="152">
        <v>0</v>
      </c>
      <c r="O107" s="69">
        <f t="shared" si="153"/>
        <v>0</v>
      </c>
      <c r="P107" s="69">
        <f t="shared" si="154"/>
        <v>17892.542222222222</v>
      </c>
      <c r="Q107" s="70">
        <f t="shared" si="155"/>
        <v>17892.542222222222</v>
      </c>
      <c r="R107" s="153">
        <f t="shared" si="156"/>
        <v>536.77626666666663</v>
      </c>
      <c r="S107" s="70">
        <v>0</v>
      </c>
      <c r="T107" s="165">
        <f t="shared" si="157"/>
        <v>18429.31848888889</v>
      </c>
      <c r="U107" s="163">
        <f t="shared" si="158"/>
        <v>104.71203686868688</v>
      </c>
      <c r="V107" s="164">
        <f t="shared" si="159"/>
        <v>332.8</v>
      </c>
      <c r="W107" s="164">
        <f t="shared" si="160"/>
        <v>133.12</v>
      </c>
      <c r="X107" s="144">
        <f t="shared" si="161"/>
        <v>346.66666666666669</v>
      </c>
      <c r="Y107" s="150">
        <f t="shared" si="162"/>
        <v>115.55555555555556</v>
      </c>
      <c r="Z107" s="150">
        <f t="shared" si="163"/>
        <v>346.66666666666669</v>
      </c>
      <c r="AA107" s="150">
        <f t="shared" si="164"/>
        <v>1144</v>
      </c>
      <c r="AB107" s="182">
        <f t="shared" si="165"/>
        <v>64.711111111111109</v>
      </c>
      <c r="AC107" s="182">
        <f t="shared" si="166"/>
        <v>222.44444444444446</v>
      </c>
      <c r="AD107" s="182">
        <f t="shared" si="167"/>
        <v>416</v>
      </c>
      <c r="AE107" s="180">
        <f t="shared" si="168"/>
        <v>33.28</v>
      </c>
      <c r="AF107" s="150">
        <f t="shared" si="144"/>
        <v>374.4</v>
      </c>
      <c r="AG107" s="150">
        <f t="shared" si="145"/>
        <v>600</v>
      </c>
      <c r="AH107" s="150">
        <f t="shared" si="150"/>
        <v>5511.6444444444442</v>
      </c>
      <c r="AI107" s="154">
        <f t="shared" si="146"/>
        <v>4238.7432524444448</v>
      </c>
      <c r="AJ107" s="70">
        <f t="shared" si="147"/>
        <v>3982.1545253333343</v>
      </c>
      <c r="AK107" s="155">
        <f t="shared" si="148"/>
        <v>0.21607714510627135</v>
      </c>
      <c r="AL107" s="155">
        <f t="shared" si="149"/>
        <v>0.28061966896918361</v>
      </c>
    </row>
    <row r="108" spans="2:38" s="102" customFormat="1" ht="15.75" customHeight="1" x14ac:dyDescent="0.2">
      <c r="B108" s="174" t="s">
        <v>1447</v>
      </c>
      <c r="C108" s="171" t="s">
        <v>109</v>
      </c>
      <c r="D108" s="103">
        <v>176</v>
      </c>
      <c r="E108" s="104" t="s">
        <v>76</v>
      </c>
      <c r="F108" s="92">
        <v>0</v>
      </c>
      <c r="G108" s="219">
        <f>IF(F108&gt;0,F108,
IF(B108&lt;&gt;"",
IF(C108="CLT",VLOOKUP(B108,'Lista Profissionais'!$C$11:$H$348,3,0),
VLOOKUP(B108,'Lista Profissionais'!$C$11:$H$348,6,0)), 0))</f>
        <v>7280</v>
      </c>
      <c r="H108" s="219">
        <f>IF(B108&lt;&gt;"",
IF(C108="CLT",
       22*$M$5 + (G108*'Lista Profissionais'!$G$9),0),0)</f>
        <v>2006</v>
      </c>
      <c r="I108" s="66">
        <f t="shared" si="151"/>
        <v>7280.0000000000009</v>
      </c>
      <c r="J108" s="66">
        <f t="shared" si="142"/>
        <v>16062.87777777778</v>
      </c>
      <c r="K108" s="66">
        <f t="shared" si="143"/>
        <v>23102.67490705556</v>
      </c>
      <c r="L108" s="93">
        <f t="shared" si="152"/>
        <v>91.266351010101019</v>
      </c>
      <c r="M108" s="151"/>
      <c r="N108" s="152">
        <v>0</v>
      </c>
      <c r="O108" s="69">
        <f t="shared" si="153"/>
        <v>0</v>
      </c>
      <c r="P108" s="69">
        <f t="shared" si="154"/>
        <v>29716.323888888892</v>
      </c>
      <c r="Q108" s="70">
        <f t="shared" si="155"/>
        <v>29716.323888888892</v>
      </c>
      <c r="R108" s="153">
        <f t="shared" si="156"/>
        <v>891.48971666666671</v>
      </c>
      <c r="S108" s="70">
        <v>0</v>
      </c>
      <c r="T108" s="165">
        <f t="shared" si="157"/>
        <v>30607.813605555559</v>
      </c>
      <c r="U108" s="163">
        <f t="shared" si="158"/>
        <v>173.90803184974749</v>
      </c>
      <c r="V108" s="164">
        <f t="shared" si="159"/>
        <v>582.40000000000009</v>
      </c>
      <c r="W108" s="164">
        <f t="shared" si="160"/>
        <v>232.96000000000004</v>
      </c>
      <c r="X108" s="144">
        <f t="shared" si="161"/>
        <v>606.66666666666674</v>
      </c>
      <c r="Y108" s="150">
        <f t="shared" si="162"/>
        <v>202.22222222222226</v>
      </c>
      <c r="Z108" s="150">
        <f t="shared" si="163"/>
        <v>606.66666666666674</v>
      </c>
      <c r="AA108" s="150">
        <f t="shared" si="164"/>
        <v>2002.0000000000005</v>
      </c>
      <c r="AB108" s="182">
        <f t="shared" si="165"/>
        <v>113.24444444444445</v>
      </c>
      <c r="AC108" s="182">
        <f t="shared" si="166"/>
        <v>389.27777777777783</v>
      </c>
      <c r="AD108" s="182">
        <f t="shared" si="167"/>
        <v>728</v>
      </c>
      <c r="AE108" s="180">
        <f t="shared" si="168"/>
        <v>58.24</v>
      </c>
      <c r="AF108" s="150">
        <f t="shared" si="144"/>
        <v>655.20000000000005</v>
      </c>
      <c r="AG108" s="150">
        <f t="shared" si="145"/>
        <v>600</v>
      </c>
      <c r="AH108" s="150">
        <f t="shared" si="150"/>
        <v>8782.8777777777796</v>
      </c>
      <c r="AI108" s="154">
        <f t="shared" si="146"/>
        <v>7039.7971292777784</v>
      </c>
      <c r="AJ108" s="70">
        <f t="shared" si="147"/>
        <v>6613.6489818333321</v>
      </c>
      <c r="AK108" s="155">
        <f t="shared" si="148"/>
        <v>0.21607714510627127</v>
      </c>
      <c r="AL108" s="155">
        <f t="shared" si="149"/>
        <v>0.28061966896918344</v>
      </c>
    </row>
    <row r="109" spans="2:38" s="102" customFormat="1" ht="15.75" customHeight="1" x14ac:dyDescent="0.2">
      <c r="B109" s="174" t="s">
        <v>1448</v>
      </c>
      <c r="C109" s="171" t="s">
        <v>109</v>
      </c>
      <c r="D109" s="103">
        <v>176</v>
      </c>
      <c r="E109" s="104" t="s">
        <v>76</v>
      </c>
      <c r="F109" s="92">
        <v>0</v>
      </c>
      <c r="G109" s="219">
        <f>IF(F109&gt;0,F109,
IF(B109&lt;&gt;"",
IF(C109="CLT",VLOOKUP(B109,'Lista Profissionais'!$C$11:$H$348,3,0),
VLOOKUP(B109,'Lista Profissionais'!$C$11:$H$348,6,0)), 0))</f>
        <v>9600</v>
      </c>
      <c r="H109" s="219">
        <f>IF(B109&lt;&gt;"",
IF(C109="CLT",
       22*$M$5 + (G109*'Lista Profissionais'!$G$9),0),0)</f>
        <v>2470</v>
      </c>
      <c r="I109" s="66">
        <f t="shared" si="151"/>
        <v>9600</v>
      </c>
      <c r="J109" s="66">
        <f t="shared" si="142"/>
        <v>20815.333333333332</v>
      </c>
      <c r="K109" s="66">
        <f t="shared" si="143"/>
        <v>29937.965396666666</v>
      </c>
      <c r="L109" s="93">
        <f t="shared" si="152"/>
        <v>118.26893939393939</v>
      </c>
      <c r="M109" s="151"/>
      <c r="N109" s="152">
        <v>0</v>
      </c>
      <c r="O109" s="69">
        <f t="shared" si="153"/>
        <v>0</v>
      </c>
      <c r="P109" s="69">
        <f t="shared" si="154"/>
        <v>38508.366666666669</v>
      </c>
      <c r="Q109" s="70">
        <f t="shared" si="155"/>
        <v>38508.366666666669</v>
      </c>
      <c r="R109" s="153">
        <f t="shared" si="156"/>
        <v>1155.251</v>
      </c>
      <c r="S109" s="70">
        <v>0</v>
      </c>
      <c r="T109" s="165">
        <f t="shared" si="157"/>
        <v>39663.617666666665</v>
      </c>
      <c r="U109" s="163">
        <f t="shared" si="158"/>
        <v>225.36146401515151</v>
      </c>
      <c r="V109" s="164">
        <f t="shared" si="159"/>
        <v>768</v>
      </c>
      <c r="W109" s="164">
        <f t="shared" si="160"/>
        <v>307.20000000000005</v>
      </c>
      <c r="X109" s="144">
        <f t="shared" si="161"/>
        <v>800</v>
      </c>
      <c r="Y109" s="150">
        <f t="shared" si="162"/>
        <v>266.66666666666669</v>
      </c>
      <c r="Z109" s="150">
        <f t="shared" si="163"/>
        <v>800</v>
      </c>
      <c r="AA109" s="150">
        <f t="shared" si="164"/>
        <v>2640</v>
      </c>
      <c r="AB109" s="182">
        <f t="shared" si="165"/>
        <v>149.33333333333334</v>
      </c>
      <c r="AC109" s="182">
        <f t="shared" si="166"/>
        <v>513.33333333333337</v>
      </c>
      <c r="AD109" s="182">
        <f t="shared" si="167"/>
        <v>960</v>
      </c>
      <c r="AE109" s="180">
        <f t="shared" si="168"/>
        <v>76.8</v>
      </c>
      <c r="AF109" s="150">
        <f t="shared" si="144"/>
        <v>864</v>
      </c>
      <c r="AG109" s="150">
        <f t="shared" si="145"/>
        <v>600</v>
      </c>
      <c r="AH109" s="150">
        <f t="shared" si="150"/>
        <v>11215.333333333332</v>
      </c>
      <c r="AI109" s="154">
        <f t="shared" si="146"/>
        <v>9122.6320633333326</v>
      </c>
      <c r="AJ109" s="70">
        <f t="shared" si="147"/>
        <v>8570.4012700000021</v>
      </c>
      <c r="AK109" s="155">
        <f t="shared" si="148"/>
        <v>0.21607714510627138</v>
      </c>
      <c r="AL109" s="155">
        <f t="shared" si="149"/>
        <v>0.28061966896918361</v>
      </c>
    </row>
    <row r="110" spans="2:38" s="102" customFormat="1" ht="15.75" customHeight="1" x14ac:dyDescent="0.2">
      <c r="B110" s="174" t="s">
        <v>333</v>
      </c>
      <c r="C110" s="171" t="s">
        <v>109</v>
      </c>
      <c r="D110" s="103">
        <v>176</v>
      </c>
      <c r="E110" s="104" t="s">
        <v>76</v>
      </c>
      <c r="F110" s="92">
        <v>0</v>
      </c>
      <c r="G110" s="219">
        <f>IF(F110&gt;0,F110,
IF(B110&lt;&gt;"",
IF(C110="CLT",VLOOKUP(B110,'Lista Profissionais'!$C$11:$H$348,3,0),
VLOOKUP(B110,'Lista Profissionais'!$C$11:$H$348,6,0)), 0))</f>
        <v>3600</v>
      </c>
      <c r="H110" s="219">
        <f>IF(B110&lt;&gt;"",
IF(C110="CLT",
       22*$M$5 + (G110*'Lista Profissionais'!$G$9),0),0)</f>
        <v>1270</v>
      </c>
      <c r="I110" s="66">
        <f t="shared" si="151"/>
        <v>3600</v>
      </c>
      <c r="J110" s="66">
        <f t="shared" si="142"/>
        <v>8524.5</v>
      </c>
      <c r="K110" s="66">
        <f t="shared" si="143"/>
        <v>12260.489992500001</v>
      </c>
      <c r="L110" s="93">
        <f t="shared" si="152"/>
        <v>48.434659090909093</v>
      </c>
      <c r="M110" s="151"/>
      <c r="N110" s="152">
        <v>0</v>
      </c>
      <c r="O110" s="69">
        <f t="shared" si="153"/>
        <v>0</v>
      </c>
      <c r="P110" s="69">
        <f t="shared" si="154"/>
        <v>15770.325000000001</v>
      </c>
      <c r="Q110" s="70">
        <f t="shared" si="155"/>
        <v>15770.325000000001</v>
      </c>
      <c r="R110" s="153">
        <f t="shared" si="156"/>
        <v>473.10975000000002</v>
      </c>
      <c r="S110" s="70">
        <v>0</v>
      </c>
      <c r="T110" s="165">
        <f t="shared" si="157"/>
        <v>16243.43475</v>
      </c>
      <c r="U110" s="163">
        <f t="shared" si="158"/>
        <v>92.292242897727277</v>
      </c>
      <c r="V110" s="164">
        <f t="shared" si="159"/>
        <v>288</v>
      </c>
      <c r="W110" s="164">
        <f t="shared" si="160"/>
        <v>115.2</v>
      </c>
      <c r="X110" s="144">
        <f t="shared" si="161"/>
        <v>300</v>
      </c>
      <c r="Y110" s="150">
        <f t="shared" si="162"/>
        <v>100</v>
      </c>
      <c r="Z110" s="150">
        <f t="shared" si="163"/>
        <v>300</v>
      </c>
      <c r="AA110" s="150">
        <f t="shared" si="164"/>
        <v>990.00000000000011</v>
      </c>
      <c r="AB110" s="182">
        <f t="shared" si="165"/>
        <v>56</v>
      </c>
      <c r="AC110" s="182">
        <f t="shared" si="166"/>
        <v>192.50000000000003</v>
      </c>
      <c r="AD110" s="182">
        <f t="shared" si="167"/>
        <v>360</v>
      </c>
      <c r="AE110" s="180">
        <f t="shared" si="168"/>
        <v>28.8</v>
      </c>
      <c r="AF110" s="150">
        <f t="shared" si="144"/>
        <v>324</v>
      </c>
      <c r="AG110" s="150">
        <f t="shared" si="145"/>
        <v>600</v>
      </c>
      <c r="AH110" s="150">
        <f t="shared" si="150"/>
        <v>4924.5</v>
      </c>
      <c r="AI110" s="154">
        <f t="shared" si="146"/>
        <v>3735.9899925000004</v>
      </c>
      <c r="AJ110" s="70">
        <f t="shared" si="147"/>
        <v>3509.8350074999994</v>
      </c>
      <c r="AK110" s="155">
        <f t="shared" si="148"/>
        <v>0.21607714510627127</v>
      </c>
      <c r="AL110" s="155">
        <f t="shared" si="149"/>
        <v>0.2806196689691835</v>
      </c>
    </row>
    <row r="111" spans="2:38" s="102" customFormat="1" ht="15.75" customHeight="1" x14ac:dyDescent="0.2">
      <c r="B111" s="174" t="s">
        <v>334</v>
      </c>
      <c r="C111" s="171" t="s">
        <v>109</v>
      </c>
      <c r="D111" s="103">
        <v>176</v>
      </c>
      <c r="E111" s="104" t="s">
        <v>76</v>
      </c>
      <c r="F111" s="92">
        <v>0</v>
      </c>
      <c r="G111" s="219">
        <f>IF(F111&gt;0,F111,
IF(B111&lt;&gt;"",
IF(C111="CLT",VLOOKUP(B111,'Lista Profissionais'!$C$11:$H$348,3,0),
VLOOKUP(B111,'Lista Profissionais'!$C$11:$H$348,6,0)), 0))</f>
        <v>6400</v>
      </c>
      <c r="H111" s="219">
        <f>IF(B111&lt;&gt;"",
IF(C111="CLT",
       22*$M$5 + (G111*'Lista Profissionais'!$G$9),0),0)</f>
        <v>1830</v>
      </c>
      <c r="I111" s="66">
        <f t="shared" si="151"/>
        <v>6400.0000000000009</v>
      </c>
      <c r="J111" s="66">
        <f t="shared" si="142"/>
        <v>14260.222222222224</v>
      </c>
      <c r="K111" s="66">
        <f t="shared" si="143"/>
        <v>20509.978514444447</v>
      </c>
      <c r="L111" s="93">
        <f t="shared" si="152"/>
        <v>81.02398989898991</v>
      </c>
      <c r="M111" s="151"/>
      <c r="N111" s="152">
        <v>0</v>
      </c>
      <c r="O111" s="69">
        <f t="shared" si="153"/>
        <v>0</v>
      </c>
      <c r="P111" s="69">
        <f t="shared" si="154"/>
        <v>26381.411111111116</v>
      </c>
      <c r="Q111" s="70">
        <f t="shared" si="155"/>
        <v>26381.411111111116</v>
      </c>
      <c r="R111" s="153">
        <f t="shared" si="156"/>
        <v>791.44233333333341</v>
      </c>
      <c r="S111" s="70">
        <v>0</v>
      </c>
      <c r="T111" s="165">
        <f t="shared" si="157"/>
        <v>27172.853444444449</v>
      </c>
      <c r="U111" s="163">
        <f t="shared" si="158"/>
        <v>154.39121275252526</v>
      </c>
      <c r="V111" s="164">
        <f t="shared" si="159"/>
        <v>512.00000000000011</v>
      </c>
      <c r="W111" s="164">
        <f t="shared" si="160"/>
        <v>204.80000000000007</v>
      </c>
      <c r="X111" s="144">
        <f t="shared" si="161"/>
        <v>533.33333333333337</v>
      </c>
      <c r="Y111" s="150">
        <f t="shared" si="162"/>
        <v>177.7777777777778</v>
      </c>
      <c r="Z111" s="150">
        <f t="shared" si="163"/>
        <v>533.33333333333337</v>
      </c>
      <c r="AA111" s="150">
        <f t="shared" si="164"/>
        <v>1760.0000000000005</v>
      </c>
      <c r="AB111" s="182">
        <f t="shared" si="165"/>
        <v>99.555555555555571</v>
      </c>
      <c r="AC111" s="182">
        <f t="shared" si="166"/>
        <v>342.22222222222229</v>
      </c>
      <c r="AD111" s="182">
        <f t="shared" si="167"/>
        <v>640.00000000000011</v>
      </c>
      <c r="AE111" s="180">
        <f t="shared" si="168"/>
        <v>51.20000000000001</v>
      </c>
      <c r="AF111" s="150">
        <f t="shared" si="144"/>
        <v>576.00000000000011</v>
      </c>
      <c r="AG111" s="150">
        <f t="shared" si="145"/>
        <v>600</v>
      </c>
      <c r="AH111" s="150">
        <f t="shared" si="150"/>
        <v>7860.2222222222235</v>
      </c>
      <c r="AI111" s="154">
        <f t="shared" si="146"/>
        <v>6249.7562922222232</v>
      </c>
      <c r="AJ111" s="70">
        <f t="shared" si="147"/>
        <v>5871.4325966666665</v>
      </c>
      <c r="AK111" s="155">
        <f t="shared" si="148"/>
        <v>0.2160771451062713</v>
      </c>
      <c r="AL111" s="155">
        <f t="shared" si="149"/>
        <v>0.2806196689691835</v>
      </c>
    </row>
    <row r="112" spans="2:38" s="102" customFormat="1" ht="15.75" customHeight="1" x14ac:dyDescent="0.2">
      <c r="B112" s="174" t="s">
        <v>335</v>
      </c>
      <c r="C112" s="171" t="s">
        <v>109</v>
      </c>
      <c r="D112" s="103">
        <v>176</v>
      </c>
      <c r="E112" s="104" t="s">
        <v>76</v>
      </c>
      <c r="F112" s="92">
        <v>0</v>
      </c>
      <c r="G112" s="219">
        <f>IF(F112&gt;0,F112,
IF(B112&lt;&gt;"",
IF(C112="CLT",VLOOKUP(B112,'Lista Profissionais'!$C$11:$H$348,3,0),
VLOOKUP(B112,'Lista Profissionais'!$C$11:$H$348,6,0)), 0))</f>
        <v>8400</v>
      </c>
      <c r="H112" s="219">
        <f>IF(B112&lt;&gt;"",
IF(C112="CLT",
       22*$M$5 + (G112*'Lista Profissionais'!$G$9),0),0)</f>
        <v>2230</v>
      </c>
      <c r="I112" s="66">
        <f t="shared" si="151"/>
        <v>8400</v>
      </c>
      <c r="J112" s="66">
        <f t="shared" si="142"/>
        <v>18357.166666666668</v>
      </c>
      <c r="K112" s="66">
        <f t="shared" si="143"/>
        <v>26402.470315833336</v>
      </c>
      <c r="L112" s="93">
        <f t="shared" si="152"/>
        <v>104.30208333333334</v>
      </c>
      <c r="M112" s="151"/>
      <c r="N112" s="152">
        <v>0</v>
      </c>
      <c r="O112" s="69">
        <f t="shared" si="153"/>
        <v>0</v>
      </c>
      <c r="P112" s="69">
        <f t="shared" si="154"/>
        <v>33960.758333333339</v>
      </c>
      <c r="Q112" s="70">
        <f t="shared" si="155"/>
        <v>33960.758333333339</v>
      </c>
      <c r="R112" s="153">
        <f t="shared" si="156"/>
        <v>1018.8227500000002</v>
      </c>
      <c r="S112" s="70">
        <v>0</v>
      </c>
      <c r="T112" s="165">
        <f t="shared" si="157"/>
        <v>34979.581083333338</v>
      </c>
      <c r="U112" s="163">
        <f t="shared" si="158"/>
        <v>198.74761979166669</v>
      </c>
      <c r="V112" s="164">
        <f t="shared" si="159"/>
        <v>672</v>
      </c>
      <c r="W112" s="164">
        <f t="shared" si="160"/>
        <v>268.8</v>
      </c>
      <c r="X112" s="144">
        <f t="shared" si="161"/>
        <v>700</v>
      </c>
      <c r="Y112" s="150">
        <f t="shared" si="162"/>
        <v>233.33333333333334</v>
      </c>
      <c r="Z112" s="150">
        <f t="shared" si="163"/>
        <v>700</v>
      </c>
      <c r="AA112" s="150">
        <f t="shared" si="164"/>
        <v>2310</v>
      </c>
      <c r="AB112" s="182">
        <f t="shared" si="165"/>
        <v>130.66666666666669</v>
      </c>
      <c r="AC112" s="182">
        <f t="shared" si="166"/>
        <v>449.16666666666674</v>
      </c>
      <c r="AD112" s="182">
        <f t="shared" si="167"/>
        <v>840</v>
      </c>
      <c r="AE112" s="180">
        <f t="shared" si="168"/>
        <v>67.2</v>
      </c>
      <c r="AF112" s="150">
        <f t="shared" si="144"/>
        <v>756</v>
      </c>
      <c r="AG112" s="150">
        <f t="shared" si="145"/>
        <v>600</v>
      </c>
      <c r="AH112" s="150">
        <f t="shared" si="150"/>
        <v>9957.1666666666679</v>
      </c>
      <c r="AI112" s="154">
        <f t="shared" si="146"/>
        <v>8045.303649166668</v>
      </c>
      <c r="AJ112" s="70">
        <f t="shared" si="147"/>
        <v>7558.2880175000018</v>
      </c>
      <c r="AK112" s="155">
        <f t="shared" si="148"/>
        <v>0.21607714510627135</v>
      </c>
      <c r="AL112" s="155">
        <f t="shared" si="149"/>
        <v>0.28061966896918356</v>
      </c>
    </row>
    <row r="113" spans="2:38" s="102" customFormat="1" ht="15.75" customHeight="1" x14ac:dyDescent="0.2">
      <c r="B113" s="174" t="s">
        <v>361</v>
      </c>
      <c r="C113" s="171" t="s">
        <v>109</v>
      </c>
      <c r="D113" s="103">
        <v>176</v>
      </c>
      <c r="E113" s="104" t="s">
        <v>76</v>
      </c>
      <c r="F113" s="92">
        <v>0</v>
      </c>
      <c r="G113" s="219">
        <f>IF(F113&gt;0,F113,
IF(B113&lt;&gt;"",
IF(C113="CLT",VLOOKUP(B113,'Lista Profissionais'!$C$11:$H$348,3,0),
VLOOKUP(B113,'Lista Profissionais'!$C$11:$H$348,6,0)), 0))</f>
        <v>12800</v>
      </c>
      <c r="H113" s="219">
        <f>IF(B113&lt;&gt;"",
IF(C113="CLT",
       22*$M$5 + (G113*'Lista Profissionais'!$G$9),0),0)</f>
        <v>3110</v>
      </c>
      <c r="I113" s="66">
        <f t="shared" ref="I113:I116" si="169">(G113/$G$2)*D113</f>
        <v>12800.000000000002</v>
      </c>
      <c r="J113" s="66">
        <f t="shared" ref="J113:J116" si="170">I113+AH113</f>
        <v>27370.444444444449</v>
      </c>
      <c r="K113" s="66">
        <f t="shared" ref="K113:K116" si="171">J113+S113+AI113</f>
        <v>39365.952278888901</v>
      </c>
      <c r="L113" s="93">
        <f t="shared" ref="L113:L116" si="172">IF(D113&gt;0,J113/D113,0)</f>
        <v>155.51388888888891</v>
      </c>
      <c r="M113" s="151"/>
      <c r="N113" s="152">
        <v>0</v>
      </c>
      <c r="O113" s="69">
        <f t="shared" ref="O113:O117" si="173">J113*$G$6</f>
        <v>0</v>
      </c>
      <c r="P113" s="69">
        <f t="shared" ref="P113:P117" si="174">IF(M113&gt;0,M113,  J113*(1+$G$5))</f>
        <v>50635.322222222232</v>
      </c>
      <c r="Q113" s="70">
        <f t="shared" ref="Q113:Q117" si="175">(P113+O113)</f>
        <v>50635.322222222232</v>
      </c>
      <c r="R113" s="153">
        <f t="shared" ref="R113:R117" si="176">IF(E113="Sim", Q113*$G$3,0)</f>
        <v>1519.059666666667</v>
      </c>
      <c r="S113" s="70">
        <v>0</v>
      </c>
      <c r="T113" s="165">
        <f t="shared" si="157"/>
        <v>52154.3818888889</v>
      </c>
      <c r="U113" s="163">
        <f t="shared" ref="U113:U116" si="177">IF(D113&gt;0,T113/D113,0)</f>
        <v>296.33171527777785</v>
      </c>
      <c r="V113" s="164">
        <f t="shared" ref="V113:V116" si="178">IF(C113="CLT",
       I113*$M$2, 0)</f>
        <v>1024.0000000000002</v>
      </c>
      <c r="W113" s="164">
        <f t="shared" ref="W113:W116" si="179">IF(C113="CLT",
       V113*$M$3, 0)</f>
        <v>409.60000000000014</v>
      </c>
      <c r="X113" s="144">
        <f t="shared" ref="X113:X116" si="180">IF(C113="CLT",
       I113/12, 0)</f>
        <v>1066.6666666666667</v>
      </c>
      <c r="Y113" s="150">
        <f t="shared" ref="Y113:Y116" si="181">IF(C113="CLT",
       X113/3, 0)</f>
        <v>355.5555555555556</v>
      </c>
      <c r="Z113" s="150">
        <f t="shared" ref="Z113:Z116" si="182">IF(C113="CLT",
       I113/12, 0)</f>
        <v>1066.6666666666667</v>
      </c>
      <c r="AA113" s="150">
        <f t="shared" ref="AA113:AA116" si="183">IF(C113="CLT", I113*$S$2,0)</f>
        <v>3520.0000000000009</v>
      </c>
      <c r="AB113" s="182">
        <f t="shared" ref="AB113:AB116" si="184">IF(C113="CLT", SUM(X113:Z113) * $M$2,0)</f>
        <v>199.11111111111114</v>
      </c>
      <c r="AC113" s="182">
        <f t="shared" ref="AC113:AC117" si="185">IF(C113="CLT", SUM(X113:Z113)*$S$2,0)</f>
        <v>684.44444444444457</v>
      </c>
      <c r="AD113" s="182">
        <f t="shared" ref="AD113:AD117" si="186">IF(C113="CLT",
       I113/30*3, 0)</f>
        <v>1280.0000000000002</v>
      </c>
      <c r="AE113" s="180">
        <f t="shared" ref="AE113:AE117" si="187">IF(C113="CLT",  AD113*$M$2, 0)</f>
        <v>102.40000000000002</v>
      </c>
      <c r="AF113" s="150">
        <f t="shared" ref="AF113:AF117" si="188">IF(C113="CLT",
       I113*$M$4, 0)</f>
        <v>1152.0000000000002</v>
      </c>
      <c r="AG113" s="150">
        <f t="shared" ref="AG113:AG117" si="189">IF(B113&lt;&gt;"",
IF(C113="CLT",
       $Q$2, 0),0)</f>
        <v>600</v>
      </c>
      <c r="AH113" s="150">
        <f t="shared" ref="AH113:AH117" si="190">SUM(V113:AG113)+H113</f>
        <v>14570.444444444447</v>
      </c>
      <c r="AI113" s="154">
        <f t="shared" ref="AI113:AI117" si="191">IF(E113="Sim", T113*$G$4, 0)</f>
        <v>11995.507834444448</v>
      </c>
      <c r="AJ113" s="70">
        <f t="shared" si="147"/>
        <v>11269.369943333335</v>
      </c>
      <c r="AK113" s="155">
        <f t="shared" si="148"/>
        <v>0.2160771451062713</v>
      </c>
      <c r="AL113" s="155">
        <f t="shared" si="149"/>
        <v>0.2806196689691835</v>
      </c>
    </row>
    <row r="114" spans="2:38" s="102" customFormat="1" ht="15.75" customHeight="1" x14ac:dyDescent="0.2">
      <c r="B114" s="174" t="s">
        <v>362</v>
      </c>
      <c r="C114" s="171" t="s">
        <v>109</v>
      </c>
      <c r="D114" s="103">
        <v>176</v>
      </c>
      <c r="E114" s="104" t="s">
        <v>76</v>
      </c>
      <c r="F114" s="92">
        <v>0</v>
      </c>
      <c r="G114" s="219">
        <f>IF(F114&gt;0,F114,
IF(B114&lt;&gt;"",
IF(C114="CLT",VLOOKUP(B114,'Lista Profissionais'!$C$11:$H$348,3,0),
VLOOKUP(B114,'Lista Profissionais'!$C$11:$H$348,6,0)), 0))</f>
        <v>4800</v>
      </c>
      <c r="H114" s="219">
        <f>IF(B114&lt;&gt;"",
IF(C114="CLT",
       22*$M$5 + (G114*'Lista Profissionais'!$G$9),0),0)</f>
        <v>1510</v>
      </c>
      <c r="I114" s="66">
        <f t="shared" si="169"/>
        <v>4800</v>
      </c>
      <c r="J114" s="66">
        <f t="shared" si="170"/>
        <v>10982.666666666666</v>
      </c>
      <c r="K114" s="66">
        <f t="shared" si="171"/>
        <v>15795.985073333333</v>
      </c>
      <c r="L114" s="93">
        <f t="shared" si="172"/>
        <v>62.401515151515149</v>
      </c>
      <c r="M114" s="151"/>
      <c r="N114" s="152">
        <v>0</v>
      </c>
      <c r="O114" s="69">
        <f t="shared" si="173"/>
        <v>0</v>
      </c>
      <c r="P114" s="69">
        <f t="shared" si="174"/>
        <v>20317.933333333334</v>
      </c>
      <c r="Q114" s="70">
        <f t="shared" si="175"/>
        <v>20317.933333333334</v>
      </c>
      <c r="R114" s="153">
        <f t="shared" si="176"/>
        <v>609.53800000000001</v>
      </c>
      <c r="S114" s="70">
        <v>0</v>
      </c>
      <c r="T114" s="165">
        <f t="shared" si="157"/>
        <v>20927.471333333335</v>
      </c>
      <c r="U114" s="163">
        <f t="shared" si="177"/>
        <v>118.90608712121212</v>
      </c>
      <c r="V114" s="164">
        <f t="shared" si="178"/>
        <v>384</v>
      </c>
      <c r="W114" s="164">
        <f t="shared" si="179"/>
        <v>153.60000000000002</v>
      </c>
      <c r="X114" s="144">
        <f t="shared" si="180"/>
        <v>400</v>
      </c>
      <c r="Y114" s="150">
        <f t="shared" si="181"/>
        <v>133.33333333333334</v>
      </c>
      <c r="Z114" s="150">
        <f t="shared" si="182"/>
        <v>400</v>
      </c>
      <c r="AA114" s="150">
        <f t="shared" si="183"/>
        <v>1320</v>
      </c>
      <c r="AB114" s="182">
        <f t="shared" si="184"/>
        <v>74.666666666666671</v>
      </c>
      <c r="AC114" s="182">
        <f t="shared" si="185"/>
        <v>256.66666666666669</v>
      </c>
      <c r="AD114" s="182">
        <f t="shared" si="186"/>
        <v>480</v>
      </c>
      <c r="AE114" s="180">
        <f t="shared" si="187"/>
        <v>38.4</v>
      </c>
      <c r="AF114" s="150">
        <f t="shared" si="188"/>
        <v>432</v>
      </c>
      <c r="AG114" s="150">
        <f t="shared" si="189"/>
        <v>600</v>
      </c>
      <c r="AH114" s="150">
        <f t="shared" si="190"/>
        <v>6182.6666666666661</v>
      </c>
      <c r="AI114" s="154">
        <f t="shared" si="191"/>
        <v>4813.3184066666672</v>
      </c>
      <c r="AJ114" s="70">
        <f t="shared" si="147"/>
        <v>4521.948260000001</v>
      </c>
      <c r="AK114" s="155">
        <f t="shared" si="148"/>
        <v>0.21607714510627135</v>
      </c>
      <c r="AL114" s="155">
        <f t="shared" si="149"/>
        <v>0.28061966896918356</v>
      </c>
    </row>
    <row r="115" spans="2:38" s="102" customFormat="1" ht="15.75" customHeight="1" x14ac:dyDescent="0.2">
      <c r="B115" s="174" t="s">
        <v>363</v>
      </c>
      <c r="C115" s="171" t="s">
        <v>109</v>
      </c>
      <c r="D115" s="103">
        <v>176</v>
      </c>
      <c r="E115" s="104" t="s">
        <v>76</v>
      </c>
      <c r="F115" s="92">
        <v>0</v>
      </c>
      <c r="G115" s="219">
        <f>IF(F115&gt;0,F115,
IF(B115&lt;&gt;"",
IF(C115="CLT",VLOOKUP(B115,'Lista Profissionais'!$C$11:$H$348,3,0),
VLOOKUP(B115,'Lista Profissionais'!$C$11:$H$348,6,0)), 0))</f>
        <v>6800</v>
      </c>
      <c r="H115" s="219">
        <f>IF(B115&lt;&gt;"",
IF(C115="CLT",
       22*$M$5 + (G115*'Lista Profissionais'!$G$9),0),0)</f>
        <v>1910</v>
      </c>
      <c r="I115" s="66">
        <f t="shared" si="169"/>
        <v>6799.9999999999991</v>
      </c>
      <c r="J115" s="66">
        <f t="shared" si="170"/>
        <v>15079.611111111109</v>
      </c>
      <c r="K115" s="66">
        <f t="shared" si="171"/>
        <v>21688.476874722219</v>
      </c>
      <c r="L115" s="93">
        <f t="shared" si="172"/>
        <v>85.679608585858574</v>
      </c>
      <c r="M115" s="151"/>
      <c r="N115" s="152">
        <v>0</v>
      </c>
      <c r="O115" s="69">
        <f t="shared" si="173"/>
        <v>0</v>
      </c>
      <c r="P115" s="69">
        <f t="shared" si="174"/>
        <v>27897.280555555553</v>
      </c>
      <c r="Q115" s="70">
        <f t="shared" si="175"/>
        <v>27897.280555555553</v>
      </c>
      <c r="R115" s="153">
        <f t="shared" si="176"/>
        <v>836.91841666666653</v>
      </c>
      <c r="S115" s="70">
        <v>0</v>
      </c>
      <c r="T115" s="165">
        <f t="shared" si="157"/>
        <v>28734.198972222221</v>
      </c>
      <c r="U115" s="163">
        <f t="shared" si="177"/>
        <v>163.26249416035353</v>
      </c>
      <c r="V115" s="164">
        <f t="shared" si="178"/>
        <v>543.99999999999989</v>
      </c>
      <c r="W115" s="164">
        <f t="shared" si="179"/>
        <v>217.59999999999997</v>
      </c>
      <c r="X115" s="144">
        <f t="shared" si="180"/>
        <v>566.66666666666663</v>
      </c>
      <c r="Y115" s="150">
        <f t="shared" si="181"/>
        <v>188.88888888888889</v>
      </c>
      <c r="Z115" s="150">
        <f t="shared" si="182"/>
        <v>566.66666666666663</v>
      </c>
      <c r="AA115" s="150">
        <f t="shared" si="183"/>
        <v>1870</v>
      </c>
      <c r="AB115" s="182">
        <f t="shared" si="184"/>
        <v>105.77777777777777</v>
      </c>
      <c r="AC115" s="182">
        <f t="shared" si="185"/>
        <v>363.61111111111114</v>
      </c>
      <c r="AD115" s="182">
        <f t="shared" si="186"/>
        <v>679.99999999999989</v>
      </c>
      <c r="AE115" s="180">
        <f t="shared" si="187"/>
        <v>54.399999999999991</v>
      </c>
      <c r="AF115" s="150">
        <f t="shared" si="188"/>
        <v>611.99999999999989</v>
      </c>
      <c r="AG115" s="150">
        <f t="shared" si="189"/>
        <v>600</v>
      </c>
      <c r="AH115" s="150">
        <f t="shared" si="190"/>
        <v>8279.6111111111095</v>
      </c>
      <c r="AI115" s="154">
        <f t="shared" si="191"/>
        <v>6608.8657636111111</v>
      </c>
      <c r="AJ115" s="70">
        <f t="shared" si="147"/>
        <v>6208.8036808333354</v>
      </c>
      <c r="AK115" s="155">
        <f t="shared" si="148"/>
        <v>0.21607714510627141</v>
      </c>
      <c r="AL115" s="155">
        <f t="shared" si="149"/>
        <v>0.28061966896918361</v>
      </c>
    </row>
    <row r="116" spans="2:38" s="102" customFormat="1" ht="15.75" customHeight="1" x14ac:dyDescent="0.2">
      <c r="B116" s="174" t="s">
        <v>364</v>
      </c>
      <c r="C116" s="171" t="s">
        <v>109</v>
      </c>
      <c r="D116" s="103">
        <v>176</v>
      </c>
      <c r="E116" s="104" t="s">
        <v>76</v>
      </c>
      <c r="F116" s="92">
        <v>0</v>
      </c>
      <c r="G116" s="219">
        <f>IF(F116&gt;0,F116,
IF(B116&lt;&gt;"",
IF(C116="CLT",VLOOKUP(B116,'Lista Profissionais'!$C$11:$H$348,3,0),
VLOOKUP(B116,'Lista Profissionais'!$C$11:$H$348,6,0)), 0))</f>
        <v>9600</v>
      </c>
      <c r="H116" s="219">
        <f>IF(B116&lt;&gt;"",
IF(C116="CLT",
       22*$M$5 + (G116*'Lista Profissionais'!$G$9),0),0)</f>
        <v>2470</v>
      </c>
      <c r="I116" s="66">
        <f t="shared" si="169"/>
        <v>9600</v>
      </c>
      <c r="J116" s="66">
        <f t="shared" si="170"/>
        <v>20815.333333333332</v>
      </c>
      <c r="K116" s="66">
        <f t="shared" si="171"/>
        <v>29937.965396666666</v>
      </c>
      <c r="L116" s="93">
        <f t="shared" si="172"/>
        <v>118.26893939393939</v>
      </c>
      <c r="M116" s="151"/>
      <c r="N116" s="152">
        <v>0</v>
      </c>
      <c r="O116" s="69">
        <f t="shared" si="173"/>
        <v>0</v>
      </c>
      <c r="P116" s="69">
        <f t="shared" si="174"/>
        <v>38508.366666666669</v>
      </c>
      <c r="Q116" s="70">
        <f t="shared" si="175"/>
        <v>38508.366666666669</v>
      </c>
      <c r="R116" s="153">
        <f t="shared" si="176"/>
        <v>1155.251</v>
      </c>
      <c r="S116" s="70">
        <v>0</v>
      </c>
      <c r="T116" s="165">
        <f t="shared" si="157"/>
        <v>39663.617666666665</v>
      </c>
      <c r="U116" s="163">
        <f t="shared" si="177"/>
        <v>225.36146401515151</v>
      </c>
      <c r="V116" s="164">
        <f t="shared" si="178"/>
        <v>768</v>
      </c>
      <c r="W116" s="164">
        <f t="shared" si="179"/>
        <v>307.20000000000005</v>
      </c>
      <c r="X116" s="144">
        <f t="shared" si="180"/>
        <v>800</v>
      </c>
      <c r="Y116" s="150">
        <f t="shared" si="181"/>
        <v>266.66666666666669</v>
      </c>
      <c r="Z116" s="150">
        <f t="shared" si="182"/>
        <v>800</v>
      </c>
      <c r="AA116" s="150">
        <f t="shared" si="183"/>
        <v>2640</v>
      </c>
      <c r="AB116" s="182">
        <f t="shared" si="184"/>
        <v>149.33333333333334</v>
      </c>
      <c r="AC116" s="182">
        <f t="shared" si="185"/>
        <v>513.33333333333337</v>
      </c>
      <c r="AD116" s="182">
        <f t="shared" si="186"/>
        <v>960</v>
      </c>
      <c r="AE116" s="180">
        <f t="shared" si="187"/>
        <v>76.8</v>
      </c>
      <c r="AF116" s="150">
        <f t="shared" si="188"/>
        <v>864</v>
      </c>
      <c r="AG116" s="150">
        <f t="shared" si="189"/>
        <v>600</v>
      </c>
      <c r="AH116" s="150">
        <f t="shared" si="190"/>
        <v>11215.333333333332</v>
      </c>
      <c r="AI116" s="154">
        <f t="shared" si="191"/>
        <v>9122.6320633333326</v>
      </c>
      <c r="AJ116" s="70">
        <f t="shared" si="147"/>
        <v>8570.4012700000021</v>
      </c>
      <c r="AK116" s="155">
        <f t="shared" si="148"/>
        <v>0.21607714510627138</v>
      </c>
      <c r="AL116" s="155">
        <f t="shared" si="149"/>
        <v>0.28061966896918361</v>
      </c>
    </row>
    <row r="117" spans="2:38" s="102" customFormat="1" ht="15.75" customHeight="1" x14ac:dyDescent="0.2">
      <c r="B117" s="174" t="s">
        <v>336</v>
      </c>
      <c r="C117" s="171" t="s">
        <v>109</v>
      </c>
      <c r="D117" s="103">
        <v>176</v>
      </c>
      <c r="E117" s="104" t="s">
        <v>76</v>
      </c>
      <c r="F117" s="92">
        <v>0</v>
      </c>
      <c r="G117" s="219">
        <f>IF(F117&gt;0,F117,
IF(B117&lt;&gt;"",
IF(C117="CLT",VLOOKUP(B117,'Lista Profissionais'!$C$11:$H$348,3,0),
VLOOKUP(B117,'Lista Profissionais'!$C$11:$H$348,6,0)), 0))</f>
        <v>11600</v>
      </c>
      <c r="H117" s="219">
        <f>IF(B117&lt;&gt;"",
IF(C117="CLT",
       22*$M$5 + (G117*'Lista Profissionais'!$G$9),0),0)</f>
        <v>2870</v>
      </c>
      <c r="I117" s="66">
        <f t="shared" si="151"/>
        <v>11600</v>
      </c>
      <c r="J117" s="66">
        <f t="shared" ref="J117:J127" si="192">I117+AH117</f>
        <v>24912.277777777777</v>
      </c>
      <c r="K117" s="66">
        <f t="shared" ref="K117:K127" si="193">J117+S117+AI117</f>
        <v>35830.457198055556</v>
      </c>
      <c r="L117" s="93">
        <f t="shared" si="152"/>
        <v>141.54703282828282</v>
      </c>
      <c r="M117" s="151"/>
      <c r="N117" s="152">
        <v>0</v>
      </c>
      <c r="O117" s="69">
        <f t="shared" si="173"/>
        <v>0</v>
      </c>
      <c r="P117" s="69">
        <f t="shared" si="174"/>
        <v>46087.713888888888</v>
      </c>
      <c r="Q117" s="70">
        <f t="shared" si="175"/>
        <v>46087.713888888888</v>
      </c>
      <c r="R117" s="153">
        <f t="shared" si="176"/>
        <v>1382.6314166666666</v>
      </c>
      <c r="S117" s="70">
        <v>0</v>
      </c>
      <c r="T117" s="165">
        <f t="shared" si="157"/>
        <v>47470.345305555551</v>
      </c>
      <c r="U117" s="163">
        <f t="shared" si="158"/>
        <v>269.71787105429291</v>
      </c>
      <c r="V117" s="164">
        <f t="shared" si="159"/>
        <v>928</v>
      </c>
      <c r="W117" s="164">
        <f t="shared" si="160"/>
        <v>371.20000000000005</v>
      </c>
      <c r="X117" s="144">
        <f t="shared" si="161"/>
        <v>966.66666666666663</v>
      </c>
      <c r="Y117" s="150">
        <f t="shared" si="162"/>
        <v>322.22222222222223</v>
      </c>
      <c r="Z117" s="150">
        <f t="shared" si="163"/>
        <v>966.66666666666663</v>
      </c>
      <c r="AA117" s="150">
        <f t="shared" si="164"/>
        <v>3190.0000000000005</v>
      </c>
      <c r="AB117" s="182">
        <f t="shared" si="165"/>
        <v>180.44444444444446</v>
      </c>
      <c r="AC117" s="182">
        <f t="shared" si="185"/>
        <v>620.27777777777783</v>
      </c>
      <c r="AD117" s="182">
        <f t="shared" si="186"/>
        <v>1160</v>
      </c>
      <c r="AE117" s="180">
        <f t="shared" si="187"/>
        <v>92.8</v>
      </c>
      <c r="AF117" s="150">
        <f t="shared" si="188"/>
        <v>1044</v>
      </c>
      <c r="AG117" s="150">
        <f t="shared" si="189"/>
        <v>600</v>
      </c>
      <c r="AH117" s="150">
        <f t="shared" si="190"/>
        <v>13312.277777777777</v>
      </c>
      <c r="AI117" s="154">
        <f t="shared" si="191"/>
        <v>10918.179420277776</v>
      </c>
      <c r="AJ117" s="70">
        <f t="shared" ref="AJ117" si="194">T117-AI117-J117-R117</f>
        <v>10257.256690833332</v>
      </c>
      <c r="AK117" s="155">
        <f t="shared" si="148"/>
        <v>0.21607714510627132</v>
      </c>
      <c r="AL117" s="155">
        <f t="shared" si="149"/>
        <v>0.2806196689691835</v>
      </c>
    </row>
    <row r="118" spans="2:38" s="102" customFormat="1" ht="15.75" customHeight="1" x14ac:dyDescent="0.2">
      <c r="B118" s="174" t="s">
        <v>337</v>
      </c>
      <c r="C118" s="171" t="s">
        <v>109</v>
      </c>
      <c r="D118" s="103">
        <v>176</v>
      </c>
      <c r="E118" s="104" t="s">
        <v>76</v>
      </c>
      <c r="F118" s="92">
        <v>0</v>
      </c>
      <c r="G118" s="219">
        <f>IF(F118&gt;0,F118,
IF(B118&lt;&gt;"",
IF(C118="CLT",VLOOKUP(B118,'Lista Profissionais'!$C$11:$H$348,3,0),
VLOOKUP(B118,'Lista Profissionais'!$C$11:$H$348,6,0)), 0))</f>
        <v>8400</v>
      </c>
      <c r="H118" s="219">
        <f>IF(B118&lt;&gt;"",
IF(C118="CLT",
       22*$M$5 + (G118*'Lista Profissionais'!$G$9),0),0)</f>
        <v>2230</v>
      </c>
      <c r="I118" s="66">
        <f t="shared" si="151"/>
        <v>8400</v>
      </c>
      <c r="J118" s="66">
        <f t="shared" si="192"/>
        <v>18357.166666666668</v>
      </c>
      <c r="K118" s="66">
        <f t="shared" si="193"/>
        <v>26402.470315833336</v>
      </c>
      <c r="L118" s="93">
        <f t="shared" si="152"/>
        <v>104.30208333333334</v>
      </c>
      <c r="M118" s="151"/>
      <c r="N118" s="152">
        <v>0</v>
      </c>
      <c r="O118" s="69">
        <f t="shared" si="153"/>
        <v>0</v>
      </c>
      <c r="P118" s="69">
        <f t="shared" si="154"/>
        <v>33960.758333333339</v>
      </c>
      <c r="Q118" s="70">
        <f t="shared" si="155"/>
        <v>33960.758333333339</v>
      </c>
      <c r="R118" s="153">
        <f t="shared" si="156"/>
        <v>1018.8227500000002</v>
      </c>
      <c r="S118" s="70">
        <v>0</v>
      </c>
      <c r="T118" s="165">
        <f t="shared" si="157"/>
        <v>34979.581083333338</v>
      </c>
      <c r="U118" s="163">
        <f t="shared" si="158"/>
        <v>198.74761979166669</v>
      </c>
      <c r="V118" s="164">
        <f t="shared" si="159"/>
        <v>672</v>
      </c>
      <c r="W118" s="164">
        <f t="shared" si="160"/>
        <v>268.8</v>
      </c>
      <c r="X118" s="144">
        <f t="shared" si="161"/>
        <v>700</v>
      </c>
      <c r="Y118" s="150">
        <f t="shared" si="162"/>
        <v>233.33333333333334</v>
      </c>
      <c r="Z118" s="150">
        <f t="shared" si="163"/>
        <v>700</v>
      </c>
      <c r="AA118" s="150">
        <f t="shared" si="164"/>
        <v>2310</v>
      </c>
      <c r="AB118" s="182">
        <f t="shared" si="165"/>
        <v>130.66666666666669</v>
      </c>
      <c r="AC118" s="182">
        <f t="shared" ref="AC118:AC127" si="195">IF(C118="CLT", SUM(X118:Z118)*$S$2,0)</f>
        <v>449.16666666666674</v>
      </c>
      <c r="AD118" s="182">
        <f t="shared" ref="AD118:AD127" si="196">IF(C118="CLT",
       I118/30*3, 0)</f>
        <v>840</v>
      </c>
      <c r="AE118" s="180">
        <f t="shared" ref="AE118:AE127" si="197">IF(C118="CLT",  AD118*$M$2, 0)</f>
        <v>67.2</v>
      </c>
      <c r="AF118" s="150">
        <f t="shared" ref="AF118:AF127" si="198">IF(C118="CLT",
       I118*$M$4, 0)</f>
        <v>756</v>
      </c>
      <c r="AG118" s="150">
        <f t="shared" ref="AG118:AG127" si="199">IF(B118&lt;&gt;"",
IF(C118="CLT",
       $Q$2, 0),0)</f>
        <v>600</v>
      </c>
      <c r="AH118" s="150">
        <f t="shared" ref="AH118:AH127" si="200">SUM(V118:AG118)+H118</f>
        <v>9957.1666666666679</v>
      </c>
      <c r="AI118" s="154">
        <f t="shared" ref="AI118:AI127" si="201">IF(E118="Sim", T118*$G$4, 0)</f>
        <v>8045.303649166668</v>
      </c>
      <c r="AJ118" s="70">
        <f t="shared" ref="AJ118:AJ127" si="202">T118-AI118-J118-R118</f>
        <v>7558.2880175000018</v>
      </c>
      <c r="AK118" s="155">
        <f t="shared" si="148"/>
        <v>0.21607714510627135</v>
      </c>
      <c r="AL118" s="155">
        <f t="shared" si="149"/>
        <v>0.28061966896918356</v>
      </c>
    </row>
    <row r="119" spans="2:38" s="102" customFormat="1" ht="15.75" customHeight="1" x14ac:dyDescent="0.2">
      <c r="B119" s="174" t="s">
        <v>338</v>
      </c>
      <c r="C119" s="171" t="s">
        <v>109</v>
      </c>
      <c r="D119" s="103">
        <v>176</v>
      </c>
      <c r="E119" s="104" t="s">
        <v>76</v>
      </c>
      <c r="F119" s="92">
        <v>0</v>
      </c>
      <c r="G119" s="219">
        <f>IF(F119&gt;0,F119,
IF(B119&lt;&gt;"",
IF(C119="CLT",VLOOKUP(B119,'Lista Profissionais'!$C$11:$H$348,3,0),
VLOOKUP(B119,'Lista Profissionais'!$C$11:$H$348,6,0)), 0))</f>
        <v>10400</v>
      </c>
      <c r="H119" s="219">
        <f>IF(B119&lt;&gt;"",
IF(C119="CLT",
       22*$M$5 + (G119*'Lista Profissionais'!$G$9),0),0)</f>
        <v>2630</v>
      </c>
      <c r="I119" s="66">
        <f t="shared" si="151"/>
        <v>10400</v>
      </c>
      <c r="J119" s="66">
        <f t="shared" si="192"/>
        <v>22454.111111111109</v>
      </c>
      <c r="K119" s="66">
        <f t="shared" si="193"/>
        <v>32294.962117222221</v>
      </c>
      <c r="L119" s="93">
        <f t="shared" si="152"/>
        <v>127.58017676767676</v>
      </c>
      <c r="M119" s="151"/>
      <c r="N119" s="152">
        <v>0</v>
      </c>
      <c r="O119" s="69">
        <f t="shared" si="153"/>
        <v>0</v>
      </c>
      <c r="P119" s="69">
        <f t="shared" si="154"/>
        <v>41540.105555555558</v>
      </c>
      <c r="Q119" s="70">
        <f t="shared" si="155"/>
        <v>41540.105555555558</v>
      </c>
      <c r="R119" s="153">
        <f t="shared" si="156"/>
        <v>1246.2031666666667</v>
      </c>
      <c r="S119" s="70">
        <v>0</v>
      </c>
      <c r="T119" s="165">
        <f t="shared" si="157"/>
        <v>42786.308722222224</v>
      </c>
      <c r="U119" s="163">
        <f t="shared" si="158"/>
        <v>243.1040268308081</v>
      </c>
      <c r="V119" s="164">
        <f t="shared" si="159"/>
        <v>832</v>
      </c>
      <c r="W119" s="164">
        <f t="shared" si="160"/>
        <v>332.8</v>
      </c>
      <c r="X119" s="144">
        <f t="shared" si="161"/>
        <v>866.66666666666663</v>
      </c>
      <c r="Y119" s="150">
        <f t="shared" si="162"/>
        <v>288.88888888888886</v>
      </c>
      <c r="Z119" s="150">
        <f t="shared" si="163"/>
        <v>866.66666666666663</v>
      </c>
      <c r="AA119" s="150">
        <f t="shared" si="164"/>
        <v>2860.0000000000005</v>
      </c>
      <c r="AB119" s="182">
        <f t="shared" si="165"/>
        <v>161.77777777777777</v>
      </c>
      <c r="AC119" s="182">
        <f t="shared" si="195"/>
        <v>556.11111111111109</v>
      </c>
      <c r="AD119" s="182">
        <f t="shared" si="196"/>
        <v>1040</v>
      </c>
      <c r="AE119" s="180">
        <f t="shared" si="197"/>
        <v>83.2</v>
      </c>
      <c r="AF119" s="150">
        <f t="shared" si="198"/>
        <v>936</v>
      </c>
      <c r="AG119" s="150">
        <f t="shared" si="199"/>
        <v>600</v>
      </c>
      <c r="AH119" s="150">
        <f t="shared" si="200"/>
        <v>12054.111111111109</v>
      </c>
      <c r="AI119" s="154">
        <f t="shared" si="201"/>
        <v>9840.8510061111119</v>
      </c>
      <c r="AJ119" s="70">
        <f t="shared" si="202"/>
        <v>9245.1434383333326</v>
      </c>
      <c r="AK119" s="155">
        <f t="shared" ref="AK119:AK127" si="203">(IF(AJ119&gt;0,AJ119/T119,0))</f>
        <v>0.2160771451062713</v>
      </c>
      <c r="AL119" s="155">
        <f t="shared" si="149"/>
        <v>0.28061966896918356</v>
      </c>
    </row>
    <row r="120" spans="2:38" s="102" customFormat="1" ht="15.75" customHeight="1" x14ac:dyDescent="0.2">
      <c r="B120" s="174" t="s">
        <v>339</v>
      </c>
      <c r="C120" s="171" t="s">
        <v>109</v>
      </c>
      <c r="D120" s="103">
        <v>176</v>
      </c>
      <c r="E120" s="104" t="s">
        <v>76</v>
      </c>
      <c r="F120" s="92">
        <v>0</v>
      </c>
      <c r="G120" s="219">
        <f>IF(F120&gt;0,F120,
IF(B120&lt;&gt;"",
IF(C120="CLT",VLOOKUP(B120,'Lista Profissionais'!$C$11:$H$348,3,0),
VLOOKUP(B120,'Lista Profissionais'!$C$11:$H$348,6,0)), 0))</f>
        <v>2800</v>
      </c>
      <c r="H120" s="219">
        <f>IF(B120&lt;&gt;"",
IF(C120="CLT",
       22*$M$5 + (G120*'Lista Profissionais'!$G$9),0),0)</f>
        <v>1110</v>
      </c>
      <c r="I120" s="66">
        <f t="shared" si="151"/>
        <v>2800</v>
      </c>
      <c r="J120" s="66">
        <f t="shared" si="192"/>
        <v>6885.7222222222226</v>
      </c>
      <c r="K120" s="66">
        <f t="shared" si="193"/>
        <v>9903.4932719444441</v>
      </c>
      <c r="L120" s="93">
        <f t="shared" si="152"/>
        <v>39.123421717171716</v>
      </c>
      <c r="M120" s="151"/>
      <c r="N120" s="152">
        <v>0</v>
      </c>
      <c r="O120" s="69">
        <f t="shared" si="153"/>
        <v>0</v>
      </c>
      <c r="P120" s="69">
        <f t="shared" si="154"/>
        <v>12738.586111111112</v>
      </c>
      <c r="Q120" s="70">
        <f t="shared" si="155"/>
        <v>12738.586111111112</v>
      </c>
      <c r="R120" s="153">
        <f t="shared" si="156"/>
        <v>382.15758333333332</v>
      </c>
      <c r="S120" s="70">
        <v>0</v>
      </c>
      <c r="T120" s="165">
        <f t="shared" si="157"/>
        <v>13120.743694444445</v>
      </c>
      <c r="U120" s="163">
        <f t="shared" si="158"/>
        <v>74.549680082070708</v>
      </c>
      <c r="V120" s="164">
        <f t="shared" si="159"/>
        <v>224</v>
      </c>
      <c r="W120" s="164">
        <f t="shared" si="160"/>
        <v>89.600000000000009</v>
      </c>
      <c r="X120" s="144">
        <f t="shared" si="161"/>
        <v>233.33333333333334</v>
      </c>
      <c r="Y120" s="150">
        <f t="shared" si="162"/>
        <v>77.777777777777786</v>
      </c>
      <c r="Z120" s="150">
        <f t="shared" si="163"/>
        <v>233.33333333333334</v>
      </c>
      <c r="AA120" s="150">
        <f t="shared" si="164"/>
        <v>770.00000000000011</v>
      </c>
      <c r="AB120" s="182">
        <f t="shared" si="165"/>
        <v>43.555555555555557</v>
      </c>
      <c r="AC120" s="182">
        <f t="shared" si="195"/>
        <v>149.72222222222223</v>
      </c>
      <c r="AD120" s="182">
        <f t="shared" si="196"/>
        <v>280</v>
      </c>
      <c r="AE120" s="180">
        <f t="shared" si="197"/>
        <v>22.400000000000002</v>
      </c>
      <c r="AF120" s="150">
        <f t="shared" si="198"/>
        <v>252</v>
      </c>
      <c r="AG120" s="150">
        <f t="shared" si="199"/>
        <v>600</v>
      </c>
      <c r="AH120" s="150">
        <f t="shared" si="200"/>
        <v>4085.7222222222226</v>
      </c>
      <c r="AI120" s="154">
        <f t="shared" si="201"/>
        <v>3017.7710497222224</v>
      </c>
      <c r="AJ120" s="70">
        <f t="shared" si="202"/>
        <v>2835.092839166668</v>
      </c>
      <c r="AK120" s="155">
        <f t="shared" si="203"/>
        <v>0.21607714510627141</v>
      </c>
      <c r="AL120" s="155">
        <f t="shared" ref="AL120:AL127" si="204">(IF(AJ120&gt;0,AJ120/(T120-AI120),0))</f>
        <v>0.28061966896918361</v>
      </c>
    </row>
    <row r="121" spans="2:38" s="102" customFormat="1" ht="15.75" customHeight="1" x14ac:dyDescent="0.2">
      <c r="B121" s="174" t="s">
        <v>340</v>
      </c>
      <c r="C121" s="171" t="s">
        <v>109</v>
      </c>
      <c r="D121" s="103">
        <v>176</v>
      </c>
      <c r="E121" s="104" t="s">
        <v>76</v>
      </c>
      <c r="F121" s="92">
        <v>0</v>
      </c>
      <c r="G121" s="219">
        <f>IF(F121&gt;0,F121,
IF(B121&lt;&gt;"",
IF(C121="CLT",VLOOKUP(B121,'Lista Profissionais'!$C$11:$H$348,3,0),
VLOOKUP(B121,'Lista Profissionais'!$C$11:$H$348,6,0)), 0))</f>
        <v>3840</v>
      </c>
      <c r="H121" s="219">
        <f>IF(B121&lt;&gt;"",
IF(C121="CLT",
       22*$M$5 + (G121*'Lista Profissionais'!$G$9),0),0)</f>
        <v>1318</v>
      </c>
      <c r="I121" s="66">
        <f t="shared" si="151"/>
        <v>3839.9999999999995</v>
      </c>
      <c r="J121" s="66">
        <f t="shared" si="192"/>
        <v>9016.1333333333332</v>
      </c>
      <c r="K121" s="66">
        <f t="shared" si="193"/>
        <v>12967.589008666668</v>
      </c>
      <c r="L121" s="93">
        <f t="shared" si="152"/>
        <v>51.228030303030302</v>
      </c>
      <c r="M121" s="151"/>
      <c r="N121" s="152">
        <v>0</v>
      </c>
      <c r="O121" s="69">
        <f t="shared" si="153"/>
        <v>0</v>
      </c>
      <c r="P121" s="69">
        <f t="shared" si="154"/>
        <v>16679.846666666668</v>
      </c>
      <c r="Q121" s="70">
        <f t="shared" si="155"/>
        <v>16679.846666666668</v>
      </c>
      <c r="R121" s="153">
        <f t="shared" si="156"/>
        <v>500.39540000000005</v>
      </c>
      <c r="S121" s="70">
        <v>0</v>
      </c>
      <c r="T121" s="165">
        <f t="shared" si="157"/>
        <v>17180.242066666669</v>
      </c>
      <c r="U121" s="163">
        <f t="shared" si="158"/>
        <v>97.615011742424258</v>
      </c>
      <c r="V121" s="164">
        <f t="shared" si="159"/>
        <v>307.2</v>
      </c>
      <c r="W121" s="164">
        <f t="shared" si="160"/>
        <v>122.88</v>
      </c>
      <c r="X121" s="144">
        <f t="shared" si="161"/>
        <v>319.99999999999994</v>
      </c>
      <c r="Y121" s="150">
        <f t="shared" si="162"/>
        <v>106.66666666666664</v>
      </c>
      <c r="Z121" s="150">
        <f t="shared" si="163"/>
        <v>319.99999999999994</v>
      </c>
      <c r="AA121" s="150">
        <f t="shared" si="164"/>
        <v>1056</v>
      </c>
      <c r="AB121" s="182">
        <f t="shared" si="165"/>
        <v>59.73333333333332</v>
      </c>
      <c r="AC121" s="182">
        <f t="shared" si="195"/>
        <v>205.33333333333331</v>
      </c>
      <c r="AD121" s="182">
        <f t="shared" si="196"/>
        <v>383.99999999999994</v>
      </c>
      <c r="AE121" s="180">
        <f t="shared" si="197"/>
        <v>30.719999999999995</v>
      </c>
      <c r="AF121" s="150">
        <f t="shared" si="198"/>
        <v>345.59999999999997</v>
      </c>
      <c r="AG121" s="150">
        <f t="shared" si="199"/>
        <v>600</v>
      </c>
      <c r="AH121" s="150">
        <f t="shared" si="200"/>
        <v>5176.1333333333332</v>
      </c>
      <c r="AI121" s="154">
        <f t="shared" si="201"/>
        <v>3951.4556753333341</v>
      </c>
      <c r="AJ121" s="70">
        <f t="shared" si="202"/>
        <v>3712.2576580000018</v>
      </c>
      <c r="AK121" s="155">
        <f t="shared" si="203"/>
        <v>0.21607714510627138</v>
      </c>
      <c r="AL121" s="155">
        <f t="shared" si="204"/>
        <v>0.28061966896918361</v>
      </c>
    </row>
    <row r="122" spans="2:38" s="102" customFormat="1" ht="15.75" customHeight="1" x14ac:dyDescent="0.2">
      <c r="B122" s="174" t="s">
        <v>341</v>
      </c>
      <c r="C122" s="171" t="s">
        <v>109</v>
      </c>
      <c r="D122" s="103">
        <v>176</v>
      </c>
      <c r="E122" s="104" t="s">
        <v>76</v>
      </c>
      <c r="F122" s="92">
        <v>0</v>
      </c>
      <c r="G122" s="219">
        <f>IF(F122&gt;0,F122,
IF(B122&lt;&gt;"",
IF(C122="CLT",VLOOKUP(B122,'Lista Profissionais'!$C$11:$H$348,3,0),
VLOOKUP(B122,'Lista Profissionais'!$C$11:$H$348,6,0)), 0))</f>
        <v>6400</v>
      </c>
      <c r="H122" s="219">
        <f>IF(B122&lt;&gt;"",
IF(C122="CLT",
       22*$M$5 + (G122*'Lista Profissionais'!$G$9),0),0)</f>
        <v>1830</v>
      </c>
      <c r="I122" s="66">
        <f t="shared" si="151"/>
        <v>6400.0000000000009</v>
      </c>
      <c r="J122" s="66">
        <f t="shared" si="192"/>
        <v>14260.222222222224</v>
      </c>
      <c r="K122" s="66">
        <f t="shared" si="193"/>
        <v>20509.978514444447</v>
      </c>
      <c r="L122" s="93">
        <f t="shared" si="152"/>
        <v>81.02398989898991</v>
      </c>
      <c r="M122" s="151"/>
      <c r="N122" s="152">
        <v>0</v>
      </c>
      <c r="O122" s="69">
        <f t="shared" si="153"/>
        <v>0</v>
      </c>
      <c r="P122" s="69">
        <f t="shared" si="154"/>
        <v>26381.411111111116</v>
      </c>
      <c r="Q122" s="70">
        <f t="shared" si="155"/>
        <v>26381.411111111116</v>
      </c>
      <c r="R122" s="153">
        <f t="shared" si="156"/>
        <v>791.44233333333341</v>
      </c>
      <c r="S122" s="70">
        <v>0</v>
      </c>
      <c r="T122" s="165">
        <f t="shared" si="157"/>
        <v>27172.853444444449</v>
      </c>
      <c r="U122" s="163">
        <f t="shared" si="158"/>
        <v>154.39121275252526</v>
      </c>
      <c r="V122" s="164">
        <f t="shared" si="159"/>
        <v>512.00000000000011</v>
      </c>
      <c r="W122" s="164">
        <f t="shared" si="160"/>
        <v>204.80000000000007</v>
      </c>
      <c r="X122" s="144">
        <f t="shared" si="161"/>
        <v>533.33333333333337</v>
      </c>
      <c r="Y122" s="150">
        <f t="shared" si="162"/>
        <v>177.7777777777778</v>
      </c>
      <c r="Z122" s="150">
        <f t="shared" si="163"/>
        <v>533.33333333333337</v>
      </c>
      <c r="AA122" s="150">
        <f t="shared" si="164"/>
        <v>1760.0000000000005</v>
      </c>
      <c r="AB122" s="182">
        <f t="shared" si="165"/>
        <v>99.555555555555571</v>
      </c>
      <c r="AC122" s="182">
        <f t="shared" si="195"/>
        <v>342.22222222222229</v>
      </c>
      <c r="AD122" s="182">
        <f t="shared" si="196"/>
        <v>640.00000000000011</v>
      </c>
      <c r="AE122" s="180">
        <f t="shared" si="197"/>
        <v>51.20000000000001</v>
      </c>
      <c r="AF122" s="150">
        <f t="shared" si="198"/>
        <v>576.00000000000011</v>
      </c>
      <c r="AG122" s="150">
        <f t="shared" si="199"/>
        <v>600</v>
      </c>
      <c r="AH122" s="150">
        <f t="shared" si="200"/>
        <v>7860.2222222222235</v>
      </c>
      <c r="AI122" s="154">
        <f t="shared" si="201"/>
        <v>6249.7562922222232</v>
      </c>
      <c r="AJ122" s="70">
        <f t="shared" si="202"/>
        <v>5871.4325966666665</v>
      </c>
      <c r="AK122" s="155">
        <f t="shared" si="203"/>
        <v>0.2160771451062713</v>
      </c>
      <c r="AL122" s="155">
        <f t="shared" si="204"/>
        <v>0.2806196689691835</v>
      </c>
    </row>
    <row r="123" spans="2:38" s="102" customFormat="1" ht="15.75" customHeight="1" x14ac:dyDescent="0.2">
      <c r="B123" s="174" t="s">
        <v>342</v>
      </c>
      <c r="C123" s="171" t="s">
        <v>109</v>
      </c>
      <c r="D123" s="103">
        <v>176</v>
      </c>
      <c r="E123" s="104" t="s">
        <v>76</v>
      </c>
      <c r="F123" s="92">
        <v>0</v>
      </c>
      <c r="G123" s="219">
        <f>IF(F123&gt;0,F123,
IF(B123&lt;&gt;"",
IF(C123="CLT",VLOOKUP(B123,'Lista Profissionais'!$C$11:$H$348,3,0),
VLOOKUP(B123,'Lista Profissionais'!$C$11:$H$348,6,0)), 0))</f>
        <v>11600</v>
      </c>
      <c r="H123" s="219">
        <f>IF(B123&lt;&gt;"",
IF(C123="CLT",
       22*$M$5 + (G123*'Lista Profissionais'!$G$9),0),0)</f>
        <v>2870</v>
      </c>
      <c r="I123" s="66">
        <f t="shared" si="151"/>
        <v>11600</v>
      </c>
      <c r="J123" s="66">
        <f t="shared" si="192"/>
        <v>24912.277777777777</v>
      </c>
      <c r="K123" s="66">
        <f t="shared" si="193"/>
        <v>35830.457198055556</v>
      </c>
      <c r="L123" s="93">
        <f t="shared" si="152"/>
        <v>141.54703282828282</v>
      </c>
      <c r="M123" s="151"/>
      <c r="N123" s="152">
        <v>0</v>
      </c>
      <c r="O123" s="69">
        <f t="shared" si="153"/>
        <v>0</v>
      </c>
      <c r="P123" s="69">
        <f t="shared" si="154"/>
        <v>46087.713888888888</v>
      </c>
      <c r="Q123" s="70">
        <f t="shared" si="155"/>
        <v>46087.713888888888</v>
      </c>
      <c r="R123" s="153">
        <f t="shared" si="156"/>
        <v>1382.6314166666666</v>
      </c>
      <c r="S123" s="70">
        <v>0</v>
      </c>
      <c r="T123" s="165">
        <f t="shared" si="157"/>
        <v>47470.345305555551</v>
      </c>
      <c r="U123" s="163">
        <f t="shared" si="158"/>
        <v>269.71787105429291</v>
      </c>
      <c r="V123" s="164">
        <f t="shared" si="159"/>
        <v>928</v>
      </c>
      <c r="W123" s="164">
        <f t="shared" si="160"/>
        <v>371.20000000000005</v>
      </c>
      <c r="X123" s="144">
        <f t="shared" si="161"/>
        <v>966.66666666666663</v>
      </c>
      <c r="Y123" s="150">
        <f t="shared" si="162"/>
        <v>322.22222222222223</v>
      </c>
      <c r="Z123" s="150">
        <f t="shared" si="163"/>
        <v>966.66666666666663</v>
      </c>
      <c r="AA123" s="150">
        <f t="shared" si="164"/>
        <v>3190.0000000000005</v>
      </c>
      <c r="AB123" s="182">
        <f t="shared" si="165"/>
        <v>180.44444444444446</v>
      </c>
      <c r="AC123" s="182">
        <f t="shared" si="195"/>
        <v>620.27777777777783</v>
      </c>
      <c r="AD123" s="182">
        <f t="shared" si="196"/>
        <v>1160</v>
      </c>
      <c r="AE123" s="180">
        <f t="shared" si="197"/>
        <v>92.8</v>
      </c>
      <c r="AF123" s="150">
        <f t="shared" si="198"/>
        <v>1044</v>
      </c>
      <c r="AG123" s="150">
        <f t="shared" si="199"/>
        <v>600</v>
      </c>
      <c r="AH123" s="150">
        <f t="shared" si="200"/>
        <v>13312.277777777777</v>
      </c>
      <c r="AI123" s="154">
        <f t="shared" si="201"/>
        <v>10918.179420277776</v>
      </c>
      <c r="AJ123" s="70">
        <f t="shared" si="202"/>
        <v>10257.256690833332</v>
      </c>
      <c r="AK123" s="155">
        <f t="shared" si="203"/>
        <v>0.21607714510627132</v>
      </c>
      <c r="AL123" s="155">
        <f t="shared" si="204"/>
        <v>0.2806196689691835</v>
      </c>
    </row>
    <row r="124" spans="2:38" s="102" customFormat="1" ht="15.75" customHeight="1" x14ac:dyDescent="0.2">
      <c r="B124" s="174" t="s">
        <v>343</v>
      </c>
      <c r="C124" s="171" t="s">
        <v>109</v>
      </c>
      <c r="D124" s="103">
        <v>176</v>
      </c>
      <c r="E124" s="104" t="s">
        <v>76</v>
      </c>
      <c r="F124" s="92">
        <v>0</v>
      </c>
      <c r="G124" s="219">
        <f>IF(F124&gt;0,F124,
IF(B124&lt;&gt;"",
IF(C124="CLT",VLOOKUP(B124,'Lista Profissionais'!$C$11:$H$348,3,0),
VLOOKUP(B124,'Lista Profissionais'!$C$11:$H$348,6,0)), 0))</f>
        <v>4400</v>
      </c>
      <c r="H124" s="219">
        <f>IF(B124&lt;&gt;"",
IF(C124="CLT",
       22*$M$5 + (G124*'Lista Profissionais'!$G$9),0),0)</f>
        <v>1430</v>
      </c>
      <c r="I124" s="66">
        <f t="shared" si="151"/>
        <v>4400</v>
      </c>
      <c r="J124" s="66">
        <f t="shared" si="192"/>
        <v>10163.277777777777</v>
      </c>
      <c r="K124" s="66">
        <f t="shared" si="193"/>
        <v>14617.486713055554</v>
      </c>
      <c r="L124" s="93">
        <f t="shared" si="152"/>
        <v>57.745896464646464</v>
      </c>
      <c r="M124" s="151"/>
      <c r="N124" s="152">
        <v>0</v>
      </c>
      <c r="O124" s="69">
        <f t="shared" si="153"/>
        <v>0</v>
      </c>
      <c r="P124" s="69">
        <f t="shared" si="154"/>
        <v>18802.06388888889</v>
      </c>
      <c r="Q124" s="70">
        <f t="shared" si="155"/>
        <v>18802.06388888889</v>
      </c>
      <c r="R124" s="153">
        <f t="shared" si="156"/>
        <v>564.06191666666666</v>
      </c>
      <c r="S124" s="70">
        <v>0</v>
      </c>
      <c r="T124" s="165">
        <f t="shared" si="157"/>
        <v>19366.125805555555</v>
      </c>
      <c r="U124" s="163">
        <f t="shared" si="158"/>
        <v>110.03480571338383</v>
      </c>
      <c r="V124" s="164">
        <f t="shared" si="159"/>
        <v>352</v>
      </c>
      <c r="W124" s="164">
        <f t="shared" si="160"/>
        <v>140.80000000000001</v>
      </c>
      <c r="X124" s="144">
        <f t="shared" si="161"/>
        <v>366.66666666666669</v>
      </c>
      <c r="Y124" s="150">
        <f t="shared" si="162"/>
        <v>122.22222222222223</v>
      </c>
      <c r="Z124" s="150">
        <f t="shared" si="163"/>
        <v>366.66666666666669</v>
      </c>
      <c r="AA124" s="150">
        <f t="shared" si="164"/>
        <v>1210</v>
      </c>
      <c r="AB124" s="182">
        <f t="shared" si="165"/>
        <v>68.444444444444457</v>
      </c>
      <c r="AC124" s="182">
        <f t="shared" si="195"/>
        <v>235.27777777777783</v>
      </c>
      <c r="AD124" s="182">
        <f t="shared" si="196"/>
        <v>440</v>
      </c>
      <c r="AE124" s="180">
        <f t="shared" si="197"/>
        <v>35.200000000000003</v>
      </c>
      <c r="AF124" s="150">
        <f t="shared" si="198"/>
        <v>396</v>
      </c>
      <c r="AG124" s="150">
        <f t="shared" si="199"/>
        <v>600</v>
      </c>
      <c r="AH124" s="150">
        <f t="shared" si="200"/>
        <v>5763.2777777777774</v>
      </c>
      <c r="AI124" s="154">
        <f t="shared" si="201"/>
        <v>4454.2089352777775</v>
      </c>
      <c r="AJ124" s="70">
        <f t="shared" si="202"/>
        <v>4184.5771758333349</v>
      </c>
      <c r="AK124" s="155">
        <f t="shared" si="203"/>
        <v>0.21607714510627141</v>
      </c>
      <c r="AL124" s="155">
        <f t="shared" si="204"/>
        <v>0.28061966896918361</v>
      </c>
    </row>
    <row r="125" spans="2:38" s="102" customFormat="1" ht="15.75" customHeight="1" x14ac:dyDescent="0.2">
      <c r="B125" s="174" t="s">
        <v>344</v>
      </c>
      <c r="C125" s="171" t="s">
        <v>109</v>
      </c>
      <c r="D125" s="103">
        <v>176</v>
      </c>
      <c r="E125" s="104" t="s">
        <v>76</v>
      </c>
      <c r="F125" s="92">
        <v>0</v>
      </c>
      <c r="G125" s="219">
        <f>IF(F125&gt;0,F125,
IF(B125&lt;&gt;"",
IF(C125="CLT",VLOOKUP(B125,'Lista Profissionais'!$C$11:$H$348,3,0),
VLOOKUP(B125,'Lista Profissionais'!$C$11:$H$348,6,0)), 0))</f>
        <v>6800</v>
      </c>
      <c r="H125" s="219">
        <f>IF(B125&lt;&gt;"",
IF(C125="CLT",
       22*$M$5 + (G125*'Lista Profissionais'!$G$9),0),0)</f>
        <v>1910</v>
      </c>
      <c r="I125" s="66">
        <f t="shared" si="151"/>
        <v>6799.9999999999991</v>
      </c>
      <c r="J125" s="66">
        <f t="shared" si="192"/>
        <v>15079.611111111109</v>
      </c>
      <c r="K125" s="66">
        <f t="shared" si="193"/>
        <v>21688.476874722219</v>
      </c>
      <c r="L125" s="93">
        <f t="shared" si="152"/>
        <v>85.679608585858574</v>
      </c>
      <c r="M125" s="151"/>
      <c r="N125" s="152">
        <v>0</v>
      </c>
      <c r="O125" s="69">
        <f t="shared" si="153"/>
        <v>0</v>
      </c>
      <c r="P125" s="69">
        <f t="shared" si="154"/>
        <v>27897.280555555553</v>
      </c>
      <c r="Q125" s="70">
        <f t="shared" si="155"/>
        <v>27897.280555555553</v>
      </c>
      <c r="R125" s="153">
        <f t="shared" si="156"/>
        <v>836.91841666666653</v>
      </c>
      <c r="S125" s="70">
        <v>0</v>
      </c>
      <c r="T125" s="165">
        <f t="shared" si="157"/>
        <v>28734.198972222221</v>
      </c>
      <c r="U125" s="163">
        <f t="shared" si="158"/>
        <v>163.26249416035353</v>
      </c>
      <c r="V125" s="164">
        <f t="shared" si="159"/>
        <v>543.99999999999989</v>
      </c>
      <c r="W125" s="164">
        <f t="shared" si="160"/>
        <v>217.59999999999997</v>
      </c>
      <c r="X125" s="144">
        <f t="shared" si="161"/>
        <v>566.66666666666663</v>
      </c>
      <c r="Y125" s="150">
        <f t="shared" si="162"/>
        <v>188.88888888888889</v>
      </c>
      <c r="Z125" s="150">
        <f t="shared" si="163"/>
        <v>566.66666666666663</v>
      </c>
      <c r="AA125" s="150">
        <f t="shared" si="164"/>
        <v>1870</v>
      </c>
      <c r="AB125" s="182">
        <f t="shared" si="165"/>
        <v>105.77777777777777</v>
      </c>
      <c r="AC125" s="182">
        <f t="shared" si="195"/>
        <v>363.61111111111114</v>
      </c>
      <c r="AD125" s="182">
        <f t="shared" si="196"/>
        <v>679.99999999999989</v>
      </c>
      <c r="AE125" s="180">
        <f t="shared" si="197"/>
        <v>54.399999999999991</v>
      </c>
      <c r="AF125" s="150">
        <f t="shared" si="198"/>
        <v>611.99999999999989</v>
      </c>
      <c r="AG125" s="150">
        <f t="shared" si="199"/>
        <v>600</v>
      </c>
      <c r="AH125" s="150">
        <f t="shared" si="200"/>
        <v>8279.6111111111095</v>
      </c>
      <c r="AI125" s="154">
        <f t="shared" si="201"/>
        <v>6608.8657636111111</v>
      </c>
      <c r="AJ125" s="70">
        <f t="shared" si="202"/>
        <v>6208.8036808333354</v>
      </c>
      <c r="AK125" s="155">
        <f t="shared" si="203"/>
        <v>0.21607714510627141</v>
      </c>
      <c r="AL125" s="155">
        <f t="shared" si="204"/>
        <v>0.28061966896918361</v>
      </c>
    </row>
    <row r="126" spans="2:38" s="102" customFormat="1" ht="15.75" customHeight="1" x14ac:dyDescent="0.2">
      <c r="B126" s="174" t="s">
        <v>345</v>
      </c>
      <c r="C126" s="171" t="s">
        <v>109</v>
      </c>
      <c r="D126" s="103">
        <v>176</v>
      </c>
      <c r="E126" s="104" t="s">
        <v>76</v>
      </c>
      <c r="F126" s="92">
        <v>0</v>
      </c>
      <c r="G126" s="219">
        <f>IF(F126&gt;0,F126,
IF(B126&lt;&gt;"",
IF(C126="CLT",VLOOKUP(B126,'Lista Profissionais'!$C$11:$H$348,3,0),
VLOOKUP(B126,'Lista Profissionais'!$C$11:$H$348,6,0)), 0))</f>
        <v>10400</v>
      </c>
      <c r="H126" s="219">
        <f>IF(B126&lt;&gt;"",
IF(C126="CLT",
       22*$M$5 + (G126*'Lista Profissionais'!$G$9),0),0)</f>
        <v>2630</v>
      </c>
      <c r="I126" s="66">
        <f t="shared" si="151"/>
        <v>10400</v>
      </c>
      <c r="J126" s="66">
        <f t="shared" si="192"/>
        <v>22454.111111111109</v>
      </c>
      <c r="K126" s="66">
        <f t="shared" si="193"/>
        <v>32294.962117222221</v>
      </c>
      <c r="L126" s="93">
        <f t="shared" si="152"/>
        <v>127.58017676767676</v>
      </c>
      <c r="M126" s="151"/>
      <c r="N126" s="152">
        <v>0</v>
      </c>
      <c r="O126" s="69">
        <f t="shared" si="153"/>
        <v>0</v>
      </c>
      <c r="P126" s="69">
        <f t="shared" si="154"/>
        <v>41540.105555555558</v>
      </c>
      <c r="Q126" s="70">
        <f t="shared" si="155"/>
        <v>41540.105555555558</v>
      </c>
      <c r="R126" s="153">
        <f t="shared" si="156"/>
        <v>1246.2031666666667</v>
      </c>
      <c r="S126" s="70">
        <v>0</v>
      </c>
      <c r="T126" s="165">
        <f t="shared" si="157"/>
        <v>42786.308722222224</v>
      </c>
      <c r="U126" s="163">
        <f t="shared" si="158"/>
        <v>243.1040268308081</v>
      </c>
      <c r="V126" s="164">
        <f t="shared" si="159"/>
        <v>832</v>
      </c>
      <c r="W126" s="164">
        <f t="shared" si="160"/>
        <v>332.8</v>
      </c>
      <c r="X126" s="144">
        <f t="shared" si="161"/>
        <v>866.66666666666663</v>
      </c>
      <c r="Y126" s="150">
        <f t="shared" si="162"/>
        <v>288.88888888888886</v>
      </c>
      <c r="Z126" s="150">
        <f t="shared" si="163"/>
        <v>866.66666666666663</v>
      </c>
      <c r="AA126" s="150">
        <f t="shared" si="164"/>
        <v>2860.0000000000005</v>
      </c>
      <c r="AB126" s="182">
        <f t="shared" si="165"/>
        <v>161.77777777777777</v>
      </c>
      <c r="AC126" s="182">
        <f t="shared" si="195"/>
        <v>556.11111111111109</v>
      </c>
      <c r="AD126" s="182">
        <f t="shared" si="196"/>
        <v>1040</v>
      </c>
      <c r="AE126" s="180">
        <f t="shared" si="197"/>
        <v>83.2</v>
      </c>
      <c r="AF126" s="150">
        <f t="shared" si="198"/>
        <v>936</v>
      </c>
      <c r="AG126" s="150">
        <f t="shared" si="199"/>
        <v>600</v>
      </c>
      <c r="AH126" s="150">
        <f t="shared" si="200"/>
        <v>12054.111111111109</v>
      </c>
      <c r="AI126" s="154">
        <f t="shared" si="201"/>
        <v>9840.8510061111119</v>
      </c>
      <c r="AJ126" s="70">
        <f t="shared" si="202"/>
        <v>9245.1434383333326</v>
      </c>
      <c r="AK126" s="155">
        <f t="shared" si="203"/>
        <v>0.2160771451062713</v>
      </c>
      <c r="AL126" s="155">
        <f t="shared" si="204"/>
        <v>0.28061966896918356</v>
      </c>
    </row>
    <row r="127" spans="2:38" s="102" customFormat="1" ht="15.75" customHeight="1" x14ac:dyDescent="0.2">
      <c r="B127" s="174" t="s">
        <v>370</v>
      </c>
      <c r="C127" s="171" t="s">
        <v>109</v>
      </c>
      <c r="D127" s="103">
        <v>176</v>
      </c>
      <c r="E127" s="104" t="s">
        <v>76</v>
      </c>
      <c r="F127" s="92">
        <v>0</v>
      </c>
      <c r="G127" s="219">
        <f>IF(F127&gt;0,F127,
IF(B127&lt;&gt;"",
IF(C127="CLT",VLOOKUP(B127,'Lista Profissionais'!$C$11:$H$348,3,0),
VLOOKUP(B127,'Lista Profissionais'!$C$11:$H$348,6,0)), 0))</f>
        <v>12000</v>
      </c>
      <c r="H127" s="219">
        <f>IF(B127&lt;&gt;"",
IF(C127="CLT",
       22*$M$5 + (G127*'Lista Profissionais'!$G$9),0),0)</f>
        <v>2950</v>
      </c>
      <c r="I127" s="66">
        <f t="shared" si="151"/>
        <v>12000</v>
      </c>
      <c r="J127" s="66">
        <f t="shared" si="192"/>
        <v>25731.666666666668</v>
      </c>
      <c r="K127" s="66">
        <f t="shared" si="193"/>
        <v>37008.955558333335</v>
      </c>
      <c r="L127" s="93">
        <f t="shared" si="152"/>
        <v>146.20265151515153</v>
      </c>
      <c r="M127" s="151"/>
      <c r="N127" s="152">
        <v>0</v>
      </c>
      <c r="O127" s="69">
        <f t="shared" si="153"/>
        <v>0</v>
      </c>
      <c r="P127" s="69">
        <f t="shared" si="154"/>
        <v>47603.583333333336</v>
      </c>
      <c r="Q127" s="70">
        <f t="shared" si="155"/>
        <v>47603.583333333336</v>
      </c>
      <c r="R127" s="153">
        <f t="shared" si="156"/>
        <v>1428.1075000000001</v>
      </c>
      <c r="S127" s="70">
        <v>0</v>
      </c>
      <c r="T127" s="165">
        <f t="shared" si="157"/>
        <v>49031.690833333334</v>
      </c>
      <c r="U127" s="163">
        <f t="shared" si="158"/>
        <v>278.58915246212121</v>
      </c>
      <c r="V127" s="164">
        <f t="shared" si="159"/>
        <v>960</v>
      </c>
      <c r="W127" s="164">
        <f t="shared" si="160"/>
        <v>384</v>
      </c>
      <c r="X127" s="144">
        <f t="shared" si="161"/>
        <v>1000</v>
      </c>
      <c r="Y127" s="150">
        <f t="shared" si="162"/>
        <v>333.33333333333331</v>
      </c>
      <c r="Z127" s="150">
        <f t="shared" si="163"/>
        <v>1000</v>
      </c>
      <c r="AA127" s="150">
        <f t="shared" si="164"/>
        <v>3300.0000000000005</v>
      </c>
      <c r="AB127" s="182">
        <f t="shared" si="165"/>
        <v>186.66666666666666</v>
      </c>
      <c r="AC127" s="182">
        <f t="shared" si="195"/>
        <v>641.66666666666663</v>
      </c>
      <c r="AD127" s="182">
        <f t="shared" si="196"/>
        <v>1200</v>
      </c>
      <c r="AE127" s="180">
        <f t="shared" si="197"/>
        <v>96</v>
      </c>
      <c r="AF127" s="150">
        <f t="shared" si="198"/>
        <v>1080</v>
      </c>
      <c r="AG127" s="150">
        <f t="shared" si="199"/>
        <v>600</v>
      </c>
      <c r="AH127" s="150">
        <f t="shared" si="200"/>
        <v>13731.666666666668</v>
      </c>
      <c r="AI127" s="154">
        <f t="shared" si="201"/>
        <v>11277.288891666667</v>
      </c>
      <c r="AJ127" s="70">
        <f t="shared" si="202"/>
        <v>10594.627775000003</v>
      </c>
      <c r="AK127" s="155">
        <f t="shared" si="203"/>
        <v>0.21607714510627138</v>
      </c>
      <c r="AL127" s="155">
        <f t="shared" si="204"/>
        <v>0.28061966896918356</v>
      </c>
    </row>
    <row r="128" spans="2:38" s="102" customFormat="1" ht="15.75" customHeight="1" x14ac:dyDescent="0.2">
      <c r="B128" s="200" t="s">
        <v>1429</v>
      </c>
      <c r="C128" s="171" t="s">
        <v>109</v>
      </c>
      <c r="D128" s="103">
        <v>176</v>
      </c>
      <c r="E128" s="104" t="s">
        <v>76</v>
      </c>
      <c r="F128" s="92">
        <v>0</v>
      </c>
      <c r="G128" s="219">
        <f>IF(F128&gt;0,F128,
IF(B128&lt;&gt;"",
IF(C128="CLT",VLOOKUP(B128,'Lista Profissionais'!$C$11:$H$348,3,0),
VLOOKUP(B128,'Lista Profissionais'!$C$11:$H$348,6,0)), 0))</f>
        <v>20000</v>
      </c>
      <c r="H128" s="219">
        <f>IF(B128&lt;&gt;"",
IF(C128="CLT",
       22*$M$5 + (G128*'Lista Profissionais'!$G$9),0),0)</f>
        <v>4550</v>
      </c>
      <c r="I128" s="66">
        <f t="shared" ref="I128:I131" si="205">(G128/$G$2)*D128</f>
        <v>20000</v>
      </c>
      <c r="J128" s="66">
        <f t="shared" ref="J128:J131" si="206">I128+AH128</f>
        <v>42119.444444444445</v>
      </c>
      <c r="K128" s="66">
        <f t="shared" ref="K128:K131" si="207">J128+S128+AI128</f>
        <v>60578.922763888891</v>
      </c>
      <c r="L128" s="93">
        <f t="shared" ref="L128:L131" si="208">IF(D128&gt;0,J128/D128,0)</f>
        <v>239.31502525252526</v>
      </c>
      <c r="M128" s="151"/>
      <c r="N128" s="152">
        <v>0</v>
      </c>
      <c r="O128" s="69">
        <f t="shared" ref="O128:O131" si="209">J128*$G$6</f>
        <v>0</v>
      </c>
      <c r="P128" s="69">
        <f t="shared" ref="P128:P131" si="210">IF(M128&gt;0,M128,  J128*(1+$G$5))</f>
        <v>77920.972222222234</v>
      </c>
      <c r="Q128" s="70">
        <f t="shared" ref="Q128:Q131" si="211">(P128+O128)</f>
        <v>77920.972222222234</v>
      </c>
      <c r="R128" s="153">
        <f t="shared" ref="R128:R131" si="212">IF(E128="Sim", Q128*$G$3,0)</f>
        <v>2337.6291666666671</v>
      </c>
      <c r="S128" s="70">
        <v>0</v>
      </c>
      <c r="T128" s="165">
        <f t="shared" ref="T128:T131" si="213">IF($D$4="Sim",(IF(E128="Não",0,(Q128+(Q128*$O$4)+R128+S128)*$D$5)+Q128),
IF(E128="Não",0,Q128+(Q128*$O$4)+R128+S128
))</f>
        <v>80258.601388888899</v>
      </c>
      <c r="U128" s="163">
        <f t="shared" ref="U128:U131" si="214">IF(D128&gt;0,T128/D128,0)</f>
        <v>456.01478061868693</v>
      </c>
      <c r="V128" s="164">
        <f t="shared" ref="V128:V131" si="215">IF(C128="CLT",
       I128*$M$2, 0)</f>
        <v>1600</v>
      </c>
      <c r="W128" s="164">
        <f t="shared" ref="W128:W131" si="216">IF(C128="CLT",
       V128*$M$3, 0)</f>
        <v>640</v>
      </c>
      <c r="X128" s="144">
        <f t="shared" ref="X128:X131" si="217">IF(C128="CLT",
       I128/12, 0)</f>
        <v>1666.6666666666667</v>
      </c>
      <c r="Y128" s="150">
        <f t="shared" ref="Y128:Y131" si="218">IF(C128="CLT",
       X128/3, 0)</f>
        <v>555.55555555555554</v>
      </c>
      <c r="Z128" s="150">
        <f t="shared" ref="Z128:Z131" si="219">IF(C128="CLT",
       I128/12, 0)</f>
        <v>1666.6666666666667</v>
      </c>
      <c r="AA128" s="150">
        <f t="shared" ref="AA128:AA131" si="220">IF(C128="CLT", I128*$S$2,0)</f>
        <v>5500</v>
      </c>
      <c r="AB128" s="182">
        <f t="shared" ref="AB128:AB131" si="221">IF(C128="CLT", SUM(X128:Z128) * $M$2,0)</f>
        <v>311.11111111111109</v>
      </c>
      <c r="AC128" s="182">
        <f t="shared" ref="AC128:AC131" si="222">IF(C128="CLT", SUM(X128:Z128)*$S$2,0)</f>
        <v>1069.4444444444446</v>
      </c>
      <c r="AD128" s="182">
        <f t="shared" ref="AD128:AD131" si="223">IF(C128="CLT",
       I128/30*3, 0)</f>
        <v>2000</v>
      </c>
      <c r="AE128" s="180">
        <f t="shared" ref="AE128:AE131" si="224">IF(C128="CLT",  AD128*$M$2, 0)</f>
        <v>160</v>
      </c>
      <c r="AF128" s="150">
        <f t="shared" ref="AF128:AF131" si="225">IF(C128="CLT",
       I128*$M$4, 0)</f>
        <v>1800</v>
      </c>
      <c r="AG128" s="150">
        <f t="shared" ref="AG128:AG131" si="226">IF(B128&lt;&gt;"",
IF(C128="CLT",
       $Q$2, 0),0)</f>
        <v>600</v>
      </c>
      <c r="AH128" s="150">
        <f t="shared" ref="AH128:AH131" si="227">SUM(V128:AG128)+H128</f>
        <v>22119.444444444445</v>
      </c>
      <c r="AI128" s="154">
        <f t="shared" ref="AI128:AI131" si="228">IF(E128="Sim", T128*$G$4, 0)</f>
        <v>18459.478319444446</v>
      </c>
      <c r="AJ128" s="70">
        <f t="shared" ref="AJ128:AJ131" si="229">T128-AI128-J128-R128</f>
        <v>17342.049458333342</v>
      </c>
      <c r="AK128" s="155">
        <f t="shared" ref="AK128:AK131" si="230">(IF(AJ128&gt;0,AJ128/T128,0))</f>
        <v>0.21607714510627141</v>
      </c>
      <c r="AL128" s="155">
        <f t="shared" ref="AL128:AL131" si="231">(IF(AJ128&gt;0,AJ128/(T128-AI128),0))</f>
        <v>0.28061966896918361</v>
      </c>
    </row>
    <row r="129" spans="2:38" s="102" customFormat="1" ht="15.75" customHeight="1" x14ac:dyDescent="0.2">
      <c r="B129" s="200" t="s">
        <v>1430</v>
      </c>
      <c r="C129" s="171" t="s">
        <v>109</v>
      </c>
      <c r="D129" s="103">
        <v>176</v>
      </c>
      <c r="E129" s="104" t="s">
        <v>76</v>
      </c>
      <c r="F129" s="92">
        <v>0</v>
      </c>
      <c r="G129" s="219">
        <f>IF(F129&gt;0,F129,
IF(B129&lt;&gt;"",
IF(C129="CLT",VLOOKUP(B129,'Lista Profissionais'!$C$11:$H$348,3,0),
VLOOKUP(B129,'Lista Profissionais'!$C$11:$H$348,6,0)), 0))</f>
        <v>6400</v>
      </c>
      <c r="H129" s="219">
        <f>IF(B129&lt;&gt;"",
IF(C129="CLT",
       22*$M$5 + (G129*'Lista Profissionais'!$G$9),0),0)</f>
        <v>1830</v>
      </c>
      <c r="I129" s="66">
        <f t="shared" si="205"/>
        <v>6400.0000000000009</v>
      </c>
      <c r="J129" s="66">
        <f t="shared" si="206"/>
        <v>14260.222222222224</v>
      </c>
      <c r="K129" s="66">
        <f t="shared" si="207"/>
        <v>20509.978514444447</v>
      </c>
      <c r="L129" s="93">
        <f t="shared" si="208"/>
        <v>81.02398989898991</v>
      </c>
      <c r="M129" s="151"/>
      <c r="N129" s="152">
        <v>0</v>
      </c>
      <c r="O129" s="69">
        <f t="shared" si="209"/>
        <v>0</v>
      </c>
      <c r="P129" s="69">
        <f t="shared" si="210"/>
        <v>26381.411111111116</v>
      </c>
      <c r="Q129" s="70">
        <f t="shared" si="211"/>
        <v>26381.411111111116</v>
      </c>
      <c r="R129" s="153">
        <f t="shared" si="212"/>
        <v>791.44233333333341</v>
      </c>
      <c r="S129" s="70">
        <v>0</v>
      </c>
      <c r="T129" s="165">
        <f t="shared" si="213"/>
        <v>27172.853444444449</v>
      </c>
      <c r="U129" s="163">
        <f t="shared" si="214"/>
        <v>154.39121275252526</v>
      </c>
      <c r="V129" s="164">
        <f t="shared" si="215"/>
        <v>512.00000000000011</v>
      </c>
      <c r="W129" s="164">
        <f t="shared" si="216"/>
        <v>204.80000000000007</v>
      </c>
      <c r="X129" s="144">
        <f t="shared" si="217"/>
        <v>533.33333333333337</v>
      </c>
      <c r="Y129" s="150">
        <f t="shared" si="218"/>
        <v>177.7777777777778</v>
      </c>
      <c r="Z129" s="150">
        <f t="shared" si="219"/>
        <v>533.33333333333337</v>
      </c>
      <c r="AA129" s="150">
        <f t="shared" si="220"/>
        <v>1760.0000000000005</v>
      </c>
      <c r="AB129" s="182">
        <f t="shared" si="221"/>
        <v>99.555555555555571</v>
      </c>
      <c r="AC129" s="182">
        <f t="shared" si="222"/>
        <v>342.22222222222229</v>
      </c>
      <c r="AD129" s="182">
        <f t="shared" si="223"/>
        <v>640.00000000000011</v>
      </c>
      <c r="AE129" s="180">
        <f t="shared" si="224"/>
        <v>51.20000000000001</v>
      </c>
      <c r="AF129" s="150">
        <f t="shared" si="225"/>
        <v>576.00000000000011</v>
      </c>
      <c r="AG129" s="150">
        <f t="shared" si="226"/>
        <v>600</v>
      </c>
      <c r="AH129" s="150">
        <f t="shared" si="227"/>
        <v>7860.2222222222235</v>
      </c>
      <c r="AI129" s="154">
        <f t="shared" si="228"/>
        <v>6249.7562922222232</v>
      </c>
      <c r="AJ129" s="70">
        <f t="shared" si="229"/>
        <v>5871.4325966666665</v>
      </c>
      <c r="AK129" s="155">
        <f t="shared" si="230"/>
        <v>0.2160771451062713</v>
      </c>
      <c r="AL129" s="155">
        <f t="shared" si="231"/>
        <v>0.2806196689691835</v>
      </c>
    </row>
    <row r="130" spans="2:38" s="102" customFormat="1" ht="15.75" customHeight="1" x14ac:dyDescent="0.2">
      <c r="B130" s="200" t="s">
        <v>1431</v>
      </c>
      <c r="C130" s="171" t="s">
        <v>109</v>
      </c>
      <c r="D130" s="103">
        <v>176</v>
      </c>
      <c r="E130" s="104" t="s">
        <v>76</v>
      </c>
      <c r="F130" s="92">
        <v>0</v>
      </c>
      <c r="G130" s="219">
        <f>IF(F130&gt;0,F130,
IF(B130&lt;&gt;"",
IF(C130="CLT",VLOOKUP(B130,'Lista Profissionais'!$C$11:$H$348,3,0),
VLOOKUP(B130,'Lista Profissionais'!$C$11:$H$348,6,0)), 0))</f>
        <v>11200</v>
      </c>
      <c r="H130" s="219">
        <f>IF(B130&lt;&gt;"",
IF(C130="CLT",
       22*$M$5 + (G130*'Lista Profissionais'!$G$9),0),0)</f>
        <v>2790</v>
      </c>
      <c r="I130" s="66">
        <f t="shared" si="205"/>
        <v>11200</v>
      </c>
      <c r="J130" s="66">
        <f t="shared" si="206"/>
        <v>24092.888888888891</v>
      </c>
      <c r="K130" s="66">
        <f t="shared" si="207"/>
        <v>34651.958837777784</v>
      </c>
      <c r="L130" s="93">
        <f t="shared" si="208"/>
        <v>136.89141414141415</v>
      </c>
      <c r="M130" s="151"/>
      <c r="N130" s="152">
        <v>0</v>
      </c>
      <c r="O130" s="69">
        <f t="shared" si="209"/>
        <v>0</v>
      </c>
      <c r="P130" s="69">
        <f t="shared" si="210"/>
        <v>44571.844444444447</v>
      </c>
      <c r="Q130" s="70">
        <f t="shared" si="211"/>
        <v>44571.844444444447</v>
      </c>
      <c r="R130" s="153">
        <f t="shared" si="212"/>
        <v>1337.1553333333334</v>
      </c>
      <c r="S130" s="70">
        <v>0</v>
      </c>
      <c r="T130" s="165">
        <f t="shared" si="213"/>
        <v>45908.999777777783</v>
      </c>
      <c r="U130" s="163">
        <f t="shared" si="214"/>
        <v>260.84658964646468</v>
      </c>
      <c r="V130" s="164">
        <f t="shared" si="215"/>
        <v>896</v>
      </c>
      <c r="W130" s="164">
        <f t="shared" si="216"/>
        <v>358.40000000000003</v>
      </c>
      <c r="X130" s="144">
        <f t="shared" si="217"/>
        <v>933.33333333333337</v>
      </c>
      <c r="Y130" s="150">
        <f t="shared" si="218"/>
        <v>311.11111111111114</v>
      </c>
      <c r="Z130" s="150">
        <f t="shared" si="219"/>
        <v>933.33333333333337</v>
      </c>
      <c r="AA130" s="150">
        <f t="shared" si="220"/>
        <v>3080.0000000000005</v>
      </c>
      <c r="AB130" s="182">
        <f t="shared" si="221"/>
        <v>174.22222222222223</v>
      </c>
      <c r="AC130" s="182">
        <f t="shared" si="222"/>
        <v>598.88888888888891</v>
      </c>
      <c r="AD130" s="182">
        <f t="shared" si="223"/>
        <v>1120</v>
      </c>
      <c r="AE130" s="180">
        <f t="shared" si="224"/>
        <v>89.600000000000009</v>
      </c>
      <c r="AF130" s="150">
        <f t="shared" si="225"/>
        <v>1008</v>
      </c>
      <c r="AG130" s="150">
        <f t="shared" si="226"/>
        <v>600</v>
      </c>
      <c r="AH130" s="150">
        <f t="shared" si="227"/>
        <v>12892.888888888891</v>
      </c>
      <c r="AI130" s="154">
        <f t="shared" si="228"/>
        <v>10559.069948888891</v>
      </c>
      <c r="AJ130" s="70">
        <f t="shared" si="229"/>
        <v>9919.8856066666649</v>
      </c>
      <c r="AK130" s="155">
        <f t="shared" si="230"/>
        <v>0.21607714510627127</v>
      </c>
      <c r="AL130" s="155">
        <f t="shared" si="231"/>
        <v>0.2806196689691835</v>
      </c>
    </row>
    <row r="131" spans="2:38" s="102" customFormat="1" ht="15.75" customHeight="1" x14ac:dyDescent="0.2">
      <c r="B131" s="240" t="s">
        <v>1432</v>
      </c>
      <c r="C131" s="171" t="s">
        <v>109</v>
      </c>
      <c r="D131" s="103">
        <v>176</v>
      </c>
      <c r="E131" s="104" t="s">
        <v>76</v>
      </c>
      <c r="F131" s="92">
        <v>0</v>
      </c>
      <c r="G131" s="219">
        <f>IF(F131&gt;0,F131,
IF(B131&lt;&gt;"",
IF(C131="CLT",VLOOKUP(B131,'Lista Profissionais'!$C$11:$H$348,3,0),
VLOOKUP(B131,'Lista Profissionais'!$C$11:$H$348,6,0)), 0))</f>
        <v>16400</v>
      </c>
      <c r="H131" s="219">
        <f>IF(B131&lt;&gt;"",
IF(C131="CLT",
       22*$M$5 + (G131*'Lista Profissionais'!$G$9),0),0)</f>
        <v>3830</v>
      </c>
      <c r="I131" s="66">
        <f t="shared" si="205"/>
        <v>16400</v>
      </c>
      <c r="J131" s="66">
        <f t="shared" si="206"/>
        <v>34744.944444444445</v>
      </c>
      <c r="K131" s="66">
        <f t="shared" si="207"/>
        <v>49972.437521388892</v>
      </c>
      <c r="L131" s="93">
        <f t="shared" si="208"/>
        <v>197.41445707070707</v>
      </c>
      <c r="M131" s="151"/>
      <c r="N131" s="152">
        <v>0</v>
      </c>
      <c r="O131" s="69">
        <f t="shared" si="209"/>
        <v>0</v>
      </c>
      <c r="P131" s="69">
        <f t="shared" si="210"/>
        <v>64278.147222222229</v>
      </c>
      <c r="Q131" s="70">
        <f t="shared" si="211"/>
        <v>64278.147222222229</v>
      </c>
      <c r="R131" s="153">
        <f t="shared" si="212"/>
        <v>1928.3444166666668</v>
      </c>
      <c r="S131" s="70">
        <v>0</v>
      </c>
      <c r="T131" s="165">
        <f t="shared" si="213"/>
        <v>66206.491638888896</v>
      </c>
      <c r="U131" s="163">
        <f t="shared" si="214"/>
        <v>376.17324794823236</v>
      </c>
      <c r="V131" s="164">
        <f t="shared" si="215"/>
        <v>1312</v>
      </c>
      <c r="W131" s="164">
        <f t="shared" si="216"/>
        <v>524.80000000000007</v>
      </c>
      <c r="X131" s="144">
        <f t="shared" si="217"/>
        <v>1366.6666666666667</v>
      </c>
      <c r="Y131" s="150">
        <f t="shared" si="218"/>
        <v>455.5555555555556</v>
      </c>
      <c r="Z131" s="150">
        <f t="shared" si="219"/>
        <v>1366.6666666666667</v>
      </c>
      <c r="AA131" s="150">
        <f t="shared" si="220"/>
        <v>4510</v>
      </c>
      <c r="AB131" s="182">
        <f t="shared" si="221"/>
        <v>255.11111111111114</v>
      </c>
      <c r="AC131" s="182">
        <f t="shared" si="222"/>
        <v>876.94444444444457</v>
      </c>
      <c r="AD131" s="182">
        <f t="shared" si="223"/>
        <v>1640</v>
      </c>
      <c r="AE131" s="180">
        <f t="shared" si="224"/>
        <v>131.19999999999999</v>
      </c>
      <c r="AF131" s="150">
        <f t="shared" si="225"/>
        <v>1476</v>
      </c>
      <c r="AG131" s="150">
        <f t="shared" si="226"/>
        <v>600</v>
      </c>
      <c r="AH131" s="150">
        <f t="shared" si="227"/>
        <v>18344.944444444445</v>
      </c>
      <c r="AI131" s="154">
        <f t="shared" si="228"/>
        <v>15227.493076944447</v>
      </c>
      <c r="AJ131" s="70">
        <f t="shared" si="229"/>
        <v>14305.709700833337</v>
      </c>
      <c r="AK131" s="155">
        <f t="shared" si="230"/>
        <v>0.21607714510627135</v>
      </c>
      <c r="AL131" s="155">
        <f t="shared" si="231"/>
        <v>0.28061966896918356</v>
      </c>
    </row>
    <row r="132" spans="2:38" s="102" customFormat="1" ht="15.75" customHeight="1" x14ac:dyDescent="0.2">
      <c r="B132" s="242" t="s">
        <v>1433</v>
      </c>
      <c r="C132" s="171" t="s">
        <v>109</v>
      </c>
      <c r="D132" s="103">
        <v>176</v>
      </c>
      <c r="E132" s="104" t="s">
        <v>76</v>
      </c>
      <c r="F132" s="92">
        <v>0</v>
      </c>
      <c r="G132" s="219">
        <f>IF(F132&gt;0,F132,
IF(B132&lt;&gt;"",
IF(C132="CLT",VLOOKUP(B132,'Lista Profissionais'!$C$11:$H$348,3,0),
VLOOKUP(B132,'Lista Profissionais'!$C$11:$H$348,6,0)), 0))</f>
        <v>20000</v>
      </c>
      <c r="H132" s="219">
        <f>IF(B132&lt;&gt;"",
IF(C132="CLT",
       22*$M$5 + (G132*'Lista Profissionais'!$G$9),0),0)</f>
        <v>4550</v>
      </c>
      <c r="I132" s="66">
        <f t="shared" ref="I132:I143" si="232">(G132/$G$2)*D132</f>
        <v>20000</v>
      </c>
      <c r="J132" s="66">
        <f t="shared" ref="J132:J143" si="233">I132+AH132</f>
        <v>42119.444444444445</v>
      </c>
      <c r="K132" s="66">
        <f t="shared" ref="K132:K143" si="234">J132+S132+AI132</f>
        <v>60578.922763888891</v>
      </c>
      <c r="L132" s="93">
        <f t="shared" ref="L132:L143" si="235">IF(D132&gt;0,J132/D132,0)</f>
        <v>239.31502525252526</v>
      </c>
      <c r="M132" s="151"/>
      <c r="N132" s="152">
        <v>0</v>
      </c>
      <c r="O132" s="69">
        <f t="shared" ref="O132:O143" si="236">J132*$G$6</f>
        <v>0</v>
      </c>
      <c r="P132" s="69">
        <f t="shared" ref="P132:P143" si="237">IF(M132&gt;0,M132,  J132*(1+$G$5))</f>
        <v>77920.972222222234</v>
      </c>
      <c r="Q132" s="70">
        <f t="shared" ref="Q132:Q143" si="238">(P132+O132)</f>
        <v>77920.972222222234</v>
      </c>
      <c r="R132" s="153">
        <f t="shared" ref="R132:R143" si="239">IF(E132="Sim", Q132*$G$3,0)</f>
        <v>2337.6291666666671</v>
      </c>
      <c r="S132" s="70">
        <v>0</v>
      </c>
      <c r="T132" s="165">
        <f t="shared" ref="T132:T143" si="240">IF($D$4="Sim",(IF(E132="Não",0,(Q132+(Q132*$O$4)+R132+S132)*$D$5)+Q132),
IF(E132="Não",0,Q132+(Q132*$O$4)+R132+S132
))</f>
        <v>80258.601388888899</v>
      </c>
      <c r="U132" s="163">
        <f t="shared" ref="U132:U143" si="241">IF(D132&gt;0,T132/D132,0)</f>
        <v>456.01478061868693</v>
      </c>
      <c r="V132" s="164">
        <f t="shared" ref="V132:V143" si="242">IF(C132="CLT",
       I132*$M$2, 0)</f>
        <v>1600</v>
      </c>
      <c r="W132" s="164">
        <f t="shared" ref="W132:W143" si="243">IF(C132="CLT",
       V132*$M$3, 0)</f>
        <v>640</v>
      </c>
      <c r="X132" s="144">
        <f t="shared" ref="X132:X143" si="244">IF(C132="CLT",
       I132/12, 0)</f>
        <v>1666.6666666666667</v>
      </c>
      <c r="Y132" s="150">
        <f t="shared" ref="Y132:Y143" si="245">IF(C132="CLT",
       X132/3, 0)</f>
        <v>555.55555555555554</v>
      </c>
      <c r="Z132" s="150">
        <f t="shared" ref="Z132:Z143" si="246">IF(C132="CLT",
       I132/12, 0)</f>
        <v>1666.6666666666667</v>
      </c>
      <c r="AA132" s="150">
        <f t="shared" ref="AA132:AA143" si="247">IF(C132="CLT", I132*$S$2,0)</f>
        <v>5500</v>
      </c>
      <c r="AB132" s="182">
        <f t="shared" ref="AB132:AB143" si="248">IF(C132="CLT", SUM(X132:Z132) * $M$2,0)</f>
        <v>311.11111111111109</v>
      </c>
      <c r="AC132" s="182">
        <f t="shared" ref="AC132:AC143" si="249">IF(C132="CLT", SUM(X132:Z132)*$S$2,0)</f>
        <v>1069.4444444444446</v>
      </c>
      <c r="AD132" s="182">
        <f t="shared" ref="AD132:AD143" si="250">IF(C132="CLT",
       I132/30*3, 0)</f>
        <v>2000</v>
      </c>
      <c r="AE132" s="180">
        <f t="shared" ref="AE132:AE143" si="251">IF(C132="CLT",  AD132*$M$2, 0)</f>
        <v>160</v>
      </c>
      <c r="AF132" s="150">
        <f t="shared" ref="AF132:AF143" si="252">IF(C132="CLT",
       I132*$M$4, 0)</f>
        <v>1800</v>
      </c>
      <c r="AG132" s="150">
        <f t="shared" ref="AG132:AG143" si="253">IF(B132&lt;&gt;"",
IF(C132="CLT",
       $Q$2, 0),0)</f>
        <v>600</v>
      </c>
      <c r="AH132" s="150">
        <f t="shared" ref="AH132:AH143" si="254">SUM(V132:AG132)+H132</f>
        <v>22119.444444444445</v>
      </c>
      <c r="AI132" s="154">
        <f t="shared" ref="AI132:AI143" si="255">IF(E132="Sim", T132*$G$4, 0)</f>
        <v>18459.478319444446</v>
      </c>
      <c r="AJ132" s="70">
        <f t="shared" ref="AJ132:AJ143" si="256">T132-AI132-J132-R132</f>
        <v>17342.049458333342</v>
      </c>
      <c r="AK132" s="155">
        <f t="shared" ref="AK132:AK143" si="257">(IF(AJ132&gt;0,AJ132/T132,0))</f>
        <v>0.21607714510627141</v>
      </c>
      <c r="AL132" s="155">
        <f t="shared" ref="AL132:AL143" si="258">(IF(AJ132&gt;0,AJ132/(T132-AI132),0))</f>
        <v>0.28061966896918361</v>
      </c>
    </row>
    <row r="133" spans="2:38" s="102" customFormat="1" ht="15.75" customHeight="1" x14ac:dyDescent="0.2">
      <c r="B133" s="242" t="s">
        <v>1434</v>
      </c>
      <c r="C133" s="171" t="s">
        <v>109</v>
      </c>
      <c r="D133" s="103">
        <v>176</v>
      </c>
      <c r="E133" s="104" t="s">
        <v>76</v>
      </c>
      <c r="F133" s="92">
        <v>0</v>
      </c>
      <c r="G133" s="219">
        <f>IF(F133&gt;0,F133,
IF(B133&lt;&gt;"",
IF(C133="CLT",VLOOKUP(B133,'Lista Profissionais'!$C$11:$H$348,3,0),
VLOOKUP(B133,'Lista Profissionais'!$C$11:$H$348,6,0)), 0))</f>
        <v>6560</v>
      </c>
      <c r="H133" s="219">
        <f>IF(B133&lt;&gt;"",
IF(C133="CLT",
       22*$M$5 + (G133*'Lista Profissionais'!$G$9),0),0)</f>
        <v>1862</v>
      </c>
      <c r="I133" s="66">
        <f t="shared" si="232"/>
        <v>6560</v>
      </c>
      <c r="J133" s="66">
        <f t="shared" si="233"/>
        <v>14587.977777777778</v>
      </c>
      <c r="K133" s="66">
        <f t="shared" si="234"/>
        <v>20981.377858555556</v>
      </c>
      <c r="L133" s="93">
        <f t="shared" si="235"/>
        <v>82.886237373737373</v>
      </c>
      <c r="M133" s="151"/>
      <c r="N133" s="152">
        <v>0</v>
      </c>
      <c r="O133" s="69">
        <f t="shared" si="236"/>
        <v>0</v>
      </c>
      <c r="P133" s="69">
        <f t="shared" si="237"/>
        <v>26987.758888888889</v>
      </c>
      <c r="Q133" s="70">
        <f t="shared" si="238"/>
        <v>26987.758888888889</v>
      </c>
      <c r="R133" s="153">
        <f t="shared" si="239"/>
        <v>809.63276666666661</v>
      </c>
      <c r="S133" s="70">
        <v>0</v>
      </c>
      <c r="T133" s="165">
        <f t="shared" si="240"/>
        <v>27797.391655555555</v>
      </c>
      <c r="U133" s="163">
        <f t="shared" si="241"/>
        <v>157.93972531565657</v>
      </c>
      <c r="V133" s="164">
        <f t="shared" si="242"/>
        <v>524.79999999999995</v>
      </c>
      <c r="W133" s="164">
        <f t="shared" si="243"/>
        <v>209.92</v>
      </c>
      <c r="X133" s="144">
        <f t="shared" si="244"/>
        <v>546.66666666666663</v>
      </c>
      <c r="Y133" s="150">
        <f t="shared" si="245"/>
        <v>182.2222222222222</v>
      </c>
      <c r="Z133" s="150">
        <f t="shared" si="246"/>
        <v>546.66666666666663</v>
      </c>
      <c r="AA133" s="150">
        <f t="shared" si="247"/>
        <v>1804.0000000000002</v>
      </c>
      <c r="AB133" s="182">
        <f t="shared" si="248"/>
        <v>102.04444444444444</v>
      </c>
      <c r="AC133" s="182">
        <f t="shared" si="249"/>
        <v>350.77777777777777</v>
      </c>
      <c r="AD133" s="182">
        <f t="shared" si="250"/>
        <v>656</v>
      </c>
      <c r="AE133" s="180">
        <f t="shared" si="251"/>
        <v>52.480000000000004</v>
      </c>
      <c r="AF133" s="150">
        <f t="shared" si="252"/>
        <v>590.4</v>
      </c>
      <c r="AG133" s="150">
        <f t="shared" si="253"/>
        <v>600</v>
      </c>
      <c r="AH133" s="150">
        <f t="shared" si="254"/>
        <v>8027.9777777777772</v>
      </c>
      <c r="AI133" s="154">
        <f t="shared" si="255"/>
        <v>6393.4000807777784</v>
      </c>
      <c r="AJ133" s="70">
        <f t="shared" si="256"/>
        <v>6006.381030333333</v>
      </c>
      <c r="AK133" s="155">
        <f t="shared" si="257"/>
        <v>0.21607714510627132</v>
      </c>
      <c r="AL133" s="155">
        <f t="shared" si="258"/>
        <v>0.2806196689691835</v>
      </c>
    </row>
    <row r="134" spans="2:38" s="102" customFormat="1" ht="15.75" customHeight="1" x14ac:dyDescent="0.2">
      <c r="B134" s="242" t="s">
        <v>1435</v>
      </c>
      <c r="C134" s="171" t="s">
        <v>109</v>
      </c>
      <c r="D134" s="103">
        <v>176</v>
      </c>
      <c r="E134" s="104" t="s">
        <v>76</v>
      </c>
      <c r="F134" s="92">
        <v>0</v>
      </c>
      <c r="G134" s="219">
        <f>IF(F134&gt;0,F134,
IF(B134&lt;&gt;"",
IF(C134="CLT",VLOOKUP(B134,'Lista Profissionais'!$C$11:$H$348,3,0),
VLOOKUP(B134,'Lista Profissionais'!$C$11:$H$348,6,0)), 0))</f>
        <v>11200</v>
      </c>
      <c r="H134" s="219">
        <f>IF(B134&lt;&gt;"",
IF(C134="CLT",
       22*$M$5 + (G134*'Lista Profissionais'!$G$9),0),0)</f>
        <v>2790</v>
      </c>
      <c r="I134" s="66">
        <f t="shared" si="232"/>
        <v>11200</v>
      </c>
      <c r="J134" s="66">
        <f t="shared" si="233"/>
        <v>24092.888888888891</v>
      </c>
      <c r="K134" s="66">
        <f t="shared" si="234"/>
        <v>34651.958837777784</v>
      </c>
      <c r="L134" s="93">
        <f t="shared" si="235"/>
        <v>136.89141414141415</v>
      </c>
      <c r="M134" s="151"/>
      <c r="N134" s="152">
        <v>0</v>
      </c>
      <c r="O134" s="69">
        <f t="shared" si="236"/>
        <v>0</v>
      </c>
      <c r="P134" s="69">
        <f t="shared" si="237"/>
        <v>44571.844444444447</v>
      </c>
      <c r="Q134" s="70">
        <f t="shared" si="238"/>
        <v>44571.844444444447</v>
      </c>
      <c r="R134" s="153">
        <f t="shared" si="239"/>
        <v>1337.1553333333334</v>
      </c>
      <c r="S134" s="70">
        <v>0</v>
      </c>
      <c r="T134" s="165">
        <f t="shared" si="240"/>
        <v>45908.999777777783</v>
      </c>
      <c r="U134" s="163">
        <f t="shared" si="241"/>
        <v>260.84658964646468</v>
      </c>
      <c r="V134" s="164">
        <f t="shared" si="242"/>
        <v>896</v>
      </c>
      <c r="W134" s="164">
        <f t="shared" si="243"/>
        <v>358.40000000000003</v>
      </c>
      <c r="X134" s="144">
        <f t="shared" si="244"/>
        <v>933.33333333333337</v>
      </c>
      <c r="Y134" s="150">
        <f t="shared" si="245"/>
        <v>311.11111111111114</v>
      </c>
      <c r="Z134" s="150">
        <f t="shared" si="246"/>
        <v>933.33333333333337</v>
      </c>
      <c r="AA134" s="150">
        <f t="shared" si="247"/>
        <v>3080.0000000000005</v>
      </c>
      <c r="AB134" s="182">
        <f t="shared" si="248"/>
        <v>174.22222222222223</v>
      </c>
      <c r="AC134" s="182">
        <f t="shared" si="249"/>
        <v>598.88888888888891</v>
      </c>
      <c r="AD134" s="182">
        <f t="shared" si="250"/>
        <v>1120</v>
      </c>
      <c r="AE134" s="180">
        <f t="shared" si="251"/>
        <v>89.600000000000009</v>
      </c>
      <c r="AF134" s="150">
        <f t="shared" si="252"/>
        <v>1008</v>
      </c>
      <c r="AG134" s="150">
        <f t="shared" si="253"/>
        <v>600</v>
      </c>
      <c r="AH134" s="150">
        <f t="shared" si="254"/>
        <v>12892.888888888891</v>
      </c>
      <c r="AI134" s="154">
        <f t="shared" si="255"/>
        <v>10559.069948888891</v>
      </c>
      <c r="AJ134" s="70">
        <f t="shared" si="256"/>
        <v>9919.8856066666649</v>
      </c>
      <c r="AK134" s="155">
        <f t="shared" si="257"/>
        <v>0.21607714510627127</v>
      </c>
      <c r="AL134" s="155">
        <f t="shared" si="258"/>
        <v>0.2806196689691835</v>
      </c>
    </row>
    <row r="135" spans="2:38" s="102" customFormat="1" ht="15.75" customHeight="1" x14ac:dyDescent="0.2">
      <c r="B135" s="242" t="s">
        <v>1436</v>
      </c>
      <c r="C135" s="171" t="s">
        <v>109</v>
      </c>
      <c r="D135" s="103">
        <v>176</v>
      </c>
      <c r="E135" s="104" t="s">
        <v>76</v>
      </c>
      <c r="F135" s="92">
        <v>0</v>
      </c>
      <c r="G135" s="219">
        <f>IF(F135&gt;0,F135,
IF(B135&lt;&gt;"",
IF(C135="CLT",VLOOKUP(B135,'Lista Profissionais'!$C$11:$H$348,3,0),
VLOOKUP(B135,'Lista Profissionais'!$C$11:$H$348,6,0)), 0))</f>
        <v>16400</v>
      </c>
      <c r="H135" s="219">
        <f>IF(B135&lt;&gt;"",
IF(C135="CLT",
       22*$M$5 + (G135*'Lista Profissionais'!$G$9),0),0)</f>
        <v>3830</v>
      </c>
      <c r="I135" s="66">
        <f t="shared" si="232"/>
        <v>16400</v>
      </c>
      <c r="J135" s="66">
        <f t="shared" si="233"/>
        <v>34744.944444444445</v>
      </c>
      <c r="K135" s="66">
        <f t="shared" si="234"/>
        <v>49972.437521388892</v>
      </c>
      <c r="L135" s="93">
        <f t="shared" si="235"/>
        <v>197.41445707070707</v>
      </c>
      <c r="M135" s="151"/>
      <c r="N135" s="152">
        <v>0</v>
      </c>
      <c r="O135" s="69">
        <f t="shared" si="236"/>
        <v>0</v>
      </c>
      <c r="P135" s="69">
        <f t="shared" si="237"/>
        <v>64278.147222222229</v>
      </c>
      <c r="Q135" s="70">
        <f t="shared" si="238"/>
        <v>64278.147222222229</v>
      </c>
      <c r="R135" s="153">
        <f t="shared" si="239"/>
        <v>1928.3444166666668</v>
      </c>
      <c r="S135" s="70">
        <v>0</v>
      </c>
      <c r="T135" s="165">
        <f t="shared" si="240"/>
        <v>66206.491638888896</v>
      </c>
      <c r="U135" s="163">
        <f t="shared" si="241"/>
        <v>376.17324794823236</v>
      </c>
      <c r="V135" s="164">
        <f t="shared" si="242"/>
        <v>1312</v>
      </c>
      <c r="W135" s="164">
        <f t="shared" si="243"/>
        <v>524.80000000000007</v>
      </c>
      <c r="X135" s="144">
        <f t="shared" si="244"/>
        <v>1366.6666666666667</v>
      </c>
      <c r="Y135" s="150">
        <f t="shared" si="245"/>
        <v>455.5555555555556</v>
      </c>
      <c r="Z135" s="150">
        <f t="shared" si="246"/>
        <v>1366.6666666666667</v>
      </c>
      <c r="AA135" s="150">
        <f t="shared" si="247"/>
        <v>4510</v>
      </c>
      <c r="AB135" s="182">
        <f t="shared" si="248"/>
        <v>255.11111111111114</v>
      </c>
      <c r="AC135" s="182">
        <f t="shared" si="249"/>
        <v>876.94444444444457</v>
      </c>
      <c r="AD135" s="182">
        <f t="shared" si="250"/>
        <v>1640</v>
      </c>
      <c r="AE135" s="180">
        <f t="shared" si="251"/>
        <v>131.19999999999999</v>
      </c>
      <c r="AF135" s="150">
        <f t="shared" si="252"/>
        <v>1476</v>
      </c>
      <c r="AG135" s="150">
        <f t="shared" si="253"/>
        <v>600</v>
      </c>
      <c r="AH135" s="150">
        <f t="shared" si="254"/>
        <v>18344.944444444445</v>
      </c>
      <c r="AI135" s="154">
        <f t="shared" si="255"/>
        <v>15227.493076944447</v>
      </c>
      <c r="AJ135" s="70">
        <f t="shared" si="256"/>
        <v>14305.709700833337</v>
      </c>
      <c r="AK135" s="155">
        <f t="shared" si="257"/>
        <v>0.21607714510627135</v>
      </c>
      <c r="AL135" s="155">
        <f t="shared" si="258"/>
        <v>0.28061966896918356</v>
      </c>
    </row>
    <row r="136" spans="2:38" s="102" customFormat="1" ht="15.75" customHeight="1" x14ac:dyDescent="0.2">
      <c r="B136" s="242" t="s">
        <v>1437</v>
      </c>
      <c r="C136" s="171" t="s">
        <v>109</v>
      </c>
      <c r="D136" s="103">
        <v>176</v>
      </c>
      <c r="E136" s="104" t="s">
        <v>76</v>
      </c>
      <c r="F136" s="92">
        <v>0</v>
      </c>
      <c r="G136" s="219">
        <f>IF(F136&gt;0,F136,
IF(B136&lt;&gt;"",
IF(C136="CLT",VLOOKUP(B136,'Lista Profissionais'!$C$11:$H$348,3,0),
VLOOKUP(B136,'Lista Profissionais'!$C$11:$H$348,6,0)), 0))</f>
        <v>23200</v>
      </c>
      <c r="H136" s="219">
        <f>IF(B136&lt;&gt;"",
IF(C136="CLT",
       22*$M$5 + (G136*'Lista Profissionais'!$G$9),0),0)</f>
        <v>5190</v>
      </c>
      <c r="I136" s="66">
        <f t="shared" si="232"/>
        <v>23200</v>
      </c>
      <c r="J136" s="66">
        <f t="shared" si="233"/>
        <v>48674.555555555555</v>
      </c>
      <c r="K136" s="66">
        <f t="shared" si="234"/>
        <v>70006.909646111104</v>
      </c>
      <c r="L136" s="93">
        <f t="shared" si="235"/>
        <v>276.55997474747477</v>
      </c>
      <c r="M136" s="151"/>
      <c r="N136" s="152">
        <v>0</v>
      </c>
      <c r="O136" s="69">
        <f t="shared" si="236"/>
        <v>0</v>
      </c>
      <c r="P136" s="69">
        <f t="shared" si="237"/>
        <v>90047.927777777775</v>
      </c>
      <c r="Q136" s="70">
        <f t="shared" si="238"/>
        <v>90047.927777777775</v>
      </c>
      <c r="R136" s="153">
        <f t="shared" si="239"/>
        <v>2701.4378333333329</v>
      </c>
      <c r="S136" s="70">
        <v>0</v>
      </c>
      <c r="T136" s="165">
        <f t="shared" si="240"/>
        <v>92749.365611111105</v>
      </c>
      <c r="U136" s="163">
        <f t="shared" si="241"/>
        <v>526.98503188131315</v>
      </c>
      <c r="V136" s="164">
        <f t="shared" si="242"/>
        <v>1856</v>
      </c>
      <c r="W136" s="164">
        <f t="shared" si="243"/>
        <v>742.40000000000009</v>
      </c>
      <c r="X136" s="144">
        <f t="shared" si="244"/>
        <v>1933.3333333333333</v>
      </c>
      <c r="Y136" s="150">
        <f t="shared" si="245"/>
        <v>644.44444444444446</v>
      </c>
      <c r="Z136" s="150">
        <f t="shared" si="246"/>
        <v>1933.3333333333333</v>
      </c>
      <c r="AA136" s="150">
        <f t="shared" si="247"/>
        <v>6380.0000000000009</v>
      </c>
      <c r="AB136" s="182">
        <f t="shared" si="248"/>
        <v>360.88888888888891</v>
      </c>
      <c r="AC136" s="182">
        <f t="shared" si="249"/>
        <v>1240.5555555555557</v>
      </c>
      <c r="AD136" s="182">
        <f t="shared" si="250"/>
        <v>2320</v>
      </c>
      <c r="AE136" s="180">
        <f t="shared" si="251"/>
        <v>185.6</v>
      </c>
      <c r="AF136" s="150">
        <f t="shared" si="252"/>
        <v>2088</v>
      </c>
      <c r="AG136" s="150">
        <f t="shared" si="253"/>
        <v>600</v>
      </c>
      <c r="AH136" s="150">
        <f t="shared" si="254"/>
        <v>25474.555555555555</v>
      </c>
      <c r="AI136" s="154">
        <f t="shared" si="255"/>
        <v>21332.354090555556</v>
      </c>
      <c r="AJ136" s="70">
        <f t="shared" si="256"/>
        <v>20041.01813166666</v>
      </c>
      <c r="AK136" s="155">
        <f t="shared" si="257"/>
        <v>0.21607714510627127</v>
      </c>
      <c r="AL136" s="155">
        <f t="shared" si="258"/>
        <v>0.28061966896918344</v>
      </c>
    </row>
    <row r="137" spans="2:38" s="102" customFormat="1" ht="15.75" customHeight="1" x14ac:dyDescent="0.2">
      <c r="B137" s="242" t="s">
        <v>1438</v>
      </c>
      <c r="C137" s="171" t="s">
        <v>109</v>
      </c>
      <c r="D137" s="103">
        <v>176</v>
      </c>
      <c r="E137" s="104" t="s">
        <v>76</v>
      </c>
      <c r="F137" s="92">
        <v>0</v>
      </c>
      <c r="G137" s="219">
        <f>IF(F137&gt;0,F137,
IF(B137&lt;&gt;"",
IF(C137="CLT",VLOOKUP(B137,'Lista Profissionais'!$C$11:$H$348,3,0),
VLOOKUP(B137,'Lista Profissionais'!$C$11:$H$348,6,0)), 0))</f>
        <v>7040</v>
      </c>
      <c r="H137" s="219">
        <f>IF(B137&lt;&gt;"",
IF(C137="CLT",
       22*$M$5 + (G137*'Lista Profissionais'!$G$9),0),0)</f>
        <v>1958</v>
      </c>
      <c r="I137" s="66">
        <f t="shared" si="232"/>
        <v>7040</v>
      </c>
      <c r="J137" s="66">
        <f t="shared" si="233"/>
        <v>15571.244444444445</v>
      </c>
      <c r="K137" s="66">
        <f t="shared" si="234"/>
        <v>22395.575890888889</v>
      </c>
      <c r="L137" s="93">
        <f t="shared" si="235"/>
        <v>88.472979797979804</v>
      </c>
      <c r="M137" s="151"/>
      <c r="N137" s="152">
        <v>0</v>
      </c>
      <c r="O137" s="69">
        <f t="shared" si="236"/>
        <v>0</v>
      </c>
      <c r="P137" s="69">
        <f t="shared" si="237"/>
        <v>28806.802222222224</v>
      </c>
      <c r="Q137" s="70">
        <f t="shared" si="238"/>
        <v>28806.802222222224</v>
      </c>
      <c r="R137" s="153">
        <f t="shared" si="239"/>
        <v>864.20406666666668</v>
      </c>
      <c r="S137" s="70">
        <v>0</v>
      </c>
      <c r="T137" s="165">
        <f t="shared" si="240"/>
        <v>29671.00628888889</v>
      </c>
      <c r="U137" s="163">
        <f t="shared" si="241"/>
        <v>168.58526300505051</v>
      </c>
      <c r="V137" s="164">
        <f t="shared" si="242"/>
        <v>563.20000000000005</v>
      </c>
      <c r="W137" s="164">
        <f t="shared" si="243"/>
        <v>225.28000000000003</v>
      </c>
      <c r="X137" s="144">
        <f t="shared" si="244"/>
        <v>586.66666666666663</v>
      </c>
      <c r="Y137" s="150">
        <f t="shared" si="245"/>
        <v>195.55555555555554</v>
      </c>
      <c r="Z137" s="150">
        <f t="shared" si="246"/>
        <v>586.66666666666663</v>
      </c>
      <c r="AA137" s="150">
        <f t="shared" si="247"/>
        <v>1936.0000000000002</v>
      </c>
      <c r="AB137" s="182">
        <f t="shared" si="248"/>
        <v>109.51111111111109</v>
      </c>
      <c r="AC137" s="182">
        <f t="shared" si="249"/>
        <v>376.4444444444444</v>
      </c>
      <c r="AD137" s="182">
        <f t="shared" si="250"/>
        <v>704</v>
      </c>
      <c r="AE137" s="180">
        <f t="shared" si="251"/>
        <v>56.32</v>
      </c>
      <c r="AF137" s="150">
        <f t="shared" si="252"/>
        <v>633.6</v>
      </c>
      <c r="AG137" s="150">
        <f t="shared" si="253"/>
        <v>600</v>
      </c>
      <c r="AH137" s="150">
        <f t="shared" si="254"/>
        <v>8531.2444444444445</v>
      </c>
      <c r="AI137" s="154">
        <f t="shared" si="255"/>
        <v>6824.3314464444447</v>
      </c>
      <c r="AJ137" s="70">
        <f t="shared" si="256"/>
        <v>6411.2263313333333</v>
      </c>
      <c r="AK137" s="155">
        <f t="shared" si="257"/>
        <v>0.21607714510627132</v>
      </c>
      <c r="AL137" s="155">
        <f t="shared" si="258"/>
        <v>0.2806196689691835</v>
      </c>
    </row>
    <row r="138" spans="2:38" s="102" customFormat="1" ht="15.75" customHeight="1" x14ac:dyDescent="0.2">
      <c r="B138" s="242" t="s">
        <v>1439</v>
      </c>
      <c r="C138" s="171" t="s">
        <v>109</v>
      </c>
      <c r="D138" s="103">
        <v>176</v>
      </c>
      <c r="E138" s="104" t="s">
        <v>76</v>
      </c>
      <c r="F138" s="92">
        <v>0</v>
      </c>
      <c r="G138" s="219">
        <f>IF(F138&gt;0,F138,
IF(B138&lt;&gt;"",
IF(C138="CLT",VLOOKUP(B138,'Lista Profissionais'!$C$11:$H$348,3,0),
VLOOKUP(B138,'Lista Profissionais'!$C$11:$H$348,6,0)), 0))</f>
        <v>12400</v>
      </c>
      <c r="H138" s="219">
        <f>IF(B138&lt;&gt;"",
IF(C138="CLT",
       22*$M$5 + (G138*'Lista Profissionais'!$G$9),0),0)</f>
        <v>3030</v>
      </c>
      <c r="I138" s="66">
        <f t="shared" si="232"/>
        <v>12400</v>
      </c>
      <c r="J138" s="66">
        <f t="shared" si="233"/>
        <v>26551.055555555555</v>
      </c>
      <c r="K138" s="66">
        <f t="shared" si="234"/>
        <v>38187.453918611107</v>
      </c>
      <c r="L138" s="93">
        <f t="shared" si="235"/>
        <v>150.85827020202021</v>
      </c>
      <c r="M138" s="151"/>
      <c r="N138" s="152">
        <v>0</v>
      </c>
      <c r="O138" s="69">
        <f t="shared" si="236"/>
        <v>0</v>
      </c>
      <c r="P138" s="69">
        <f t="shared" si="237"/>
        <v>49119.452777777777</v>
      </c>
      <c r="Q138" s="70">
        <f t="shared" si="238"/>
        <v>49119.452777777777</v>
      </c>
      <c r="R138" s="153">
        <f t="shared" si="239"/>
        <v>1473.5835833333333</v>
      </c>
      <c r="S138" s="70">
        <v>0</v>
      </c>
      <c r="T138" s="165">
        <f t="shared" si="240"/>
        <v>50593.03636111111</v>
      </c>
      <c r="U138" s="163">
        <f t="shared" si="241"/>
        <v>287.4604338699495</v>
      </c>
      <c r="V138" s="164">
        <f t="shared" si="242"/>
        <v>992</v>
      </c>
      <c r="W138" s="164">
        <f t="shared" si="243"/>
        <v>396.8</v>
      </c>
      <c r="X138" s="144">
        <f t="shared" si="244"/>
        <v>1033.3333333333333</v>
      </c>
      <c r="Y138" s="150">
        <f t="shared" si="245"/>
        <v>344.4444444444444</v>
      </c>
      <c r="Z138" s="150">
        <f t="shared" si="246"/>
        <v>1033.3333333333333</v>
      </c>
      <c r="AA138" s="150">
        <f t="shared" si="247"/>
        <v>3410.0000000000005</v>
      </c>
      <c r="AB138" s="182">
        <f t="shared" si="248"/>
        <v>192.88888888888889</v>
      </c>
      <c r="AC138" s="182">
        <f t="shared" si="249"/>
        <v>663.05555555555554</v>
      </c>
      <c r="AD138" s="182">
        <f t="shared" si="250"/>
        <v>1240</v>
      </c>
      <c r="AE138" s="180">
        <f t="shared" si="251"/>
        <v>99.2</v>
      </c>
      <c r="AF138" s="150">
        <f t="shared" si="252"/>
        <v>1116</v>
      </c>
      <c r="AG138" s="150">
        <f t="shared" si="253"/>
        <v>600</v>
      </c>
      <c r="AH138" s="150">
        <f t="shared" si="254"/>
        <v>14151.055555555555</v>
      </c>
      <c r="AI138" s="154">
        <f t="shared" si="255"/>
        <v>11636.398363055556</v>
      </c>
      <c r="AJ138" s="70">
        <f t="shared" si="256"/>
        <v>10931.998859166662</v>
      </c>
      <c r="AK138" s="155">
        <f t="shared" si="257"/>
        <v>0.21607714510627124</v>
      </c>
      <c r="AL138" s="155">
        <f t="shared" si="258"/>
        <v>0.28061966896918344</v>
      </c>
    </row>
    <row r="139" spans="2:38" s="102" customFormat="1" ht="15.75" customHeight="1" x14ac:dyDescent="0.2">
      <c r="B139" s="242" t="s">
        <v>1440</v>
      </c>
      <c r="C139" s="171" t="s">
        <v>109</v>
      </c>
      <c r="D139" s="103">
        <v>176</v>
      </c>
      <c r="E139" s="104" t="s">
        <v>76</v>
      </c>
      <c r="F139" s="92">
        <v>0</v>
      </c>
      <c r="G139" s="219">
        <f>IF(F139&gt;0,F139,
IF(B139&lt;&gt;"",
IF(C139="CLT",VLOOKUP(B139,'Lista Profissionais'!$C$11:$H$348,3,0),
VLOOKUP(B139,'Lista Profissionais'!$C$11:$H$348,6,0)), 0))</f>
        <v>16800</v>
      </c>
      <c r="H139" s="219">
        <f>IF(B139&lt;&gt;"",
IF(C139="CLT",
       22*$M$5 + (G139*'Lista Profissionais'!$G$9),0),0)</f>
        <v>3910</v>
      </c>
      <c r="I139" s="66">
        <f t="shared" si="232"/>
        <v>16800</v>
      </c>
      <c r="J139" s="66">
        <f t="shared" si="233"/>
        <v>35564.333333333336</v>
      </c>
      <c r="K139" s="66">
        <f t="shared" si="234"/>
        <v>51150.935881666672</v>
      </c>
      <c r="L139" s="93">
        <f t="shared" si="235"/>
        <v>202.07007575757578</v>
      </c>
      <c r="M139" s="151"/>
      <c r="N139" s="152">
        <v>0</v>
      </c>
      <c r="O139" s="69">
        <f t="shared" si="236"/>
        <v>0</v>
      </c>
      <c r="P139" s="69">
        <f t="shared" si="237"/>
        <v>65794.016666666677</v>
      </c>
      <c r="Q139" s="70">
        <f t="shared" si="238"/>
        <v>65794.016666666677</v>
      </c>
      <c r="R139" s="153">
        <f t="shared" si="239"/>
        <v>1973.8205000000003</v>
      </c>
      <c r="S139" s="70">
        <v>0</v>
      </c>
      <c r="T139" s="165">
        <f t="shared" si="240"/>
        <v>67767.837166666679</v>
      </c>
      <c r="U139" s="163">
        <f t="shared" si="241"/>
        <v>385.04452935606065</v>
      </c>
      <c r="V139" s="164">
        <f t="shared" si="242"/>
        <v>1344</v>
      </c>
      <c r="W139" s="164">
        <f t="shared" si="243"/>
        <v>537.6</v>
      </c>
      <c r="X139" s="144">
        <f t="shared" si="244"/>
        <v>1400</v>
      </c>
      <c r="Y139" s="150">
        <f t="shared" si="245"/>
        <v>466.66666666666669</v>
      </c>
      <c r="Z139" s="150">
        <f t="shared" si="246"/>
        <v>1400</v>
      </c>
      <c r="AA139" s="150">
        <f t="shared" si="247"/>
        <v>4620</v>
      </c>
      <c r="AB139" s="182">
        <f t="shared" si="248"/>
        <v>261.33333333333337</v>
      </c>
      <c r="AC139" s="182">
        <f t="shared" si="249"/>
        <v>898.33333333333348</v>
      </c>
      <c r="AD139" s="182">
        <f t="shared" si="250"/>
        <v>1680</v>
      </c>
      <c r="AE139" s="180">
        <f t="shared" si="251"/>
        <v>134.4</v>
      </c>
      <c r="AF139" s="150">
        <f t="shared" si="252"/>
        <v>1512</v>
      </c>
      <c r="AG139" s="150">
        <f t="shared" si="253"/>
        <v>600</v>
      </c>
      <c r="AH139" s="150">
        <f t="shared" si="254"/>
        <v>18764.333333333336</v>
      </c>
      <c r="AI139" s="154">
        <f t="shared" si="255"/>
        <v>15586.602548333336</v>
      </c>
      <c r="AJ139" s="70">
        <f t="shared" si="256"/>
        <v>14643.080785000007</v>
      </c>
      <c r="AK139" s="155">
        <f t="shared" si="257"/>
        <v>0.21607714510627138</v>
      </c>
      <c r="AL139" s="155">
        <f t="shared" si="258"/>
        <v>0.28061966896918361</v>
      </c>
    </row>
    <row r="140" spans="2:38" s="102" customFormat="1" ht="15.75" customHeight="1" x14ac:dyDescent="0.2">
      <c r="B140" s="242" t="s">
        <v>1441</v>
      </c>
      <c r="C140" s="171" t="s">
        <v>109</v>
      </c>
      <c r="D140" s="103">
        <v>176</v>
      </c>
      <c r="E140" s="104" t="s">
        <v>76</v>
      </c>
      <c r="F140" s="92">
        <v>0</v>
      </c>
      <c r="G140" s="219">
        <f>IF(F140&gt;0,F140,
IF(B140&lt;&gt;"",
IF(C140="CLT",VLOOKUP(B140,'Lista Profissionais'!$C$11:$H$348,3,0),
VLOOKUP(B140,'Lista Profissionais'!$C$11:$H$348,6,0)), 0))</f>
        <v>22400</v>
      </c>
      <c r="H140" s="219">
        <f>IF(B140&lt;&gt;"",
IF(C140="CLT",
       22*$M$5 + (G140*'Lista Profissionais'!$G$9),0),0)</f>
        <v>5030</v>
      </c>
      <c r="I140" s="66">
        <f t="shared" si="232"/>
        <v>22400</v>
      </c>
      <c r="J140" s="66">
        <f t="shared" si="233"/>
        <v>47035.777777777781</v>
      </c>
      <c r="K140" s="66">
        <f>J140+S140+AI140</f>
        <v>67649.91292555556</v>
      </c>
      <c r="L140" s="93">
        <f t="shared" si="235"/>
        <v>267.24873737373741</v>
      </c>
      <c r="M140" s="151"/>
      <c r="N140" s="152">
        <v>0</v>
      </c>
      <c r="O140" s="69">
        <f t="shared" si="236"/>
        <v>0</v>
      </c>
      <c r="P140" s="69">
        <f t="shared" si="237"/>
        <v>87016.188888888893</v>
      </c>
      <c r="Q140" s="70">
        <f t="shared" si="238"/>
        <v>87016.188888888893</v>
      </c>
      <c r="R140" s="153">
        <f t="shared" si="239"/>
        <v>2610.4856666666669</v>
      </c>
      <c r="S140" s="70">
        <v>0</v>
      </c>
      <c r="T140" s="165">
        <f t="shared" si="240"/>
        <v>89626.674555555554</v>
      </c>
      <c r="U140" s="163">
        <f t="shared" si="241"/>
        <v>509.24246906565656</v>
      </c>
      <c r="V140" s="164">
        <f t="shared" si="242"/>
        <v>1792</v>
      </c>
      <c r="W140" s="164">
        <f t="shared" si="243"/>
        <v>716.80000000000007</v>
      </c>
      <c r="X140" s="144">
        <f t="shared" si="244"/>
        <v>1866.6666666666667</v>
      </c>
      <c r="Y140" s="150">
        <f t="shared" si="245"/>
        <v>622.22222222222229</v>
      </c>
      <c r="Z140" s="150">
        <f t="shared" si="246"/>
        <v>1866.6666666666667</v>
      </c>
      <c r="AA140" s="150">
        <f t="shared" si="247"/>
        <v>6160.0000000000009</v>
      </c>
      <c r="AB140" s="182">
        <f t="shared" si="248"/>
        <v>348.44444444444446</v>
      </c>
      <c r="AC140" s="182">
        <f t="shared" si="249"/>
        <v>1197.7777777777778</v>
      </c>
      <c r="AD140" s="182">
        <f t="shared" si="250"/>
        <v>2240</v>
      </c>
      <c r="AE140" s="180">
        <f t="shared" si="251"/>
        <v>179.20000000000002</v>
      </c>
      <c r="AF140" s="150">
        <f t="shared" si="252"/>
        <v>2016</v>
      </c>
      <c r="AG140" s="150">
        <f t="shared" si="253"/>
        <v>600</v>
      </c>
      <c r="AH140" s="150">
        <f t="shared" si="254"/>
        <v>24635.777777777781</v>
      </c>
      <c r="AI140" s="154">
        <f t="shared" si="255"/>
        <v>20614.135147777779</v>
      </c>
      <c r="AJ140" s="70">
        <f t="shared" si="256"/>
        <v>19366.275963333326</v>
      </c>
      <c r="AK140" s="155">
        <f t="shared" si="257"/>
        <v>0.21607714510627124</v>
      </c>
      <c r="AL140" s="155">
        <f t="shared" si="258"/>
        <v>0.28061966896918344</v>
      </c>
    </row>
    <row r="141" spans="2:38" s="102" customFormat="1" ht="15.75" customHeight="1" x14ac:dyDescent="0.2">
      <c r="B141" s="242" t="s">
        <v>1442</v>
      </c>
      <c r="C141" s="171" t="s">
        <v>109</v>
      </c>
      <c r="D141" s="103">
        <v>176</v>
      </c>
      <c r="E141" s="104" t="s">
        <v>76</v>
      </c>
      <c r="F141" s="92">
        <v>0</v>
      </c>
      <c r="G141" s="219">
        <f>IF(F141&gt;0,F141,
IF(B141&lt;&gt;"",
IF(C141="CLT",VLOOKUP(B141,'Lista Profissionais'!$C$11:$H$348,3,0),
VLOOKUP(B141,'Lista Profissionais'!$C$11:$H$348,6,0)), 0))</f>
        <v>6800</v>
      </c>
      <c r="H141" s="219">
        <f>IF(B141&lt;&gt;"",
IF(C141="CLT",
       22*$M$5 + (G141*'Lista Profissionais'!$G$9),0),0)</f>
        <v>1910</v>
      </c>
      <c r="I141" s="66">
        <f t="shared" si="232"/>
        <v>6799.9999999999991</v>
      </c>
      <c r="J141" s="66">
        <f t="shared" si="233"/>
        <v>15079.611111111109</v>
      </c>
      <c r="K141" s="66">
        <f t="shared" si="234"/>
        <v>21688.476874722219</v>
      </c>
      <c r="L141" s="93">
        <f t="shared" si="235"/>
        <v>85.679608585858574</v>
      </c>
      <c r="M141" s="151"/>
      <c r="N141" s="152">
        <v>0</v>
      </c>
      <c r="O141" s="69">
        <f t="shared" si="236"/>
        <v>0</v>
      </c>
      <c r="P141" s="69">
        <f t="shared" si="237"/>
        <v>27897.280555555553</v>
      </c>
      <c r="Q141" s="70">
        <f t="shared" si="238"/>
        <v>27897.280555555553</v>
      </c>
      <c r="R141" s="153">
        <f t="shared" si="239"/>
        <v>836.91841666666653</v>
      </c>
      <c r="S141" s="70">
        <v>0</v>
      </c>
      <c r="T141" s="165">
        <f t="shared" si="240"/>
        <v>28734.198972222221</v>
      </c>
      <c r="U141" s="163">
        <f t="shared" si="241"/>
        <v>163.26249416035353</v>
      </c>
      <c r="V141" s="164">
        <f t="shared" si="242"/>
        <v>543.99999999999989</v>
      </c>
      <c r="W141" s="164">
        <f t="shared" si="243"/>
        <v>217.59999999999997</v>
      </c>
      <c r="X141" s="144">
        <f t="shared" si="244"/>
        <v>566.66666666666663</v>
      </c>
      <c r="Y141" s="150">
        <f t="shared" si="245"/>
        <v>188.88888888888889</v>
      </c>
      <c r="Z141" s="150">
        <f t="shared" si="246"/>
        <v>566.66666666666663</v>
      </c>
      <c r="AA141" s="150">
        <f t="shared" si="247"/>
        <v>1870</v>
      </c>
      <c r="AB141" s="182">
        <f t="shared" si="248"/>
        <v>105.77777777777777</v>
      </c>
      <c r="AC141" s="182">
        <f t="shared" si="249"/>
        <v>363.61111111111114</v>
      </c>
      <c r="AD141" s="182">
        <f t="shared" si="250"/>
        <v>679.99999999999989</v>
      </c>
      <c r="AE141" s="180">
        <f t="shared" si="251"/>
        <v>54.399999999999991</v>
      </c>
      <c r="AF141" s="150">
        <f t="shared" si="252"/>
        <v>611.99999999999989</v>
      </c>
      <c r="AG141" s="150">
        <f t="shared" si="253"/>
        <v>600</v>
      </c>
      <c r="AH141" s="150">
        <f t="shared" si="254"/>
        <v>8279.6111111111095</v>
      </c>
      <c r="AI141" s="154">
        <f t="shared" si="255"/>
        <v>6608.8657636111111</v>
      </c>
      <c r="AJ141" s="70">
        <f t="shared" si="256"/>
        <v>6208.8036808333354</v>
      </c>
      <c r="AK141" s="155">
        <f t="shared" si="257"/>
        <v>0.21607714510627141</v>
      </c>
      <c r="AL141" s="155">
        <f t="shared" si="258"/>
        <v>0.28061966896918361</v>
      </c>
    </row>
    <row r="142" spans="2:38" s="102" customFormat="1" ht="15.75" customHeight="1" x14ac:dyDescent="0.2">
      <c r="B142" s="242" t="s">
        <v>1443</v>
      </c>
      <c r="C142" s="171" t="s">
        <v>109</v>
      </c>
      <c r="D142" s="103">
        <v>176</v>
      </c>
      <c r="E142" s="104" t="s">
        <v>76</v>
      </c>
      <c r="F142" s="92">
        <v>0</v>
      </c>
      <c r="G142" s="219">
        <f>IF(F142&gt;0,F142,
IF(B142&lt;&gt;"",
IF(C142="CLT",VLOOKUP(B142,'Lista Profissionais'!$C$11:$H$348,3,0),
VLOOKUP(B142,'Lista Profissionais'!$C$11:$H$348,6,0)), 0))</f>
        <v>12000</v>
      </c>
      <c r="H142" s="219">
        <f>IF(B142&lt;&gt;"",
IF(C142="CLT",
       22*$M$5 + (G142*'Lista Profissionais'!$G$9),0),0)</f>
        <v>2950</v>
      </c>
      <c r="I142" s="66">
        <f t="shared" si="232"/>
        <v>12000</v>
      </c>
      <c r="J142" s="66">
        <f t="shared" si="233"/>
        <v>25731.666666666668</v>
      </c>
      <c r="K142" s="66">
        <f t="shared" si="234"/>
        <v>37008.955558333335</v>
      </c>
      <c r="L142" s="93">
        <f t="shared" si="235"/>
        <v>146.20265151515153</v>
      </c>
      <c r="M142" s="151"/>
      <c r="N142" s="152">
        <v>0</v>
      </c>
      <c r="O142" s="69">
        <f t="shared" si="236"/>
        <v>0</v>
      </c>
      <c r="P142" s="69">
        <f t="shared" si="237"/>
        <v>47603.583333333336</v>
      </c>
      <c r="Q142" s="70">
        <f t="shared" si="238"/>
        <v>47603.583333333336</v>
      </c>
      <c r="R142" s="153">
        <f t="shared" si="239"/>
        <v>1428.1075000000001</v>
      </c>
      <c r="S142" s="70">
        <v>0</v>
      </c>
      <c r="T142" s="165">
        <f t="shared" si="240"/>
        <v>49031.690833333334</v>
      </c>
      <c r="U142" s="163">
        <f t="shared" si="241"/>
        <v>278.58915246212121</v>
      </c>
      <c r="V142" s="164">
        <f t="shared" si="242"/>
        <v>960</v>
      </c>
      <c r="W142" s="164">
        <f t="shared" si="243"/>
        <v>384</v>
      </c>
      <c r="X142" s="144">
        <f t="shared" si="244"/>
        <v>1000</v>
      </c>
      <c r="Y142" s="150">
        <f t="shared" si="245"/>
        <v>333.33333333333331</v>
      </c>
      <c r="Z142" s="150">
        <f t="shared" si="246"/>
        <v>1000</v>
      </c>
      <c r="AA142" s="150">
        <f t="shared" si="247"/>
        <v>3300.0000000000005</v>
      </c>
      <c r="AB142" s="182">
        <f t="shared" si="248"/>
        <v>186.66666666666666</v>
      </c>
      <c r="AC142" s="182">
        <f t="shared" si="249"/>
        <v>641.66666666666663</v>
      </c>
      <c r="AD142" s="182">
        <f t="shared" si="250"/>
        <v>1200</v>
      </c>
      <c r="AE142" s="180">
        <f t="shared" si="251"/>
        <v>96</v>
      </c>
      <c r="AF142" s="150">
        <f t="shared" si="252"/>
        <v>1080</v>
      </c>
      <c r="AG142" s="150">
        <f t="shared" si="253"/>
        <v>600</v>
      </c>
      <c r="AH142" s="150">
        <f t="shared" si="254"/>
        <v>13731.666666666668</v>
      </c>
      <c r="AI142" s="154">
        <f t="shared" si="255"/>
        <v>11277.288891666667</v>
      </c>
      <c r="AJ142" s="70">
        <f t="shared" si="256"/>
        <v>10594.627775000003</v>
      </c>
      <c r="AK142" s="155">
        <f t="shared" si="257"/>
        <v>0.21607714510627138</v>
      </c>
      <c r="AL142" s="155">
        <f t="shared" si="258"/>
        <v>0.28061966896918356</v>
      </c>
    </row>
    <row r="143" spans="2:38" s="102" customFormat="1" ht="15.75" customHeight="1" x14ac:dyDescent="0.2">
      <c r="B143" s="242" t="s">
        <v>1444</v>
      </c>
      <c r="C143" s="171" t="s">
        <v>109</v>
      </c>
      <c r="D143" s="103">
        <v>176</v>
      </c>
      <c r="E143" s="104" t="s">
        <v>76</v>
      </c>
      <c r="F143" s="92">
        <v>0</v>
      </c>
      <c r="G143" s="219">
        <f>IF(F143&gt;0,F143,
IF(B143&lt;&gt;"",
IF(C143="CLT",VLOOKUP(B143,'Lista Profissionais'!$C$11:$H$348,3,0),
VLOOKUP(B143,'Lista Profissionais'!$C$11:$H$348,6,0)), 0))</f>
        <v>16800</v>
      </c>
      <c r="H143" s="219">
        <f>IF(B143&lt;&gt;"",
IF(C143="CLT",
       22*$M$5 + (G143*'Lista Profissionais'!$G$9),0),0)</f>
        <v>3910</v>
      </c>
      <c r="I143" s="66">
        <f t="shared" si="232"/>
        <v>16800</v>
      </c>
      <c r="J143" s="66">
        <f t="shared" si="233"/>
        <v>35564.333333333336</v>
      </c>
      <c r="K143" s="66">
        <f t="shared" si="234"/>
        <v>51150.935881666672</v>
      </c>
      <c r="L143" s="93">
        <f t="shared" si="235"/>
        <v>202.07007575757578</v>
      </c>
      <c r="M143" s="151"/>
      <c r="N143" s="152">
        <v>0</v>
      </c>
      <c r="O143" s="69">
        <f t="shared" si="236"/>
        <v>0</v>
      </c>
      <c r="P143" s="69">
        <f t="shared" si="237"/>
        <v>65794.016666666677</v>
      </c>
      <c r="Q143" s="70">
        <f t="shared" si="238"/>
        <v>65794.016666666677</v>
      </c>
      <c r="R143" s="153">
        <f t="shared" si="239"/>
        <v>1973.8205000000003</v>
      </c>
      <c r="S143" s="70">
        <v>0</v>
      </c>
      <c r="T143" s="165">
        <f t="shared" si="240"/>
        <v>67767.837166666679</v>
      </c>
      <c r="U143" s="163">
        <f t="shared" si="241"/>
        <v>385.04452935606065</v>
      </c>
      <c r="V143" s="164">
        <f t="shared" si="242"/>
        <v>1344</v>
      </c>
      <c r="W143" s="164">
        <f t="shared" si="243"/>
        <v>537.6</v>
      </c>
      <c r="X143" s="144">
        <f t="shared" si="244"/>
        <v>1400</v>
      </c>
      <c r="Y143" s="150">
        <f t="shared" si="245"/>
        <v>466.66666666666669</v>
      </c>
      <c r="Z143" s="150">
        <f t="shared" si="246"/>
        <v>1400</v>
      </c>
      <c r="AA143" s="150">
        <f t="shared" si="247"/>
        <v>4620</v>
      </c>
      <c r="AB143" s="182">
        <f t="shared" si="248"/>
        <v>261.33333333333337</v>
      </c>
      <c r="AC143" s="182">
        <f t="shared" si="249"/>
        <v>898.33333333333348</v>
      </c>
      <c r="AD143" s="182">
        <f t="shared" si="250"/>
        <v>1680</v>
      </c>
      <c r="AE143" s="180">
        <f t="shared" si="251"/>
        <v>134.4</v>
      </c>
      <c r="AF143" s="150">
        <f t="shared" si="252"/>
        <v>1512</v>
      </c>
      <c r="AG143" s="150">
        <f t="shared" si="253"/>
        <v>600</v>
      </c>
      <c r="AH143" s="150">
        <f t="shared" si="254"/>
        <v>18764.333333333336</v>
      </c>
      <c r="AI143" s="154">
        <f t="shared" si="255"/>
        <v>15586.602548333336</v>
      </c>
      <c r="AJ143" s="70">
        <f t="shared" si="256"/>
        <v>14643.080785000007</v>
      </c>
      <c r="AK143" s="155">
        <f t="shared" si="257"/>
        <v>0.21607714510627138</v>
      </c>
      <c r="AL143" s="155">
        <f t="shared" si="258"/>
        <v>0.28061966896918361</v>
      </c>
    </row>
    <row r="144" spans="2:38" s="102" customFormat="1" ht="15.75" customHeight="1" x14ac:dyDescent="0.2">
      <c r="B144" s="242" t="s">
        <v>1450</v>
      </c>
      <c r="C144" s="171" t="s">
        <v>109</v>
      </c>
      <c r="D144" s="103">
        <v>176</v>
      </c>
      <c r="E144" s="104" t="s">
        <v>76</v>
      </c>
      <c r="F144" s="92">
        <v>0</v>
      </c>
      <c r="G144" s="219">
        <f>IF(F144&gt;0,F144,
IF(B144&lt;&gt;"",
IF(C144="CLT",VLOOKUP(B144,'Lista Profissionais'!$C$11:$H$348,3,0),
VLOOKUP(B144,'Lista Profissionais'!$C$11:$H$348,6,0)), 0))</f>
        <v>22400</v>
      </c>
      <c r="H144" s="219">
        <f>IF(B144&lt;&gt;"",
IF(C144="CLT",
       22*$M$5 + (G144*'Lista Profissionais'!$G$9),0),0)</f>
        <v>5030</v>
      </c>
      <c r="I144" s="66">
        <f t="shared" ref="I144:I147" si="259">(G144/$G$2)*D144</f>
        <v>22400</v>
      </c>
      <c r="J144" s="66">
        <f t="shared" ref="J144:J147" si="260">I144+AH144</f>
        <v>47035.777777777781</v>
      </c>
      <c r="K144" s="66">
        <f t="shared" ref="K144:K147" si="261">J144+S144+AI144</f>
        <v>67649.91292555556</v>
      </c>
      <c r="L144" s="93">
        <f t="shared" ref="L144:L147" si="262">IF(D144&gt;0,J144/D144,0)</f>
        <v>267.24873737373741</v>
      </c>
      <c r="M144" s="151"/>
      <c r="N144" s="152">
        <v>0</v>
      </c>
      <c r="O144" s="69">
        <f t="shared" ref="O144:O147" si="263">J144*$G$6</f>
        <v>0</v>
      </c>
      <c r="P144" s="69">
        <f t="shared" ref="P144:P147" si="264">IF(M144&gt;0,M144,  J144*(1+$G$5))</f>
        <v>87016.188888888893</v>
      </c>
      <c r="Q144" s="70">
        <f t="shared" ref="Q144:Q147" si="265">(P144+O144)</f>
        <v>87016.188888888893</v>
      </c>
      <c r="R144" s="153">
        <f t="shared" ref="R144:R147" si="266">IF(E144="Sim", Q144*$G$3,0)</f>
        <v>2610.4856666666669</v>
      </c>
      <c r="S144" s="70">
        <v>0</v>
      </c>
      <c r="T144" s="165">
        <f t="shared" ref="T144:T147" si="267">IF($D$4="Sim",(IF(E144="Não",0,(Q144+(Q144*$O$4)+R144+S144)*$D$5)+Q144),
IF(E144="Não",0,Q144+(Q144*$O$4)+R144+S144
))</f>
        <v>89626.674555555554</v>
      </c>
      <c r="U144" s="163">
        <f t="shared" ref="U144:U147" si="268">IF(D144&gt;0,T144/D144,0)</f>
        <v>509.24246906565656</v>
      </c>
      <c r="V144" s="164">
        <f t="shared" ref="V144:V147" si="269">IF(C144="CLT",
       I144*$M$2, 0)</f>
        <v>1792</v>
      </c>
      <c r="W144" s="164">
        <f t="shared" ref="W144:W147" si="270">IF(C144="CLT",
       V144*$M$3, 0)</f>
        <v>716.80000000000007</v>
      </c>
      <c r="X144" s="144">
        <f t="shared" ref="X144:X147" si="271">IF(C144="CLT",
       I144/12, 0)</f>
        <v>1866.6666666666667</v>
      </c>
      <c r="Y144" s="150">
        <f t="shared" ref="Y144:Y147" si="272">IF(C144="CLT",
       X144/3, 0)</f>
        <v>622.22222222222229</v>
      </c>
      <c r="Z144" s="150">
        <f t="shared" ref="Z144:Z147" si="273">IF(C144="CLT",
       I144/12, 0)</f>
        <v>1866.6666666666667</v>
      </c>
      <c r="AA144" s="150">
        <f t="shared" ref="AA144:AA147" si="274">IF(C144="CLT", I144*$S$2,0)</f>
        <v>6160.0000000000009</v>
      </c>
      <c r="AB144" s="182">
        <f t="shared" ref="AB144:AB147" si="275">IF(C144="CLT", SUM(X144:Z144) * $M$2,0)</f>
        <v>348.44444444444446</v>
      </c>
      <c r="AC144" s="182">
        <f t="shared" ref="AC144:AC147" si="276">IF(C144="CLT", SUM(X144:Z144)*$S$2,0)</f>
        <v>1197.7777777777778</v>
      </c>
      <c r="AD144" s="182">
        <f t="shared" ref="AD144:AD147" si="277">IF(C144="CLT",
       I144/30*3, 0)</f>
        <v>2240</v>
      </c>
      <c r="AE144" s="180">
        <f t="shared" ref="AE144:AE147" si="278">IF(C144="CLT",  AD144*$M$2, 0)</f>
        <v>179.20000000000002</v>
      </c>
      <c r="AF144" s="150">
        <f t="shared" ref="AF144:AF147" si="279">IF(C144="CLT",
       I144*$M$4, 0)</f>
        <v>2016</v>
      </c>
      <c r="AG144" s="150">
        <f t="shared" ref="AG144:AG147" si="280">IF(B144&lt;&gt;"",
IF(C144="CLT",
       $Q$2, 0),0)</f>
        <v>600</v>
      </c>
      <c r="AH144" s="150">
        <f t="shared" ref="AH144:AH147" si="281">SUM(V144:AG144)+H144</f>
        <v>24635.777777777781</v>
      </c>
      <c r="AI144" s="154">
        <f t="shared" ref="AI144:AI147" si="282">IF(E144="Sim", T144*$G$4, 0)</f>
        <v>20614.135147777779</v>
      </c>
      <c r="AJ144" s="70">
        <f t="shared" ref="AJ144:AJ147" si="283">T144-AI144-J144-R144</f>
        <v>19366.275963333326</v>
      </c>
      <c r="AK144" s="155">
        <f t="shared" ref="AK144:AK147" si="284">(IF(AJ144&gt;0,AJ144/T144,0))</f>
        <v>0.21607714510627124</v>
      </c>
      <c r="AL144" s="155">
        <f t="shared" ref="AL144:AL147" si="285">(IF(AJ144&gt;0,AJ144/(T144-AI144),0))</f>
        <v>0.28061966896918344</v>
      </c>
    </row>
    <row r="145" spans="2:38" s="102" customFormat="1" ht="15.75" customHeight="1" x14ac:dyDescent="0.2">
      <c r="B145" s="242" t="s">
        <v>1451</v>
      </c>
      <c r="C145" s="171" t="s">
        <v>109</v>
      </c>
      <c r="D145" s="103">
        <v>176</v>
      </c>
      <c r="E145" s="104" t="s">
        <v>76</v>
      </c>
      <c r="F145" s="92">
        <v>0</v>
      </c>
      <c r="G145" s="219">
        <f>IF(F145&gt;0,F145,
IF(B145&lt;&gt;"",
IF(C145="CLT",VLOOKUP(B145,'Lista Profissionais'!$C$11:$H$348,3,0),
VLOOKUP(B145,'Lista Profissionais'!$C$11:$H$348,6,0)), 0))</f>
        <v>7200</v>
      </c>
      <c r="H145" s="219">
        <f>IF(B145&lt;&gt;"",
IF(C145="CLT",
       22*$M$5 + (G145*'Lista Profissionais'!$G$9),0),0)</f>
        <v>1990</v>
      </c>
      <c r="I145" s="66">
        <f t="shared" si="259"/>
        <v>7200</v>
      </c>
      <c r="J145" s="66">
        <f t="shared" si="260"/>
        <v>15899</v>
      </c>
      <c r="K145" s="66">
        <f t="shared" si="261"/>
        <v>22866.975234999998</v>
      </c>
      <c r="L145" s="93">
        <f t="shared" si="262"/>
        <v>90.335227272727266</v>
      </c>
      <c r="M145" s="151"/>
      <c r="N145" s="152">
        <v>0</v>
      </c>
      <c r="O145" s="69">
        <f t="shared" si="263"/>
        <v>0</v>
      </c>
      <c r="P145" s="69">
        <f t="shared" si="264"/>
        <v>29413.15</v>
      </c>
      <c r="Q145" s="70">
        <f t="shared" si="265"/>
        <v>29413.15</v>
      </c>
      <c r="R145" s="153">
        <f t="shared" si="266"/>
        <v>882.39449999999999</v>
      </c>
      <c r="S145" s="70">
        <v>0</v>
      </c>
      <c r="T145" s="165">
        <f t="shared" si="267"/>
        <v>30295.5445</v>
      </c>
      <c r="U145" s="163">
        <f t="shared" si="268"/>
        <v>172.13377556818182</v>
      </c>
      <c r="V145" s="164">
        <f t="shared" si="269"/>
        <v>576</v>
      </c>
      <c r="W145" s="164">
        <f t="shared" si="270"/>
        <v>230.4</v>
      </c>
      <c r="X145" s="144">
        <f t="shared" si="271"/>
        <v>600</v>
      </c>
      <c r="Y145" s="150">
        <f t="shared" si="272"/>
        <v>200</v>
      </c>
      <c r="Z145" s="150">
        <f t="shared" si="273"/>
        <v>600</v>
      </c>
      <c r="AA145" s="150">
        <f t="shared" si="274"/>
        <v>1980.0000000000002</v>
      </c>
      <c r="AB145" s="182">
        <f t="shared" si="275"/>
        <v>112</v>
      </c>
      <c r="AC145" s="182">
        <f t="shared" si="276"/>
        <v>385.00000000000006</v>
      </c>
      <c r="AD145" s="182">
        <f t="shared" si="277"/>
        <v>720</v>
      </c>
      <c r="AE145" s="180">
        <f t="shared" si="278"/>
        <v>57.6</v>
      </c>
      <c r="AF145" s="150">
        <f t="shared" si="279"/>
        <v>648</v>
      </c>
      <c r="AG145" s="150">
        <f t="shared" si="280"/>
        <v>600</v>
      </c>
      <c r="AH145" s="150">
        <f t="shared" si="281"/>
        <v>8699</v>
      </c>
      <c r="AI145" s="154">
        <f t="shared" si="282"/>
        <v>6967.9752349999999</v>
      </c>
      <c r="AJ145" s="70">
        <f t="shared" si="283"/>
        <v>6546.1747649999979</v>
      </c>
      <c r="AK145" s="155">
        <f t="shared" si="284"/>
        <v>0.21607714510627124</v>
      </c>
      <c r="AL145" s="155">
        <f t="shared" si="285"/>
        <v>0.28061966896918344</v>
      </c>
    </row>
    <row r="146" spans="2:38" s="102" customFormat="1" ht="15.75" customHeight="1" x14ac:dyDescent="0.2">
      <c r="B146" s="242" t="s">
        <v>1452</v>
      </c>
      <c r="C146" s="171" t="s">
        <v>109</v>
      </c>
      <c r="D146" s="103">
        <v>176</v>
      </c>
      <c r="E146" s="104" t="s">
        <v>76</v>
      </c>
      <c r="F146" s="92">
        <v>0</v>
      </c>
      <c r="G146" s="219">
        <f>IF(F146&gt;0,F146,
IF(B146&lt;&gt;"",
IF(C146="CLT",VLOOKUP(B146,'Lista Profissionais'!$C$11:$H$348,3,0),
VLOOKUP(B146,'Lista Profissionais'!$C$11:$H$348,6,0)), 0))</f>
        <v>13280</v>
      </c>
      <c r="H146" s="219">
        <f>IF(B146&lt;&gt;"",
IF(C146="CLT",
       22*$M$5 + (G146*'Lista Profissionais'!$G$9),0),0)</f>
        <v>3206</v>
      </c>
      <c r="I146" s="66">
        <f t="shared" si="259"/>
        <v>13280</v>
      </c>
      <c r="J146" s="66">
        <f t="shared" si="260"/>
        <v>28353.711111111115</v>
      </c>
      <c r="K146" s="66">
        <f t="shared" si="261"/>
        <v>40780.150311222227</v>
      </c>
      <c r="L146" s="93">
        <f t="shared" si="262"/>
        <v>161.10063131313134</v>
      </c>
      <c r="M146" s="151"/>
      <c r="N146" s="152">
        <v>0</v>
      </c>
      <c r="O146" s="69">
        <f t="shared" si="263"/>
        <v>0</v>
      </c>
      <c r="P146" s="69">
        <f t="shared" si="264"/>
        <v>52454.365555555567</v>
      </c>
      <c r="Q146" s="70">
        <f t="shared" si="265"/>
        <v>52454.365555555567</v>
      </c>
      <c r="R146" s="153">
        <f t="shared" si="266"/>
        <v>1573.6309666666671</v>
      </c>
      <c r="S146" s="70">
        <v>0</v>
      </c>
      <c r="T146" s="165">
        <f t="shared" si="267"/>
        <v>54027.996522222231</v>
      </c>
      <c r="U146" s="163">
        <f t="shared" si="268"/>
        <v>306.97725296717175</v>
      </c>
      <c r="V146" s="164">
        <f t="shared" si="269"/>
        <v>1062.4000000000001</v>
      </c>
      <c r="W146" s="164">
        <f t="shared" si="270"/>
        <v>424.96000000000004</v>
      </c>
      <c r="X146" s="144">
        <f t="shared" si="271"/>
        <v>1106.6666666666667</v>
      </c>
      <c r="Y146" s="150">
        <f t="shared" si="272"/>
        <v>368.88888888888891</v>
      </c>
      <c r="Z146" s="150">
        <f t="shared" si="273"/>
        <v>1106.6666666666667</v>
      </c>
      <c r="AA146" s="150">
        <f t="shared" si="274"/>
        <v>3652.0000000000005</v>
      </c>
      <c r="AB146" s="182">
        <f t="shared" si="275"/>
        <v>206.57777777777781</v>
      </c>
      <c r="AC146" s="182">
        <f t="shared" si="276"/>
        <v>710.11111111111131</v>
      </c>
      <c r="AD146" s="182">
        <f t="shared" si="277"/>
        <v>1328</v>
      </c>
      <c r="AE146" s="180">
        <f t="shared" si="278"/>
        <v>106.24000000000001</v>
      </c>
      <c r="AF146" s="150">
        <f t="shared" si="279"/>
        <v>1195.2</v>
      </c>
      <c r="AG146" s="150">
        <f t="shared" si="280"/>
        <v>600</v>
      </c>
      <c r="AH146" s="150">
        <f t="shared" si="281"/>
        <v>15073.711111111113</v>
      </c>
      <c r="AI146" s="154">
        <f t="shared" si="282"/>
        <v>12426.439200111114</v>
      </c>
      <c r="AJ146" s="70">
        <f t="shared" si="283"/>
        <v>11674.215244333336</v>
      </c>
      <c r="AK146" s="155">
        <f t="shared" si="284"/>
        <v>0.21607714510627135</v>
      </c>
      <c r="AL146" s="155">
        <f t="shared" si="285"/>
        <v>0.28061966896918356</v>
      </c>
    </row>
    <row r="147" spans="2:38" s="102" customFormat="1" ht="15.75" customHeight="1" x14ac:dyDescent="0.2">
      <c r="B147" s="242" t="s">
        <v>1453</v>
      </c>
      <c r="C147" s="171" t="s">
        <v>109</v>
      </c>
      <c r="D147" s="103">
        <v>176</v>
      </c>
      <c r="E147" s="104" t="s">
        <v>76</v>
      </c>
      <c r="F147" s="92">
        <v>0</v>
      </c>
      <c r="G147" s="219">
        <f>IF(F147&gt;0,F147,
IF(B147&lt;&gt;"",
IF(C147="CLT",VLOOKUP(B147,'Lista Profissionais'!$C$11:$H$348,3,0),
VLOOKUP(B147,'Lista Profissionais'!$C$11:$H$348,6,0)), 0))</f>
        <v>17440</v>
      </c>
      <c r="H147" s="219">
        <f>IF(B147&lt;&gt;"",
IF(C147="CLT",
       22*$M$5 + (G147*'Lista Profissionais'!$G$9),0),0)</f>
        <v>4038</v>
      </c>
      <c r="I147" s="66">
        <f t="shared" si="259"/>
        <v>17440</v>
      </c>
      <c r="J147" s="66">
        <f t="shared" si="260"/>
        <v>36875.355555555558</v>
      </c>
      <c r="K147" s="66">
        <f t="shared" si="261"/>
        <v>53036.533258111114</v>
      </c>
      <c r="L147" s="93">
        <f t="shared" si="262"/>
        <v>209.51906565656566</v>
      </c>
      <c r="M147" s="151"/>
      <c r="N147" s="152">
        <v>0</v>
      </c>
      <c r="O147" s="69">
        <f t="shared" si="263"/>
        <v>0</v>
      </c>
      <c r="P147" s="69">
        <f t="shared" si="264"/>
        <v>68219.407777777786</v>
      </c>
      <c r="Q147" s="70">
        <f t="shared" si="265"/>
        <v>68219.407777777786</v>
      </c>
      <c r="R147" s="153">
        <f t="shared" si="266"/>
        <v>2046.5822333333335</v>
      </c>
      <c r="S147" s="70">
        <v>0</v>
      </c>
      <c r="T147" s="165">
        <f t="shared" si="267"/>
        <v>70265.99001111112</v>
      </c>
      <c r="U147" s="163">
        <f t="shared" si="268"/>
        <v>399.23857960858589</v>
      </c>
      <c r="V147" s="164">
        <f t="shared" si="269"/>
        <v>1395.2</v>
      </c>
      <c r="W147" s="164">
        <f t="shared" si="270"/>
        <v>558.08000000000004</v>
      </c>
      <c r="X147" s="144">
        <f t="shared" si="271"/>
        <v>1453.3333333333333</v>
      </c>
      <c r="Y147" s="150">
        <f t="shared" si="272"/>
        <v>484.4444444444444</v>
      </c>
      <c r="Z147" s="150">
        <f t="shared" si="273"/>
        <v>1453.3333333333333</v>
      </c>
      <c r="AA147" s="150">
        <f t="shared" si="274"/>
        <v>4796</v>
      </c>
      <c r="AB147" s="182">
        <f t="shared" si="275"/>
        <v>271.28888888888889</v>
      </c>
      <c r="AC147" s="182">
        <f t="shared" si="276"/>
        <v>932.55555555555554</v>
      </c>
      <c r="AD147" s="182">
        <f t="shared" si="277"/>
        <v>1744</v>
      </c>
      <c r="AE147" s="180">
        <f t="shared" si="278"/>
        <v>139.52000000000001</v>
      </c>
      <c r="AF147" s="150">
        <f t="shared" si="279"/>
        <v>1569.6</v>
      </c>
      <c r="AG147" s="150">
        <f t="shared" si="280"/>
        <v>600</v>
      </c>
      <c r="AH147" s="150">
        <f t="shared" si="281"/>
        <v>19435.355555555558</v>
      </c>
      <c r="AI147" s="154">
        <f t="shared" si="282"/>
        <v>16161.177702555558</v>
      </c>
      <c r="AJ147" s="70">
        <f t="shared" si="283"/>
        <v>15182.874519666671</v>
      </c>
      <c r="AK147" s="155">
        <f t="shared" si="284"/>
        <v>0.21607714510627135</v>
      </c>
      <c r="AL147" s="155">
        <f t="shared" si="285"/>
        <v>0.28061966896918356</v>
      </c>
    </row>
    <row r="148" spans="2:38" s="102" customFormat="1" ht="15.75" customHeight="1" x14ac:dyDescent="0.2">
      <c r="B148" s="242" t="s">
        <v>1456</v>
      </c>
      <c r="C148" s="171" t="s">
        <v>109</v>
      </c>
      <c r="D148" s="103">
        <v>176</v>
      </c>
      <c r="E148" s="104" t="s">
        <v>76</v>
      </c>
      <c r="F148" s="92">
        <v>0</v>
      </c>
      <c r="G148" s="219">
        <f>IF(F148&gt;0,F148,
IF(B148&lt;&gt;"",
IF(C148="CLT",VLOOKUP(B148,'Lista Profissionais'!$C$11:$H$348,3,0),
VLOOKUP(B148,'Lista Profissionais'!$C$11:$H$348,6,0)), 0))</f>
        <v>19200</v>
      </c>
      <c r="H148" s="219">
        <f>IF(B148&lt;&gt;"",
IF(C148="CLT",
       22*$M$5 + (G148*'Lista Profissionais'!$G$9),0),0)</f>
        <v>4390</v>
      </c>
      <c r="I148" s="66">
        <f t="shared" ref="I148:I151" si="286">(G148/$G$2)*D148</f>
        <v>19200</v>
      </c>
      <c r="J148" s="66">
        <f t="shared" ref="J148:J151" si="287">I148+AH148</f>
        <v>40480.666666666664</v>
      </c>
      <c r="K148" s="66">
        <f t="shared" ref="K148:K151" si="288">J148+S148+AI148</f>
        <v>58221.926043333333</v>
      </c>
      <c r="L148" s="93">
        <f t="shared" ref="L148:L151" si="289">IF(D148&gt;0,J148/D148,0)</f>
        <v>230.00378787878788</v>
      </c>
      <c r="M148" s="151"/>
      <c r="N148" s="152">
        <v>0</v>
      </c>
      <c r="O148" s="69">
        <f t="shared" ref="O148:O151" si="290">J148*$G$6</f>
        <v>0</v>
      </c>
      <c r="P148" s="69">
        <f t="shared" ref="P148:P151" si="291">IF(M148&gt;0,M148,  J148*(1+$G$5))</f>
        <v>74889.233333333337</v>
      </c>
      <c r="Q148" s="70">
        <f t="shared" ref="Q148:Q151" si="292">(P148+O148)</f>
        <v>74889.233333333337</v>
      </c>
      <c r="R148" s="153">
        <f t="shared" ref="R148:R151" si="293">IF(E148="Sim", Q148*$G$3,0)</f>
        <v>2246.6770000000001</v>
      </c>
      <c r="S148" s="70">
        <v>0</v>
      </c>
      <c r="T148" s="165">
        <f t="shared" ref="T148:T151" si="294">IF($D$4="Sim",(IF(E148="Não",0,(Q148+(Q148*$O$4)+R148+S148)*$D$5)+Q148),
IF(E148="Não",0,Q148+(Q148*$O$4)+R148+S148
))</f>
        <v>77135.910333333333</v>
      </c>
      <c r="U148" s="163">
        <f t="shared" ref="U148:U151" si="295">IF(D148&gt;0,T148/D148,0)</f>
        <v>438.27221780303029</v>
      </c>
      <c r="V148" s="164">
        <f t="shared" ref="V148:V151" si="296">IF(C148="CLT",
       I148*$M$2, 0)</f>
        <v>1536</v>
      </c>
      <c r="W148" s="164">
        <f t="shared" ref="W148:W151" si="297">IF(C148="CLT",
       V148*$M$3, 0)</f>
        <v>614.40000000000009</v>
      </c>
      <c r="X148" s="144">
        <f t="shared" ref="X148:X151" si="298">IF(C148="CLT",
       I148/12, 0)</f>
        <v>1600</v>
      </c>
      <c r="Y148" s="150">
        <f t="shared" ref="Y148:Y151" si="299">IF(C148="CLT",
       X148/3, 0)</f>
        <v>533.33333333333337</v>
      </c>
      <c r="Z148" s="150">
        <f t="shared" ref="Z148:Z151" si="300">IF(C148="CLT",
       I148/12, 0)</f>
        <v>1600</v>
      </c>
      <c r="AA148" s="150">
        <f t="shared" ref="AA148:AA151" si="301">IF(C148="CLT", I148*$S$2,0)</f>
        <v>5280</v>
      </c>
      <c r="AB148" s="182">
        <f t="shared" ref="AB148:AB151" si="302">IF(C148="CLT", SUM(X148:Z148) * $M$2,0)</f>
        <v>298.66666666666669</v>
      </c>
      <c r="AC148" s="182">
        <f t="shared" ref="AC148:AC151" si="303">IF(C148="CLT", SUM(X148:Z148)*$S$2,0)</f>
        <v>1026.6666666666667</v>
      </c>
      <c r="AD148" s="182">
        <f t="shared" ref="AD148:AD151" si="304">IF(C148="CLT",
       I148/30*3, 0)</f>
        <v>1920</v>
      </c>
      <c r="AE148" s="180">
        <f t="shared" ref="AE148:AE151" si="305">IF(C148="CLT",  AD148*$M$2, 0)</f>
        <v>153.6</v>
      </c>
      <c r="AF148" s="150">
        <f t="shared" ref="AF148:AF151" si="306">IF(C148="CLT",
       I148*$M$4, 0)</f>
        <v>1728</v>
      </c>
      <c r="AG148" s="150">
        <f t="shared" ref="AG148:AG151" si="307">IF(B148&lt;&gt;"",
IF(C148="CLT",
       $Q$2, 0),0)</f>
        <v>600</v>
      </c>
      <c r="AH148" s="150">
        <f t="shared" ref="AH148:AH151" si="308">SUM(V148:AG148)+H148</f>
        <v>21280.666666666664</v>
      </c>
      <c r="AI148" s="154">
        <f t="shared" ref="AI148:AI151" si="309">IF(E148="Sim", T148*$G$4, 0)</f>
        <v>17741.259376666669</v>
      </c>
      <c r="AJ148" s="70">
        <f t="shared" ref="AJ148:AJ151" si="310">T148-AI148-J148-R148</f>
        <v>16667.307290000001</v>
      </c>
      <c r="AK148" s="155">
        <f t="shared" ref="AK148:AK151" si="311">(IF(AJ148&gt;0,AJ148/T148,0))</f>
        <v>0.21607714510627132</v>
      </c>
      <c r="AL148" s="155">
        <f t="shared" ref="AL148:AL151" si="312">(IF(AJ148&gt;0,AJ148/(T148-AI148),0))</f>
        <v>0.28061966896918356</v>
      </c>
    </row>
    <row r="149" spans="2:38" s="102" customFormat="1" ht="15.75" customHeight="1" x14ac:dyDescent="0.2">
      <c r="B149" s="242" t="s">
        <v>1457</v>
      </c>
      <c r="C149" s="171" t="s">
        <v>109</v>
      </c>
      <c r="D149" s="103">
        <v>176</v>
      </c>
      <c r="E149" s="104" t="s">
        <v>76</v>
      </c>
      <c r="F149" s="92">
        <v>0</v>
      </c>
      <c r="G149" s="219">
        <f>IF(F149&gt;0,F149,
IF(B149&lt;&gt;"",
IF(C149="CLT",VLOOKUP(B149,'Lista Profissionais'!$C$11:$H$348,3,0),
VLOOKUP(B149,'Lista Profissionais'!$C$11:$H$348,6,0)), 0))</f>
        <v>4480</v>
      </c>
      <c r="H149" s="219">
        <f>IF(B149&lt;&gt;"",
IF(C149="CLT",
       22*$M$5 + (G149*'Lista Profissionais'!$G$9),0),0)</f>
        <v>1446</v>
      </c>
      <c r="I149" s="66">
        <f t="shared" si="286"/>
        <v>4480</v>
      </c>
      <c r="J149" s="66">
        <f t="shared" si="287"/>
        <v>10327.155555555555</v>
      </c>
      <c r="K149" s="66">
        <f t="shared" si="288"/>
        <v>14853.186385111112</v>
      </c>
      <c r="L149" s="93">
        <f t="shared" si="289"/>
        <v>58.677020202020202</v>
      </c>
      <c r="M149" s="151"/>
      <c r="N149" s="152">
        <v>0</v>
      </c>
      <c r="O149" s="69">
        <f t="shared" si="290"/>
        <v>0</v>
      </c>
      <c r="P149" s="69">
        <f t="shared" si="291"/>
        <v>19105.237777777777</v>
      </c>
      <c r="Q149" s="70">
        <f t="shared" si="292"/>
        <v>19105.237777777777</v>
      </c>
      <c r="R149" s="153">
        <f t="shared" si="293"/>
        <v>573.15713333333326</v>
      </c>
      <c r="S149" s="70">
        <v>0</v>
      </c>
      <c r="T149" s="165">
        <f t="shared" si="294"/>
        <v>19678.394911111111</v>
      </c>
      <c r="U149" s="163">
        <f t="shared" si="295"/>
        <v>111.80906199494949</v>
      </c>
      <c r="V149" s="164">
        <f t="shared" si="296"/>
        <v>358.40000000000003</v>
      </c>
      <c r="W149" s="164">
        <f t="shared" si="297"/>
        <v>143.36000000000001</v>
      </c>
      <c r="X149" s="144">
        <f t="shared" si="298"/>
        <v>373.33333333333331</v>
      </c>
      <c r="Y149" s="150">
        <f t="shared" si="299"/>
        <v>124.44444444444444</v>
      </c>
      <c r="Z149" s="150">
        <f t="shared" si="300"/>
        <v>373.33333333333331</v>
      </c>
      <c r="AA149" s="150">
        <f t="shared" si="301"/>
        <v>1232</v>
      </c>
      <c r="AB149" s="182">
        <f t="shared" si="302"/>
        <v>69.688888888888883</v>
      </c>
      <c r="AC149" s="182">
        <f t="shared" si="303"/>
        <v>239.55555555555557</v>
      </c>
      <c r="AD149" s="182">
        <f t="shared" si="304"/>
        <v>448</v>
      </c>
      <c r="AE149" s="180">
        <f t="shared" si="305"/>
        <v>35.840000000000003</v>
      </c>
      <c r="AF149" s="150">
        <f t="shared" si="306"/>
        <v>403.2</v>
      </c>
      <c r="AG149" s="150">
        <f t="shared" si="307"/>
        <v>600</v>
      </c>
      <c r="AH149" s="150">
        <f t="shared" si="308"/>
        <v>5847.1555555555551</v>
      </c>
      <c r="AI149" s="154">
        <f t="shared" si="309"/>
        <v>4526.030829555556</v>
      </c>
      <c r="AJ149" s="70">
        <f t="shared" si="310"/>
        <v>4252.0513926666672</v>
      </c>
      <c r="AK149" s="155">
        <f t="shared" si="311"/>
        <v>0.21607714510627135</v>
      </c>
      <c r="AL149" s="155">
        <f t="shared" si="312"/>
        <v>0.28061966896918356</v>
      </c>
    </row>
    <row r="150" spans="2:38" s="102" customFormat="1" ht="15.75" customHeight="1" x14ac:dyDescent="0.2">
      <c r="B150" s="242" t="s">
        <v>1458</v>
      </c>
      <c r="C150" s="171" t="s">
        <v>109</v>
      </c>
      <c r="D150" s="103">
        <v>176</v>
      </c>
      <c r="E150" s="104" t="s">
        <v>76</v>
      </c>
      <c r="F150" s="92">
        <v>0</v>
      </c>
      <c r="G150" s="219">
        <f>IF(F150&gt;0,F150,
IF(B150&lt;&gt;"",
IF(C150="CLT",VLOOKUP(B150,'Lista Profissionais'!$C$11:$H$348,3,0),
VLOOKUP(B150,'Lista Profissionais'!$C$11:$H$348,6,0)), 0))</f>
        <v>8800</v>
      </c>
      <c r="H150" s="219">
        <f>IF(B150&lt;&gt;"",
IF(C150="CLT",
       22*$M$5 + (G150*'Lista Profissionais'!$G$9),0),0)</f>
        <v>2310</v>
      </c>
      <c r="I150" s="66">
        <f t="shared" si="286"/>
        <v>8800</v>
      </c>
      <c r="J150" s="66">
        <f t="shared" si="287"/>
        <v>19176.555555555555</v>
      </c>
      <c r="K150" s="66">
        <f t="shared" si="288"/>
        <v>27580.968676111112</v>
      </c>
      <c r="L150" s="93">
        <f t="shared" si="289"/>
        <v>108.95770202020202</v>
      </c>
      <c r="M150" s="151"/>
      <c r="N150" s="152">
        <v>0</v>
      </c>
      <c r="O150" s="69">
        <f t="shared" si="290"/>
        <v>0</v>
      </c>
      <c r="P150" s="69">
        <f t="shared" si="291"/>
        <v>35476.62777777778</v>
      </c>
      <c r="Q150" s="70">
        <f t="shared" si="292"/>
        <v>35476.62777777778</v>
      </c>
      <c r="R150" s="153">
        <f t="shared" si="293"/>
        <v>1064.2988333333333</v>
      </c>
      <c r="S150" s="70">
        <v>0</v>
      </c>
      <c r="T150" s="165">
        <f t="shared" si="294"/>
        <v>36540.926611111114</v>
      </c>
      <c r="U150" s="163">
        <f t="shared" si="295"/>
        <v>207.61890119949496</v>
      </c>
      <c r="V150" s="164">
        <f t="shared" si="296"/>
        <v>704</v>
      </c>
      <c r="W150" s="164">
        <f t="shared" si="297"/>
        <v>281.60000000000002</v>
      </c>
      <c r="X150" s="144">
        <f t="shared" si="298"/>
        <v>733.33333333333337</v>
      </c>
      <c r="Y150" s="150">
        <f t="shared" si="299"/>
        <v>244.44444444444446</v>
      </c>
      <c r="Z150" s="150">
        <f t="shared" si="300"/>
        <v>733.33333333333337</v>
      </c>
      <c r="AA150" s="150">
        <f t="shared" si="301"/>
        <v>2420</v>
      </c>
      <c r="AB150" s="182">
        <f t="shared" si="302"/>
        <v>136.88888888888891</v>
      </c>
      <c r="AC150" s="182">
        <f t="shared" si="303"/>
        <v>470.55555555555566</v>
      </c>
      <c r="AD150" s="182">
        <f t="shared" si="304"/>
        <v>880</v>
      </c>
      <c r="AE150" s="180">
        <f t="shared" si="305"/>
        <v>70.400000000000006</v>
      </c>
      <c r="AF150" s="150">
        <f t="shared" si="306"/>
        <v>792</v>
      </c>
      <c r="AG150" s="150">
        <f t="shared" si="307"/>
        <v>600</v>
      </c>
      <c r="AH150" s="150">
        <f t="shared" si="308"/>
        <v>10376.555555555555</v>
      </c>
      <c r="AI150" s="154">
        <f t="shared" si="309"/>
        <v>8404.4131205555568</v>
      </c>
      <c r="AJ150" s="70">
        <f t="shared" si="310"/>
        <v>7895.6591016666689</v>
      </c>
      <c r="AK150" s="155">
        <f t="shared" si="311"/>
        <v>0.21607714510627138</v>
      </c>
      <c r="AL150" s="155">
        <f t="shared" si="312"/>
        <v>0.28061966896918361</v>
      </c>
    </row>
    <row r="151" spans="2:38" s="102" customFormat="1" ht="15.75" customHeight="1" x14ac:dyDescent="0.2">
      <c r="B151" s="242" t="s">
        <v>1459</v>
      </c>
      <c r="C151" s="171" t="s">
        <v>109</v>
      </c>
      <c r="D151" s="103">
        <v>176</v>
      </c>
      <c r="E151" s="104" t="s">
        <v>76</v>
      </c>
      <c r="F151" s="92">
        <v>0</v>
      </c>
      <c r="G151" s="219">
        <f>IF(F151&gt;0,F151,
IF(B151&lt;&gt;"",
IF(C151="CLT",VLOOKUP(B151,'Lista Profissionais'!$C$11:$H$348,3,0),
VLOOKUP(B151,'Lista Profissionais'!$C$11:$H$348,6,0)), 0))</f>
        <v>16000</v>
      </c>
      <c r="H151" s="219">
        <f>IF(B151&lt;&gt;"",
IF(C151="CLT",
       22*$M$5 + (G151*'Lista Profissionais'!$G$9),0),0)</f>
        <v>3750</v>
      </c>
      <c r="I151" s="66">
        <f t="shared" si="286"/>
        <v>16000</v>
      </c>
      <c r="J151" s="66">
        <f t="shared" si="287"/>
        <v>33925.555555555555</v>
      </c>
      <c r="K151" s="66">
        <f t="shared" si="288"/>
        <v>48793.939161111113</v>
      </c>
      <c r="L151" s="93">
        <f t="shared" si="289"/>
        <v>192.75883838383837</v>
      </c>
      <c r="M151" s="151"/>
      <c r="N151" s="152">
        <v>0</v>
      </c>
      <c r="O151" s="69">
        <f t="shared" si="290"/>
        <v>0</v>
      </c>
      <c r="P151" s="69">
        <f t="shared" si="291"/>
        <v>62762.277777777781</v>
      </c>
      <c r="Q151" s="70">
        <f t="shared" si="292"/>
        <v>62762.277777777781</v>
      </c>
      <c r="R151" s="153">
        <f t="shared" si="293"/>
        <v>1882.8683333333333</v>
      </c>
      <c r="S151" s="70">
        <v>0</v>
      </c>
      <c r="T151" s="165">
        <f t="shared" si="294"/>
        <v>64645.146111111113</v>
      </c>
      <c r="U151" s="163">
        <f t="shared" si="295"/>
        <v>367.30196654040407</v>
      </c>
      <c r="V151" s="164">
        <f t="shared" si="296"/>
        <v>1280</v>
      </c>
      <c r="W151" s="164">
        <f t="shared" si="297"/>
        <v>512</v>
      </c>
      <c r="X151" s="144">
        <f t="shared" si="298"/>
        <v>1333.3333333333333</v>
      </c>
      <c r="Y151" s="150">
        <f t="shared" si="299"/>
        <v>444.4444444444444</v>
      </c>
      <c r="Z151" s="150">
        <f t="shared" si="300"/>
        <v>1333.3333333333333</v>
      </c>
      <c r="AA151" s="150">
        <f t="shared" si="301"/>
        <v>4400</v>
      </c>
      <c r="AB151" s="182">
        <f t="shared" si="302"/>
        <v>248.88888888888889</v>
      </c>
      <c r="AC151" s="182">
        <f t="shared" si="303"/>
        <v>855.55555555555554</v>
      </c>
      <c r="AD151" s="182">
        <f t="shared" si="304"/>
        <v>1600</v>
      </c>
      <c r="AE151" s="180">
        <f t="shared" si="305"/>
        <v>128</v>
      </c>
      <c r="AF151" s="150">
        <f t="shared" si="306"/>
        <v>1440</v>
      </c>
      <c r="AG151" s="150">
        <f t="shared" si="307"/>
        <v>600</v>
      </c>
      <c r="AH151" s="150">
        <f t="shared" si="308"/>
        <v>17925.555555555555</v>
      </c>
      <c r="AI151" s="154">
        <f t="shared" si="309"/>
        <v>14868.383605555557</v>
      </c>
      <c r="AJ151" s="70">
        <f t="shared" si="310"/>
        <v>13968.338616666666</v>
      </c>
      <c r="AK151" s="155">
        <f t="shared" si="311"/>
        <v>0.2160771451062713</v>
      </c>
      <c r="AL151" s="155">
        <f t="shared" si="312"/>
        <v>0.2806196689691835</v>
      </c>
    </row>
    <row r="152" spans="2:38" s="102" customFormat="1" ht="15.75" customHeight="1" x14ac:dyDescent="0.2">
      <c r="B152" s="242" t="s">
        <v>1462</v>
      </c>
      <c r="C152" s="171" t="s">
        <v>109</v>
      </c>
      <c r="D152" s="103">
        <v>176</v>
      </c>
      <c r="E152" s="104" t="s">
        <v>76</v>
      </c>
      <c r="F152" s="92">
        <v>0</v>
      </c>
      <c r="G152" s="219">
        <f>IF(F152&gt;0,F152,
IF(B152&lt;&gt;"",
IF(C152="CLT",VLOOKUP(B152,'Lista Profissionais'!$C$11:$H$348,3,0),
VLOOKUP(B152,'Lista Profissionais'!$C$11:$H$348,6,0)), 0))</f>
        <v>9600</v>
      </c>
      <c r="H152" s="219">
        <f>IF(B152&lt;&gt;"",
IF(C152="CLT",
       22*$M$5 + (G152*'Lista Profissionais'!$G$9),0),0)</f>
        <v>2470</v>
      </c>
      <c r="I152" s="66">
        <f t="shared" ref="I152:I155" si="313">(G152/$G$2)*D152</f>
        <v>9600</v>
      </c>
      <c r="J152" s="66">
        <f t="shared" ref="J152:J155" si="314">I152+AH152</f>
        <v>20815.333333333332</v>
      </c>
      <c r="K152" s="66">
        <f t="shared" ref="K152:K155" si="315">J152+S152+AI152</f>
        <v>29937.965396666666</v>
      </c>
      <c r="L152" s="93">
        <f t="shared" ref="L152:L155" si="316">IF(D152&gt;0,J152/D152,0)</f>
        <v>118.26893939393939</v>
      </c>
      <c r="M152" s="151"/>
      <c r="N152" s="152">
        <v>0</v>
      </c>
      <c r="O152" s="69">
        <f t="shared" ref="O152:O155" si="317">J152*$G$6</f>
        <v>0</v>
      </c>
      <c r="P152" s="69">
        <f t="shared" ref="P152:P155" si="318">IF(M152&gt;0,M152,  J152*(1+$G$5))</f>
        <v>38508.366666666669</v>
      </c>
      <c r="Q152" s="70">
        <f t="shared" ref="Q152:Q155" si="319">(P152+O152)</f>
        <v>38508.366666666669</v>
      </c>
      <c r="R152" s="153">
        <f t="shared" ref="R152:R155" si="320">IF(E152="Sim", Q152*$G$3,0)</f>
        <v>1155.251</v>
      </c>
      <c r="S152" s="70">
        <v>0</v>
      </c>
      <c r="T152" s="165">
        <f t="shared" ref="T152:T155" si="321">IF($D$4="Sim",(IF(E152="Não",0,(Q152+(Q152*$O$4)+R152+S152)*$D$5)+Q152),
IF(E152="Não",0,Q152+(Q152*$O$4)+R152+S152
))</f>
        <v>39663.617666666665</v>
      </c>
      <c r="U152" s="163">
        <f t="shared" ref="U152:U155" si="322">IF(D152&gt;0,T152/D152,0)</f>
        <v>225.36146401515151</v>
      </c>
      <c r="V152" s="164">
        <f t="shared" ref="V152:V155" si="323">IF(C152="CLT",
       I152*$M$2, 0)</f>
        <v>768</v>
      </c>
      <c r="W152" s="164">
        <f t="shared" ref="W152:W155" si="324">IF(C152="CLT",
       V152*$M$3, 0)</f>
        <v>307.20000000000005</v>
      </c>
      <c r="X152" s="144">
        <f t="shared" ref="X152:X155" si="325">IF(C152="CLT",
       I152/12, 0)</f>
        <v>800</v>
      </c>
      <c r="Y152" s="150">
        <f t="shared" ref="Y152:Y155" si="326">IF(C152="CLT",
       X152/3, 0)</f>
        <v>266.66666666666669</v>
      </c>
      <c r="Z152" s="150">
        <f t="shared" ref="Z152:Z155" si="327">IF(C152="CLT",
       I152/12, 0)</f>
        <v>800</v>
      </c>
      <c r="AA152" s="150">
        <f t="shared" ref="AA152:AA155" si="328">IF(C152="CLT", I152*$S$2,0)</f>
        <v>2640</v>
      </c>
      <c r="AB152" s="182">
        <f t="shared" ref="AB152:AB155" si="329">IF(C152="CLT", SUM(X152:Z152) * $M$2,0)</f>
        <v>149.33333333333334</v>
      </c>
      <c r="AC152" s="182">
        <f t="shared" ref="AC152:AC155" si="330">IF(C152="CLT", SUM(X152:Z152)*$S$2,0)</f>
        <v>513.33333333333337</v>
      </c>
      <c r="AD152" s="182">
        <f t="shared" ref="AD152:AD155" si="331">IF(C152="CLT",
       I152/30*3, 0)</f>
        <v>960</v>
      </c>
      <c r="AE152" s="180">
        <f t="shared" ref="AE152:AE155" si="332">IF(C152="CLT",  AD152*$M$2, 0)</f>
        <v>76.8</v>
      </c>
      <c r="AF152" s="150">
        <f t="shared" ref="AF152:AF155" si="333">IF(C152="CLT",
       I152*$M$4, 0)</f>
        <v>864</v>
      </c>
      <c r="AG152" s="150">
        <f t="shared" ref="AG152:AG155" si="334">IF(B152&lt;&gt;"",
IF(C152="CLT",
       $Q$2, 0),0)</f>
        <v>600</v>
      </c>
      <c r="AH152" s="150">
        <f t="shared" ref="AH152:AH155" si="335">SUM(V152:AG152)+H152</f>
        <v>11215.333333333332</v>
      </c>
      <c r="AI152" s="154">
        <f t="shared" ref="AI152:AI155" si="336">IF(E152="Sim", T152*$G$4, 0)</f>
        <v>9122.6320633333326</v>
      </c>
      <c r="AJ152" s="70">
        <f t="shared" ref="AJ152:AJ155" si="337">T152-AI152-J152-R152</f>
        <v>8570.4012700000021</v>
      </c>
      <c r="AK152" s="155">
        <f t="shared" ref="AK152:AK155" si="338">(IF(AJ152&gt;0,AJ152/T152,0))</f>
        <v>0.21607714510627138</v>
      </c>
      <c r="AL152" s="155">
        <f t="shared" ref="AL152:AL155" si="339">(IF(AJ152&gt;0,AJ152/(T152-AI152),0))</f>
        <v>0.28061966896918361</v>
      </c>
    </row>
    <row r="153" spans="2:38" s="102" customFormat="1" ht="15.75" customHeight="1" x14ac:dyDescent="0.2">
      <c r="B153" s="242" t="s">
        <v>1463</v>
      </c>
      <c r="C153" s="171" t="s">
        <v>109</v>
      </c>
      <c r="D153" s="103">
        <v>176</v>
      </c>
      <c r="E153" s="104" t="s">
        <v>76</v>
      </c>
      <c r="F153" s="92">
        <v>0</v>
      </c>
      <c r="G153" s="219">
        <f>IF(F153&gt;0,F153,
IF(B153&lt;&gt;"",
IF(C153="CLT",VLOOKUP(B153,'Lista Profissionais'!$C$11:$H$348,3,0),
VLOOKUP(B153,'Lista Profissionais'!$C$11:$H$348,6,0)), 0))</f>
        <v>3360</v>
      </c>
      <c r="H153" s="219">
        <f>IF(B153&lt;&gt;"",
IF(C153="CLT",
       22*$M$5 + (G153*'Lista Profissionais'!$G$9),0),0)</f>
        <v>1222</v>
      </c>
      <c r="I153" s="66">
        <f t="shared" si="313"/>
        <v>3360</v>
      </c>
      <c r="J153" s="66">
        <f t="shared" si="314"/>
        <v>8032.8666666666668</v>
      </c>
      <c r="K153" s="66">
        <f t="shared" si="315"/>
        <v>11553.390976333334</v>
      </c>
      <c r="L153" s="93">
        <f t="shared" si="316"/>
        <v>45.641287878787878</v>
      </c>
      <c r="M153" s="151"/>
      <c r="N153" s="152">
        <v>0</v>
      </c>
      <c r="O153" s="69">
        <f t="shared" si="317"/>
        <v>0</v>
      </c>
      <c r="P153" s="69">
        <f t="shared" si="318"/>
        <v>14860.803333333335</v>
      </c>
      <c r="Q153" s="70">
        <f t="shared" si="319"/>
        <v>14860.803333333335</v>
      </c>
      <c r="R153" s="153">
        <f t="shared" si="320"/>
        <v>445.82410000000004</v>
      </c>
      <c r="S153" s="70">
        <v>0</v>
      </c>
      <c r="T153" s="165">
        <f t="shared" si="321"/>
        <v>15306.627433333335</v>
      </c>
      <c r="U153" s="163">
        <f t="shared" si="322"/>
        <v>86.969474053030311</v>
      </c>
      <c r="V153" s="164">
        <f t="shared" si="323"/>
        <v>268.8</v>
      </c>
      <c r="W153" s="164">
        <f t="shared" si="324"/>
        <v>107.52000000000001</v>
      </c>
      <c r="X153" s="144">
        <f t="shared" si="325"/>
        <v>280</v>
      </c>
      <c r="Y153" s="150">
        <f t="shared" si="326"/>
        <v>93.333333333333329</v>
      </c>
      <c r="Z153" s="150">
        <f t="shared" si="327"/>
        <v>280</v>
      </c>
      <c r="AA153" s="150">
        <f t="shared" si="328"/>
        <v>924.00000000000011</v>
      </c>
      <c r="AB153" s="182">
        <f t="shared" si="329"/>
        <v>52.266666666666659</v>
      </c>
      <c r="AC153" s="182">
        <f t="shared" si="330"/>
        <v>179.66666666666666</v>
      </c>
      <c r="AD153" s="182">
        <f t="shared" si="331"/>
        <v>336</v>
      </c>
      <c r="AE153" s="180">
        <f t="shared" si="332"/>
        <v>26.88</v>
      </c>
      <c r="AF153" s="150">
        <f t="shared" si="333"/>
        <v>302.39999999999998</v>
      </c>
      <c r="AG153" s="150">
        <f t="shared" si="334"/>
        <v>600</v>
      </c>
      <c r="AH153" s="150">
        <f t="shared" si="335"/>
        <v>4672.8666666666668</v>
      </c>
      <c r="AI153" s="154">
        <f t="shared" si="336"/>
        <v>3520.5243096666672</v>
      </c>
      <c r="AJ153" s="70">
        <f t="shared" si="337"/>
        <v>3307.4123570000011</v>
      </c>
      <c r="AK153" s="155">
        <f t="shared" si="338"/>
        <v>0.21607714510627138</v>
      </c>
      <c r="AL153" s="155">
        <f t="shared" si="339"/>
        <v>0.28061966896918361</v>
      </c>
    </row>
    <row r="154" spans="2:38" s="102" customFormat="1" ht="15.75" customHeight="1" x14ac:dyDescent="0.2">
      <c r="B154" s="242" t="s">
        <v>1464</v>
      </c>
      <c r="C154" s="171" t="s">
        <v>109</v>
      </c>
      <c r="D154" s="103">
        <v>176</v>
      </c>
      <c r="E154" s="104" t="s">
        <v>76</v>
      </c>
      <c r="F154" s="92">
        <v>0</v>
      </c>
      <c r="G154" s="219">
        <f>IF(F154&gt;0,F154,
IF(B154&lt;&gt;"",
IF(C154="CLT",VLOOKUP(B154,'Lista Profissionais'!$C$11:$H$348,3,0),
VLOOKUP(B154,'Lista Profissionais'!$C$11:$H$348,6,0)), 0))</f>
        <v>6000</v>
      </c>
      <c r="H154" s="219">
        <f>IF(B154&lt;&gt;"",
IF(C154="CLT",
       22*$M$5 + (G154*'Lista Profissionais'!$G$9),0),0)</f>
        <v>1750</v>
      </c>
      <c r="I154" s="66">
        <f t="shared" si="313"/>
        <v>6000</v>
      </c>
      <c r="J154" s="66">
        <f t="shared" si="314"/>
        <v>13440.833333333334</v>
      </c>
      <c r="K154" s="66">
        <f t="shared" si="315"/>
        <v>19331.480154166667</v>
      </c>
      <c r="L154" s="93">
        <f t="shared" si="316"/>
        <v>76.368371212121218</v>
      </c>
      <c r="M154" s="151"/>
      <c r="N154" s="152">
        <v>0</v>
      </c>
      <c r="O154" s="69">
        <f t="shared" si="317"/>
        <v>0</v>
      </c>
      <c r="P154" s="69">
        <f t="shared" si="318"/>
        <v>24865.541666666668</v>
      </c>
      <c r="Q154" s="70">
        <f t="shared" si="319"/>
        <v>24865.541666666668</v>
      </c>
      <c r="R154" s="153">
        <f t="shared" si="320"/>
        <v>745.96625000000006</v>
      </c>
      <c r="S154" s="70">
        <v>0</v>
      </c>
      <c r="T154" s="165">
        <f t="shared" si="321"/>
        <v>25611.507916666669</v>
      </c>
      <c r="U154" s="163">
        <f t="shared" si="322"/>
        <v>145.51993134469697</v>
      </c>
      <c r="V154" s="164">
        <f t="shared" si="323"/>
        <v>480</v>
      </c>
      <c r="W154" s="164">
        <f t="shared" si="324"/>
        <v>192</v>
      </c>
      <c r="X154" s="144">
        <f t="shared" si="325"/>
        <v>500</v>
      </c>
      <c r="Y154" s="150">
        <f t="shared" si="326"/>
        <v>166.66666666666666</v>
      </c>
      <c r="Z154" s="150">
        <f t="shared" si="327"/>
        <v>500</v>
      </c>
      <c r="AA154" s="150">
        <f t="shared" si="328"/>
        <v>1650.0000000000002</v>
      </c>
      <c r="AB154" s="182">
        <f t="shared" si="329"/>
        <v>93.333333333333329</v>
      </c>
      <c r="AC154" s="182">
        <f t="shared" si="330"/>
        <v>320.83333333333331</v>
      </c>
      <c r="AD154" s="182">
        <f t="shared" si="331"/>
        <v>600</v>
      </c>
      <c r="AE154" s="180">
        <f t="shared" si="332"/>
        <v>48</v>
      </c>
      <c r="AF154" s="150">
        <f t="shared" si="333"/>
        <v>540</v>
      </c>
      <c r="AG154" s="150">
        <f t="shared" si="334"/>
        <v>600</v>
      </c>
      <c r="AH154" s="150">
        <f t="shared" si="335"/>
        <v>7440.8333333333339</v>
      </c>
      <c r="AI154" s="154">
        <f t="shared" si="336"/>
        <v>5890.6468208333345</v>
      </c>
      <c r="AJ154" s="70">
        <f t="shared" si="337"/>
        <v>5534.0615124999995</v>
      </c>
      <c r="AK154" s="155">
        <f t="shared" si="338"/>
        <v>0.21607714510627127</v>
      </c>
      <c r="AL154" s="155">
        <f t="shared" si="339"/>
        <v>0.2806196689691835</v>
      </c>
    </row>
    <row r="155" spans="2:38" s="102" customFormat="1" ht="15.75" customHeight="1" x14ac:dyDescent="0.2">
      <c r="B155" s="242" t="s">
        <v>1465</v>
      </c>
      <c r="C155" s="171" t="s">
        <v>109</v>
      </c>
      <c r="D155" s="103">
        <v>176</v>
      </c>
      <c r="E155" s="104" t="s">
        <v>76</v>
      </c>
      <c r="F155" s="92">
        <v>0</v>
      </c>
      <c r="G155" s="219">
        <f>IF(F155&gt;0,F155,
IF(B155&lt;&gt;"",
IF(C155="CLT",VLOOKUP(B155,'Lista Profissionais'!$C$11:$H$348,3,0),
VLOOKUP(B155,'Lista Profissionais'!$C$11:$H$348,6,0)), 0))</f>
        <v>8000</v>
      </c>
      <c r="H155" s="219">
        <f>IF(B155&lt;&gt;"",
IF(C155="CLT",
       22*$M$5 + (G155*'Lista Profissionais'!$G$9),0),0)</f>
        <v>2150</v>
      </c>
      <c r="I155" s="66">
        <f t="shared" si="313"/>
        <v>8000</v>
      </c>
      <c r="J155" s="66">
        <f t="shared" si="314"/>
        <v>17537.777777777777</v>
      </c>
      <c r="K155" s="66">
        <f t="shared" si="315"/>
        <v>25223.971955555557</v>
      </c>
      <c r="L155" s="93">
        <f t="shared" si="316"/>
        <v>99.646464646464651</v>
      </c>
      <c r="M155" s="151"/>
      <c r="N155" s="152">
        <v>0</v>
      </c>
      <c r="O155" s="69">
        <f t="shared" si="317"/>
        <v>0</v>
      </c>
      <c r="P155" s="69">
        <f t="shared" si="318"/>
        <v>32444.888888888891</v>
      </c>
      <c r="Q155" s="70">
        <f t="shared" si="319"/>
        <v>32444.888888888891</v>
      </c>
      <c r="R155" s="153">
        <f t="shared" si="320"/>
        <v>973.34666666666669</v>
      </c>
      <c r="S155" s="70">
        <v>0</v>
      </c>
      <c r="T155" s="165">
        <f t="shared" si="321"/>
        <v>33418.235555555555</v>
      </c>
      <c r="U155" s="163">
        <f t="shared" si="322"/>
        <v>189.87633838383837</v>
      </c>
      <c r="V155" s="164">
        <f t="shared" si="323"/>
        <v>640</v>
      </c>
      <c r="W155" s="164">
        <f t="shared" si="324"/>
        <v>256</v>
      </c>
      <c r="X155" s="144">
        <f t="shared" si="325"/>
        <v>666.66666666666663</v>
      </c>
      <c r="Y155" s="150">
        <f t="shared" si="326"/>
        <v>222.2222222222222</v>
      </c>
      <c r="Z155" s="150">
        <f t="shared" si="327"/>
        <v>666.66666666666663</v>
      </c>
      <c r="AA155" s="150">
        <f t="shared" si="328"/>
        <v>2200</v>
      </c>
      <c r="AB155" s="182">
        <f t="shared" si="329"/>
        <v>124.44444444444444</v>
      </c>
      <c r="AC155" s="182">
        <f t="shared" si="330"/>
        <v>427.77777777777777</v>
      </c>
      <c r="AD155" s="182">
        <f t="shared" si="331"/>
        <v>800</v>
      </c>
      <c r="AE155" s="180">
        <f t="shared" si="332"/>
        <v>64</v>
      </c>
      <c r="AF155" s="150">
        <f t="shared" si="333"/>
        <v>720</v>
      </c>
      <c r="AG155" s="150">
        <f t="shared" si="334"/>
        <v>600</v>
      </c>
      <c r="AH155" s="150">
        <f t="shared" si="335"/>
        <v>9537.7777777777774</v>
      </c>
      <c r="AI155" s="154">
        <f t="shared" si="336"/>
        <v>7686.1941777777783</v>
      </c>
      <c r="AJ155" s="70">
        <f t="shared" si="337"/>
        <v>7220.9169333333321</v>
      </c>
      <c r="AK155" s="155">
        <f t="shared" si="338"/>
        <v>0.2160771451062713</v>
      </c>
      <c r="AL155" s="155">
        <f t="shared" si="339"/>
        <v>0.2806196689691835</v>
      </c>
    </row>
    <row r="156" spans="2:38" s="102" customFormat="1" ht="15.75" customHeight="1" x14ac:dyDescent="0.2">
      <c r="B156" s="242" t="s">
        <v>1472</v>
      </c>
      <c r="C156" s="171" t="s">
        <v>109</v>
      </c>
      <c r="D156" s="103">
        <v>176</v>
      </c>
      <c r="E156" s="104" t="s">
        <v>76</v>
      </c>
      <c r="F156" s="92">
        <v>0</v>
      </c>
      <c r="G156" s="219">
        <f>IF(F156&gt;0,F156,
IF(B156&lt;&gt;"",
IF(C156="CLT",VLOOKUP(B156,'Lista Profissionais'!$C$11:$H$348,3,0),
VLOOKUP(B156,'Lista Profissionais'!$C$11:$H$348,6,0)), 0))</f>
        <v>19200</v>
      </c>
      <c r="H156" s="219">
        <f>IF(B156&lt;&gt;"",
IF(C156="CLT",
       22*$M$5 + (G156*'Lista Profissionais'!$G$9),0),0)</f>
        <v>4390</v>
      </c>
      <c r="I156" s="66">
        <f t="shared" ref="I156:I159" si="340">(G156/$G$2)*D156</f>
        <v>19200</v>
      </c>
      <c r="J156" s="66">
        <f t="shared" ref="J156:J159" si="341">I156+AH156</f>
        <v>40480.666666666664</v>
      </c>
      <c r="K156" s="66">
        <f t="shared" ref="K156:K159" si="342">J156+S156+AI156</f>
        <v>58221.926043333333</v>
      </c>
      <c r="L156" s="93">
        <f t="shared" ref="L156:L159" si="343">IF(D156&gt;0,J156/D156,0)</f>
        <v>230.00378787878788</v>
      </c>
      <c r="M156" s="151"/>
      <c r="N156" s="152">
        <v>0</v>
      </c>
      <c r="O156" s="69">
        <f t="shared" ref="O156:O159" si="344">J156*$G$6</f>
        <v>0</v>
      </c>
      <c r="P156" s="69">
        <f t="shared" ref="P156:P159" si="345">IF(M156&gt;0,M156,  J156*(1+$G$5))</f>
        <v>74889.233333333337</v>
      </c>
      <c r="Q156" s="70">
        <f t="shared" ref="Q156:Q159" si="346">(P156+O156)</f>
        <v>74889.233333333337</v>
      </c>
      <c r="R156" s="153">
        <f t="shared" ref="R156:R159" si="347">IF(E156="Sim", Q156*$G$3,0)</f>
        <v>2246.6770000000001</v>
      </c>
      <c r="S156" s="70">
        <v>0</v>
      </c>
      <c r="T156" s="165">
        <f t="shared" ref="T156:T159" si="348">IF($D$4="Sim",(IF(E156="Não",0,(Q156+(Q156*$O$4)+R156+S156)*$D$5)+Q156),
IF(E156="Não",0,Q156+(Q156*$O$4)+R156+S156
))</f>
        <v>77135.910333333333</v>
      </c>
      <c r="U156" s="163">
        <f t="shared" ref="U156:U159" si="349">IF(D156&gt;0,T156/D156,0)</f>
        <v>438.27221780303029</v>
      </c>
      <c r="V156" s="164">
        <f t="shared" ref="V156:V159" si="350">IF(C156="CLT",
       I156*$M$2, 0)</f>
        <v>1536</v>
      </c>
      <c r="W156" s="164">
        <f t="shared" ref="W156:W159" si="351">IF(C156="CLT",
       V156*$M$3, 0)</f>
        <v>614.40000000000009</v>
      </c>
      <c r="X156" s="144">
        <f t="shared" ref="X156:X159" si="352">IF(C156="CLT",
       I156/12, 0)</f>
        <v>1600</v>
      </c>
      <c r="Y156" s="150">
        <f t="shared" ref="Y156:Y159" si="353">IF(C156="CLT",
       X156/3, 0)</f>
        <v>533.33333333333337</v>
      </c>
      <c r="Z156" s="150">
        <f t="shared" ref="Z156:Z159" si="354">IF(C156="CLT",
       I156/12, 0)</f>
        <v>1600</v>
      </c>
      <c r="AA156" s="150">
        <f t="shared" ref="AA156:AA159" si="355">IF(C156="CLT", I156*$S$2,0)</f>
        <v>5280</v>
      </c>
      <c r="AB156" s="182">
        <f t="shared" ref="AB156:AB159" si="356">IF(C156="CLT", SUM(X156:Z156) * $M$2,0)</f>
        <v>298.66666666666669</v>
      </c>
      <c r="AC156" s="182">
        <f t="shared" ref="AC156:AC159" si="357">IF(C156="CLT", SUM(X156:Z156)*$S$2,0)</f>
        <v>1026.6666666666667</v>
      </c>
      <c r="AD156" s="182">
        <f t="shared" ref="AD156:AD159" si="358">IF(C156="CLT",
       I156/30*3, 0)</f>
        <v>1920</v>
      </c>
      <c r="AE156" s="180">
        <f t="shared" ref="AE156:AE159" si="359">IF(C156="CLT",  AD156*$M$2, 0)</f>
        <v>153.6</v>
      </c>
      <c r="AF156" s="150">
        <f t="shared" ref="AF156:AF159" si="360">IF(C156="CLT",
       I156*$M$4, 0)</f>
        <v>1728</v>
      </c>
      <c r="AG156" s="150">
        <f t="shared" ref="AG156:AG159" si="361">IF(B156&lt;&gt;"",
IF(C156="CLT",
       $Q$2, 0),0)</f>
        <v>600</v>
      </c>
      <c r="AH156" s="150">
        <f t="shared" ref="AH156:AH159" si="362">SUM(V156:AG156)+H156</f>
        <v>21280.666666666664</v>
      </c>
      <c r="AI156" s="154">
        <f t="shared" ref="AI156:AI159" si="363">IF(E156="Sim", T156*$G$4, 0)</f>
        <v>17741.259376666669</v>
      </c>
      <c r="AJ156" s="70">
        <f t="shared" ref="AJ156:AJ159" si="364">T156-AI156-J156-R156</f>
        <v>16667.307290000001</v>
      </c>
      <c r="AK156" s="155">
        <f t="shared" ref="AK156:AK159" si="365">(IF(AJ156&gt;0,AJ156/T156,0))</f>
        <v>0.21607714510627132</v>
      </c>
      <c r="AL156" s="155">
        <f t="shared" ref="AL156:AL159" si="366">(IF(AJ156&gt;0,AJ156/(T156-AI156),0))</f>
        <v>0.28061966896918356</v>
      </c>
    </row>
    <row r="157" spans="2:38" s="102" customFormat="1" ht="15.75" customHeight="1" x14ac:dyDescent="0.2">
      <c r="B157" s="242" t="s">
        <v>1473</v>
      </c>
      <c r="C157" s="171" t="s">
        <v>109</v>
      </c>
      <c r="D157" s="103">
        <v>176</v>
      </c>
      <c r="E157" s="104" t="s">
        <v>76</v>
      </c>
      <c r="F157" s="92">
        <v>0</v>
      </c>
      <c r="G157" s="219">
        <f>IF(F157&gt;0,F157,
IF(B157&lt;&gt;"",
IF(C157="CLT",VLOOKUP(B157,'Lista Profissionais'!$C$11:$H$348,3,0),
VLOOKUP(B157,'Lista Profissionais'!$C$11:$H$348,6,0)), 0))</f>
        <v>17600</v>
      </c>
      <c r="H157" s="219">
        <f>IF(B157&lt;&gt;"",
IF(C157="CLT",
       22*$M$5 + (G157*'Lista Profissionais'!$G$9),0),0)</f>
        <v>4070</v>
      </c>
      <c r="I157" s="66">
        <f t="shared" si="340"/>
        <v>17600</v>
      </c>
      <c r="J157" s="66">
        <f t="shared" si="341"/>
        <v>37203.111111111109</v>
      </c>
      <c r="K157" s="66">
        <f t="shared" si="342"/>
        <v>53507.932602222223</v>
      </c>
      <c r="L157" s="93">
        <f t="shared" si="343"/>
        <v>211.38131313131314</v>
      </c>
      <c r="M157" s="151"/>
      <c r="N157" s="152">
        <v>0</v>
      </c>
      <c r="O157" s="69">
        <f t="shared" si="344"/>
        <v>0</v>
      </c>
      <c r="P157" s="69">
        <f t="shared" si="345"/>
        <v>68825.755555555559</v>
      </c>
      <c r="Q157" s="70">
        <f t="shared" si="346"/>
        <v>68825.755555555559</v>
      </c>
      <c r="R157" s="153">
        <f t="shared" si="347"/>
        <v>2064.7726666666667</v>
      </c>
      <c r="S157" s="70">
        <v>0</v>
      </c>
      <c r="T157" s="165">
        <f t="shared" si="348"/>
        <v>70890.52822222223</v>
      </c>
      <c r="U157" s="163">
        <f t="shared" si="349"/>
        <v>402.78709217171723</v>
      </c>
      <c r="V157" s="164">
        <f t="shared" si="350"/>
        <v>1408</v>
      </c>
      <c r="W157" s="164">
        <f t="shared" si="351"/>
        <v>563.20000000000005</v>
      </c>
      <c r="X157" s="144">
        <f t="shared" si="352"/>
        <v>1466.6666666666667</v>
      </c>
      <c r="Y157" s="150">
        <f t="shared" si="353"/>
        <v>488.88888888888891</v>
      </c>
      <c r="Z157" s="150">
        <f t="shared" si="354"/>
        <v>1466.6666666666667</v>
      </c>
      <c r="AA157" s="150">
        <f t="shared" si="355"/>
        <v>4840</v>
      </c>
      <c r="AB157" s="182">
        <f t="shared" si="356"/>
        <v>273.77777777777783</v>
      </c>
      <c r="AC157" s="182">
        <f t="shared" si="357"/>
        <v>941.11111111111131</v>
      </c>
      <c r="AD157" s="182">
        <f t="shared" si="358"/>
        <v>1760</v>
      </c>
      <c r="AE157" s="180">
        <f t="shared" si="359"/>
        <v>140.80000000000001</v>
      </c>
      <c r="AF157" s="150">
        <f t="shared" si="360"/>
        <v>1584</v>
      </c>
      <c r="AG157" s="150">
        <f t="shared" si="361"/>
        <v>600</v>
      </c>
      <c r="AH157" s="150">
        <f t="shared" si="362"/>
        <v>19603.111111111109</v>
      </c>
      <c r="AI157" s="154">
        <f t="shared" si="363"/>
        <v>16304.821491111114</v>
      </c>
      <c r="AJ157" s="70">
        <f t="shared" si="364"/>
        <v>15317.82295333334</v>
      </c>
      <c r="AK157" s="155">
        <f t="shared" si="365"/>
        <v>0.21607714510627138</v>
      </c>
      <c r="AL157" s="155">
        <f t="shared" si="366"/>
        <v>0.28061966896918361</v>
      </c>
    </row>
    <row r="158" spans="2:38" s="102" customFormat="1" ht="15.75" customHeight="1" x14ac:dyDescent="0.2">
      <c r="B158" s="242" t="s">
        <v>1474</v>
      </c>
      <c r="C158" s="171" t="s">
        <v>109</v>
      </c>
      <c r="D158" s="103">
        <v>176</v>
      </c>
      <c r="E158" s="104" t="s">
        <v>76</v>
      </c>
      <c r="F158" s="92">
        <v>0</v>
      </c>
      <c r="G158" s="219">
        <f>IF(F158&gt;0,F158,
IF(B158&lt;&gt;"",
IF(C158="CLT",VLOOKUP(B158,'Lista Profissionais'!$C$11:$H$348,3,0),
VLOOKUP(B158,'Lista Profissionais'!$C$11:$H$348,6,0)), 0))</f>
        <v>16000</v>
      </c>
      <c r="H158" s="219">
        <f>IF(B158&lt;&gt;"",
IF(C158="CLT",
       22*$M$5 + (G158*'Lista Profissionais'!$G$9),0),0)</f>
        <v>3750</v>
      </c>
      <c r="I158" s="66">
        <f t="shared" si="340"/>
        <v>16000</v>
      </c>
      <c r="J158" s="66">
        <f t="shared" si="341"/>
        <v>33925.555555555555</v>
      </c>
      <c r="K158" s="66">
        <f t="shared" si="342"/>
        <v>48793.939161111113</v>
      </c>
      <c r="L158" s="93">
        <f t="shared" si="343"/>
        <v>192.75883838383837</v>
      </c>
      <c r="M158" s="151"/>
      <c r="N158" s="152">
        <v>0</v>
      </c>
      <c r="O158" s="69">
        <f t="shared" si="344"/>
        <v>0</v>
      </c>
      <c r="P158" s="69">
        <f t="shared" si="345"/>
        <v>62762.277777777781</v>
      </c>
      <c r="Q158" s="70">
        <f t="shared" si="346"/>
        <v>62762.277777777781</v>
      </c>
      <c r="R158" s="153">
        <f t="shared" si="347"/>
        <v>1882.8683333333333</v>
      </c>
      <c r="S158" s="70">
        <v>0</v>
      </c>
      <c r="T158" s="165">
        <f t="shared" si="348"/>
        <v>64645.146111111113</v>
      </c>
      <c r="U158" s="163">
        <f t="shared" si="349"/>
        <v>367.30196654040407</v>
      </c>
      <c r="V158" s="164">
        <f t="shared" si="350"/>
        <v>1280</v>
      </c>
      <c r="W158" s="164">
        <f t="shared" si="351"/>
        <v>512</v>
      </c>
      <c r="X158" s="144">
        <f t="shared" si="352"/>
        <v>1333.3333333333333</v>
      </c>
      <c r="Y158" s="150">
        <f t="shared" si="353"/>
        <v>444.4444444444444</v>
      </c>
      <c r="Z158" s="150">
        <f t="shared" si="354"/>
        <v>1333.3333333333333</v>
      </c>
      <c r="AA158" s="150">
        <f t="shared" si="355"/>
        <v>4400</v>
      </c>
      <c r="AB158" s="182">
        <f t="shared" si="356"/>
        <v>248.88888888888889</v>
      </c>
      <c r="AC158" s="182">
        <f t="shared" si="357"/>
        <v>855.55555555555554</v>
      </c>
      <c r="AD158" s="182">
        <f t="shared" si="358"/>
        <v>1600</v>
      </c>
      <c r="AE158" s="180">
        <f t="shared" si="359"/>
        <v>128</v>
      </c>
      <c r="AF158" s="150">
        <f t="shared" si="360"/>
        <v>1440</v>
      </c>
      <c r="AG158" s="150">
        <f t="shared" si="361"/>
        <v>600</v>
      </c>
      <c r="AH158" s="150">
        <f t="shared" si="362"/>
        <v>17925.555555555555</v>
      </c>
      <c r="AI158" s="154">
        <f t="shared" si="363"/>
        <v>14868.383605555557</v>
      </c>
      <c r="AJ158" s="70">
        <f t="shared" si="364"/>
        <v>13968.338616666666</v>
      </c>
      <c r="AK158" s="155">
        <f t="shared" si="365"/>
        <v>0.2160771451062713</v>
      </c>
      <c r="AL158" s="155">
        <f t="shared" si="366"/>
        <v>0.2806196689691835</v>
      </c>
    </row>
    <row r="159" spans="2:38" s="102" customFormat="1" ht="15.75" customHeight="1" x14ac:dyDescent="0.2">
      <c r="B159" s="242" t="s">
        <v>1475</v>
      </c>
      <c r="C159" s="171" t="s">
        <v>109</v>
      </c>
      <c r="D159" s="103">
        <v>176</v>
      </c>
      <c r="E159" s="104" t="s">
        <v>76</v>
      </c>
      <c r="F159" s="92">
        <v>0</v>
      </c>
      <c r="G159" s="219">
        <f>IF(F159&gt;0,F159,
IF(B159&lt;&gt;"",
IF(C159="CLT",VLOOKUP(B159,'Lista Profissionais'!$C$11:$H$348,3,0),
VLOOKUP(B159,'Lista Profissionais'!$C$11:$H$348,6,0)), 0))</f>
        <v>19200</v>
      </c>
      <c r="H159" s="219">
        <f>IF(B159&lt;&gt;"",
IF(C159="CLT",
       22*$M$5 + (G159*'Lista Profissionais'!$G$9),0),0)</f>
        <v>4390</v>
      </c>
      <c r="I159" s="66">
        <f t="shared" si="340"/>
        <v>19200</v>
      </c>
      <c r="J159" s="66">
        <f t="shared" si="341"/>
        <v>40480.666666666664</v>
      </c>
      <c r="K159" s="66">
        <f t="shared" si="342"/>
        <v>58221.926043333333</v>
      </c>
      <c r="L159" s="93">
        <f t="shared" si="343"/>
        <v>230.00378787878788</v>
      </c>
      <c r="M159" s="151"/>
      <c r="N159" s="152">
        <v>0</v>
      </c>
      <c r="O159" s="69">
        <f t="shared" si="344"/>
        <v>0</v>
      </c>
      <c r="P159" s="69">
        <f t="shared" si="345"/>
        <v>74889.233333333337</v>
      </c>
      <c r="Q159" s="70">
        <f t="shared" si="346"/>
        <v>74889.233333333337</v>
      </c>
      <c r="R159" s="153">
        <f t="shared" si="347"/>
        <v>2246.6770000000001</v>
      </c>
      <c r="S159" s="70">
        <v>0</v>
      </c>
      <c r="T159" s="165">
        <f t="shared" si="348"/>
        <v>77135.910333333333</v>
      </c>
      <c r="U159" s="163">
        <f t="shared" si="349"/>
        <v>438.27221780303029</v>
      </c>
      <c r="V159" s="164">
        <f t="shared" si="350"/>
        <v>1536</v>
      </c>
      <c r="W159" s="164">
        <f t="shared" si="351"/>
        <v>614.40000000000009</v>
      </c>
      <c r="X159" s="144">
        <f t="shared" si="352"/>
        <v>1600</v>
      </c>
      <c r="Y159" s="150">
        <f t="shared" si="353"/>
        <v>533.33333333333337</v>
      </c>
      <c r="Z159" s="150">
        <f t="shared" si="354"/>
        <v>1600</v>
      </c>
      <c r="AA159" s="150">
        <f t="shared" si="355"/>
        <v>5280</v>
      </c>
      <c r="AB159" s="182">
        <f t="shared" si="356"/>
        <v>298.66666666666669</v>
      </c>
      <c r="AC159" s="182">
        <f t="shared" si="357"/>
        <v>1026.6666666666667</v>
      </c>
      <c r="AD159" s="182">
        <f t="shared" si="358"/>
        <v>1920</v>
      </c>
      <c r="AE159" s="180">
        <f t="shared" si="359"/>
        <v>153.6</v>
      </c>
      <c r="AF159" s="150">
        <f t="shared" si="360"/>
        <v>1728</v>
      </c>
      <c r="AG159" s="150">
        <f t="shared" si="361"/>
        <v>600</v>
      </c>
      <c r="AH159" s="150">
        <f t="shared" si="362"/>
        <v>21280.666666666664</v>
      </c>
      <c r="AI159" s="154">
        <f t="shared" si="363"/>
        <v>17741.259376666669</v>
      </c>
      <c r="AJ159" s="70">
        <f t="shared" si="364"/>
        <v>16667.307290000001</v>
      </c>
      <c r="AK159" s="155">
        <f t="shared" si="365"/>
        <v>0.21607714510627132</v>
      </c>
      <c r="AL159" s="155">
        <f t="shared" si="366"/>
        <v>0.28061966896918356</v>
      </c>
    </row>
    <row r="160" spans="2:38" s="102" customFormat="1" ht="15.75" customHeight="1" x14ac:dyDescent="0.25">
      <c r="B160" s="31"/>
      <c r="C160" s="31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 spans="2:37" s="102" customFormat="1" ht="15.75" customHeight="1" x14ac:dyDescent="0.25">
      <c r="B161" s="31"/>
      <c r="C161" s="3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2:37" s="102" customFormat="1" ht="15.75" customHeight="1" x14ac:dyDescent="0.25">
      <c r="B162" s="31"/>
      <c r="C162" s="31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2:37" s="102" customFormat="1" ht="15.75" customHeight="1" x14ac:dyDescent="0.25">
      <c r="B163" s="31"/>
      <c r="C163" s="31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 spans="2:37" s="102" customFormat="1" ht="15.75" customHeight="1" x14ac:dyDescent="0.25">
      <c r="B164" s="31"/>
      <c r="C164" s="31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 spans="2:37" s="102" customFormat="1" ht="15.75" customHeight="1" x14ac:dyDescent="0.25">
      <c r="B165" s="31"/>
      <c r="C165" s="31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 spans="2:37" s="102" customFormat="1" ht="15.75" customHeight="1" x14ac:dyDescent="0.25">
      <c r="B166" s="31"/>
      <c r="C166" s="31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 spans="2:37" s="102" customFormat="1" ht="15.75" customHeight="1" x14ac:dyDescent="0.25">
      <c r="B167" s="31"/>
      <c r="C167" s="31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 spans="2:37" s="102" customFormat="1" ht="15.75" customHeight="1" x14ac:dyDescent="0.25">
      <c r="B168" s="31"/>
      <c r="C168" s="31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 spans="2:37" s="102" customFormat="1" ht="15.75" customHeight="1" x14ac:dyDescent="0.25">
      <c r="B169" s="31"/>
      <c r="C169" s="31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2:37" s="102" customFormat="1" ht="15.75" customHeight="1" x14ac:dyDescent="0.25">
      <c r="B170" s="31"/>
      <c r="C170" s="31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 spans="2:37" s="102" customFormat="1" ht="15.75" customHeight="1" x14ac:dyDescent="0.25">
      <c r="B171" s="31"/>
      <c r="C171" s="3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 spans="2:37" s="102" customFormat="1" ht="15.75" customHeight="1" x14ac:dyDescent="0.25">
      <c r="B172" s="31"/>
      <c r="C172" s="31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 spans="2:37" s="102" customFormat="1" ht="15.75" customHeight="1" x14ac:dyDescent="0.25">
      <c r="B173" s="31"/>
      <c r="C173" s="31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 spans="2:37" s="102" customFormat="1" ht="15.75" customHeight="1" x14ac:dyDescent="0.25">
      <c r="B174" s="31"/>
      <c r="C174" s="31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 spans="2:37" s="102" customFormat="1" ht="15.75" customHeight="1" x14ac:dyDescent="0.25">
      <c r="B175" s="31"/>
      <c r="C175" s="31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 spans="2:37" s="102" customFormat="1" ht="15.75" customHeight="1" x14ac:dyDescent="0.25">
      <c r="B176" s="31"/>
      <c r="C176" s="31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 spans="2:37" s="102" customFormat="1" ht="15.75" customHeight="1" x14ac:dyDescent="0.25">
      <c r="B177" s="31"/>
      <c r="C177" s="31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 spans="2:37" s="102" customFormat="1" ht="15.75" customHeight="1" x14ac:dyDescent="0.25">
      <c r="B178" s="31"/>
      <c r="C178" s="31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 spans="2:37" s="102" customFormat="1" ht="15.75" customHeight="1" x14ac:dyDescent="0.25">
      <c r="B179" s="31"/>
      <c r="C179" s="31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 spans="2:37" s="102" customFormat="1" ht="15.75" customHeight="1" x14ac:dyDescent="0.25">
      <c r="B180" s="31"/>
      <c r="C180" s="31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 spans="2:37" s="102" customFormat="1" ht="15.75" customHeight="1" x14ac:dyDescent="0.25">
      <c r="B181" s="31"/>
      <c r="C181" s="3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 spans="2:37" s="102" customFormat="1" ht="15.75" customHeight="1" x14ac:dyDescent="0.25">
      <c r="B182" s="31"/>
      <c r="C182" s="31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 spans="2:37" s="102" customFormat="1" ht="15.75" customHeight="1" x14ac:dyDescent="0.25">
      <c r="B183" s="31"/>
      <c r="C183" s="31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 spans="2:37" s="102" customFormat="1" ht="15.75" customHeight="1" x14ac:dyDescent="0.25">
      <c r="B184" s="31"/>
      <c r="C184" s="31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 spans="2:37" s="102" customFormat="1" ht="15.75" customHeight="1" x14ac:dyDescent="0.25">
      <c r="B185" s="31"/>
      <c r="C185" s="31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 spans="2:37" s="102" customFormat="1" ht="15.75" customHeight="1" x14ac:dyDescent="0.25">
      <c r="B186" s="31"/>
      <c r="C186" s="31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 spans="2:37" s="102" customFormat="1" ht="15.75" customHeight="1" x14ac:dyDescent="0.25">
      <c r="B187" s="31"/>
      <c r="C187" s="31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 spans="2:37" s="102" customFormat="1" ht="15.75" customHeight="1" x14ac:dyDescent="0.25">
      <c r="B188" s="31"/>
      <c r="C188" s="31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 spans="2:37" s="102" customFormat="1" ht="15.75" customHeight="1" x14ac:dyDescent="0.25">
      <c r="B189" s="31"/>
      <c r="C189" s="31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 spans="2:37" s="102" customFormat="1" ht="15.75" customHeight="1" x14ac:dyDescent="0.25">
      <c r="B190" s="31"/>
      <c r="C190" s="31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 spans="2:37" s="102" customFormat="1" ht="15.75" customHeight="1" x14ac:dyDescent="0.25">
      <c r="B191" s="31"/>
      <c r="C191" s="3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 spans="2:37" s="102" customFormat="1" ht="15.75" customHeight="1" x14ac:dyDescent="0.25">
      <c r="B192" s="31"/>
      <c r="C192" s="31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 spans="2:37" s="102" customFormat="1" ht="15.75" customHeight="1" x14ac:dyDescent="0.25">
      <c r="B193" s="31"/>
      <c r="C193" s="31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 spans="2:37" s="102" customFormat="1" ht="15.75" customHeight="1" x14ac:dyDescent="0.25">
      <c r="B194" s="31"/>
      <c r="C194" s="31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 spans="2:37" s="102" customFormat="1" ht="15.75" customHeight="1" x14ac:dyDescent="0.25">
      <c r="B195" s="31"/>
      <c r="C195" s="31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 spans="2:37" s="102" customFormat="1" ht="15.75" customHeight="1" x14ac:dyDescent="0.25">
      <c r="B196" s="31"/>
      <c r="C196" s="31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 spans="2:37" s="102" customFormat="1" ht="15.75" customHeight="1" x14ac:dyDescent="0.25">
      <c r="B197" s="31"/>
      <c r="C197" s="31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 spans="2:37" s="102" customFormat="1" ht="15.75" customHeight="1" x14ac:dyDescent="0.25">
      <c r="B198" s="31"/>
      <c r="C198" s="31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 spans="2:37" s="102" customFormat="1" ht="15.75" customHeight="1" x14ac:dyDescent="0.25">
      <c r="B199" s="31"/>
      <c r="C199" s="31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 spans="2:37" s="102" customFormat="1" ht="15.75" customHeight="1" x14ac:dyDescent="0.25">
      <c r="B200" s="31"/>
      <c r="C200" s="31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 spans="2:37" s="102" customFormat="1" ht="15.75" customHeight="1" x14ac:dyDescent="0.25">
      <c r="B201" s="31"/>
      <c r="C201" s="3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 spans="2:37" s="102" customFormat="1" ht="15.75" customHeight="1" x14ac:dyDescent="0.25">
      <c r="B202" s="31"/>
      <c r="C202" s="31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 spans="2:37" s="102" customFormat="1" ht="15.75" customHeight="1" x14ac:dyDescent="0.25">
      <c r="B203" s="31"/>
      <c r="C203" s="31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 spans="2:37" s="102" customFormat="1" ht="15.75" customHeight="1" x14ac:dyDescent="0.25">
      <c r="B204" s="31"/>
      <c r="C204" s="31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 spans="2:37" s="102" customFormat="1" ht="15.75" customHeight="1" x14ac:dyDescent="0.25">
      <c r="B205" s="31"/>
      <c r="C205" s="31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 spans="2:37" s="102" customFormat="1" ht="15.75" customHeight="1" x14ac:dyDescent="0.25">
      <c r="B206" s="31"/>
      <c r="C206" s="31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 spans="2:37" s="102" customFormat="1" ht="15.75" customHeight="1" x14ac:dyDescent="0.25">
      <c r="B207" s="31"/>
      <c r="C207" s="31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 spans="2:37" s="102" customFormat="1" ht="15.75" customHeight="1" x14ac:dyDescent="0.25">
      <c r="B208" s="31"/>
      <c r="C208" s="31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 spans="2:37" s="102" customFormat="1" ht="15.75" customHeight="1" x14ac:dyDescent="0.25">
      <c r="B209" s="31"/>
      <c r="C209" s="31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 spans="2:37" s="102" customFormat="1" ht="15.75" customHeight="1" x14ac:dyDescent="0.25">
      <c r="B210" s="31"/>
      <c r="C210" s="31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 spans="2:37" s="102" customFormat="1" ht="15.75" customHeight="1" x14ac:dyDescent="0.25">
      <c r="B211" s="31"/>
      <c r="C211" s="3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 spans="2:37" s="102" customFormat="1" ht="15.75" customHeight="1" x14ac:dyDescent="0.25">
      <c r="B212" s="31"/>
      <c r="C212" s="31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 spans="2:37" s="102" customFormat="1" ht="15.75" customHeight="1" x14ac:dyDescent="0.25">
      <c r="B213" s="31"/>
      <c r="C213" s="3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 spans="2:37" s="102" customFormat="1" ht="15.75" customHeight="1" x14ac:dyDescent="0.25">
      <c r="B214" s="31"/>
      <c r="C214" s="3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 spans="2:37" s="102" customFormat="1" ht="15.75" customHeight="1" x14ac:dyDescent="0.25">
      <c r="B215" s="31"/>
      <c r="C215" s="3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 spans="2:37" s="102" customFormat="1" ht="15.75" customHeight="1" x14ac:dyDescent="0.25">
      <c r="B216" s="31"/>
      <c r="C216" s="31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 spans="2:37" s="102" customFormat="1" ht="15.75" customHeight="1" x14ac:dyDescent="0.25">
      <c r="B217" s="31"/>
      <c r="C217" s="31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 spans="2:37" s="102" customFormat="1" ht="15.75" customHeight="1" x14ac:dyDescent="0.25">
      <c r="B218" s="31"/>
      <c r="C218" s="31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 spans="2:37" s="102" customFormat="1" ht="15.75" customHeight="1" x14ac:dyDescent="0.25">
      <c r="B219" s="31"/>
      <c r="C219" s="31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 spans="2:37" s="102" customFormat="1" ht="15.75" customHeight="1" x14ac:dyDescent="0.25">
      <c r="B220" s="31"/>
      <c r="C220" s="31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 spans="2:37" s="102" customFormat="1" ht="15.75" customHeight="1" x14ac:dyDescent="0.25">
      <c r="B221" s="31"/>
      <c r="C221" s="3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 spans="2:37" s="102" customFormat="1" ht="15.75" customHeight="1" x14ac:dyDescent="0.25">
      <c r="B222" s="31"/>
      <c r="C222" s="31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 spans="2:37" s="102" customFormat="1" ht="15.75" customHeight="1" x14ac:dyDescent="0.25">
      <c r="B223" s="31"/>
      <c r="C223" s="31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 spans="2:37" s="102" customFormat="1" ht="15.75" customHeight="1" x14ac:dyDescent="0.25">
      <c r="B224" s="31"/>
      <c r="C224" s="31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 spans="2:37" s="102" customFormat="1" ht="15.75" customHeight="1" x14ac:dyDescent="0.25">
      <c r="B225" s="31"/>
      <c r="C225" s="31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 spans="2:37" s="102" customFormat="1" ht="15.75" customHeight="1" x14ac:dyDescent="0.25">
      <c r="B226" s="31"/>
      <c r="C226" s="31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 spans="2:37" s="102" customFormat="1" ht="15.75" customHeight="1" x14ac:dyDescent="0.25">
      <c r="B227" s="31"/>
      <c r="C227" s="31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 spans="2:37" s="102" customFormat="1" ht="15.75" customHeight="1" x14ac:dyDescent="0.25">
      <c r="B228" s="31"/>
      <c r="C228" s="31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 spans="2:37" s="102" customFormat="1" ht="15.75" customHeight="1" x14ac:dyDescent="0.25">
      <c r="B229" s="31"/>
      <c r="C229" s="31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 spans="2:37" s="102" customFormat="1" ht="15.75" customHeight="1" x14ac:dyDescent="0.25">
      <c r="B230" s="31"/>
      <c r="C230" s="31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 spans="2:37" s="102" customFormat="1" ht="15.75" customHeight="1" x14ac:dyDescent="0.25">
      <c r="B231" s="31"/>
      <c r="C231" s="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 spans="2:37" s="102" customFormat="1" ht="15.75" customHeight="1" x14ac:dyDescent="0.25">
      <c r="B232" s="31"/>
      <c r="C232" s="31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 spans="2:37" s="102" customFormat="1" ht="15.75" customHeight="1" x14ac:dyDescent="0.25">
      <c r="B233" s="31"/>
      <c r="C233" s="31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 spans="2:37" s="102" customFormat="1" ht="15.75" customHeight="1" x14ac:dyDescent="0.25">
      <c r="B234" s="31"/>
      <c r="C234" s="31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 spans="2:37" s="102" customFormat="1" ht="15.75" customHeight="1" x14ac:dyDescent="0.25">
      <c r="B235" s="31"/>
      <c r="C235" s="31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 spans="2:37" s="102" customFormat="1" ht="15.75" customHeight="1" x14ac:dyDescent="0.25">
      <c r="B236" s="31"/>
      <c r="C236" s="31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 spans="2:37" s="102" customFormat="1" ht="15.75" customHeight="1" x14ac:dyDescent="0.25">
      <c r="B237" s="31"/>
      <c r="C237" s="31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 spans="2:37" s="102" customFormat="1" ht="15.75" customHeight="1" x14ac:dyDescent="0.25">
      <c r="B238" s="31"/>
      <c r="C238" s="31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 spans="2:37" s="102" customFormat="1" ht="15.75" customHeight="1" x14ac:dyDescent="0.25">
      <c r="B239" s="31"/>
      <c r="C239" s="31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 spans="2:37" s="102" customFormat="1" ht="15.75" customHeight="1" x14ac:dyDescent="0.25">
      <c r="B240" s="31"/>
      <c r="C240" s="31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 spans="2:37" s="102" customFormat="1" ht="15.75" customHeight="1" x14ac:dyDescent="0.25">
      <c r="B241" s="31"/>
      <c r="C241" s="3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 spans="2:37" s="102" customFormat="1" ht="15.75" customHeight="1" x14ac:dyDescent="0.25">
      <c r="B242" s="31"/>
      <c r="C242" s="31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 spans="2:37" s="102" customFormat="1" ht="15.75" customHeight="1" x14ac:dyDescent="0.25">
      <c r="B243" s="31"/>
      <c r="C243" s="31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 spans="2:37" s="102" customFormat="1" ht="15.75" customHeight="1" x14ac:dyDescent="0.25">
      <c r="B244" s="31"/>
      <c r="C244" s="31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 spans="2:37" s="102" customFormat="1" ht="15.75" customHeight="1" x14ac:dyDescent="0.25">
      <c r="B245" s="31"/>
      <c r="C245" s="31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 spans="2:37" s="102" customFormat="1" ht="15.75" customHeight="1" x14ac:dyDescent="0.25">
      <c r="B246" s="31"/>
      <c r="C246" s="31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 spans="2:37" s="102" customFormat="1" ht="15.75" customHeight="1" x14ac:dyDescent="0.25">
      <c r="B247" s="31"/>
      <c r="C247" s="31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 spans="2:37" s="102" customFormat="1" ht="15.75" customHeight="1" x14ac:dyDescent="0.25">
      <c r="B248" s="31"/>
      <c r="C248" s="31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 spans="2:37" s="102" customFormat="1" ht="15.75" customHeight="1" x14ac:dyDescent="0.25">
      <c r="B249" s="31"/>
      <c r="C249" s="31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 spans="2:37" s="102" customFormat="1" ht="15.75" customHeight="1" x14ac:dyDescent="0.25">
      <c r="B250" s="31"/>
      <c r="C250" s="31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 spans="2:37" s="102" customFormat="1" ht="15.75" customHeight="1" x14ac:dyDescent="0.25">
      <c r="B251" s="31"/>
      <c r="C251" s="3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 spans="2:37" s="102" customFormat="1" ht="15.75" customHeight="1" x14ac:dyDescent="0.25">
      <c r="B252" s="31"/>
      <c r="C252" s="31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 spans="2:37" s="102" customFormat="1" ht="15.75" customHeight="1" x14ac:dyDescent="0.25">
      <c r="B253" s="31"/>
      <c r="C253" s="31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 spans="2:37" s="102" customFormat="1" ht="15.75" customHeight="1" x14ac:dyDescent="0.25">
      <c r="B254" s="31"/>
      <c r="C254" s="31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 spans="2:37" s="102" customFormat="1" ht="15.75" customHeight="1" x14ac:dyDescent="0.25">
      <c r="B255" s="31"/>
      <c r="C255" s="31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 spans="2:37" s="102" customFormat="1" ht="15.75" customHeight="1" x14ac:dyDescent="0.25">
      <c r="B256" s="31"/>
      <c r="C256" s="31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 spans="2:37" s="102" customFormat="1" ht="15.75" customHeight="1" x14ac:dyDescent="0.25">
      <c r="B257" s="31"/>
      <c r="C257" s="31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 spans="2:37" s="102" customFormat="1" ht="15.75" customHeight="1" x14ac:dyDescent="0.25">
      <c r="B258" s="31"/>
      <c r="C258" s="31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 spans="2:37" s="102" customFormat="1" ht="15.75" customHeight="1" x14ac:dyDescent="0.25">
      <c r="B259" s="31"/>
      <c r="C259" s="31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 spans="2:37" s="102" customFormat="1" ht="15.75" customHeight="1" x14ac:dyDescent="0.25">
      <c r="B260" s="31"/>
      <c r="C260" s="31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 spans="2:37" s="102" customFormat="1" ht="15.75" customHeight="1" x14ac:dyDescent="0.25">
      <c r="B261" s="31"/>
      <c r="C261" s="3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 spans="2:37" s="102" customFormat="1" ht="15.75" customHeight="1" x14ac:dyDescent="0.25">
      <c r="B262" s="31"/>
      <c r="C262" s="31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 spans="2:37" s="102" customFormat="1" ht="15.75" customHeight="1" x14ac:dyDescent="0.25">
      <c r="B263" s="31"/>
      <c r="C263" s="31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 spans="2:37" s="102" customFormat="1" ht="15.75" customHeight="1" x14ac:dyDescent="0.25">
      <c r="B264" s="31"/>
      <c r="C264" s="31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 spans="2:37" s="102" customFormat="1" ht="15.75" customHeight="1" x14ac:dyDescent="0.25">
      <c r="B265" s="31"/>
      <c r="C265" s="31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 spans="2:37" s="102" customFormat="1" ht="15.75" customHeight="1" x14ac:dyDescent="0.25">
      <c r="B266" s="31"/>
      <c r="C266" s="31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 spans="2:37" s="102" customFormat="1" ht="15.75" customHeight="1" x14ac:dyDescent="0.25">
      <c r="B267" s="31"/>
      <c r="C267" s="31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 spans="2:37" s="102" customFormat="1" ht="15.75" customHeight="1" x14ac:dyDescent="0.25">
      <c r="B268" s="31"/>
      <c r="C268" s="31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 spans="2:37" s="102" customFormat="1" ht="15.75" customHeight="1" x14ac:dyDescent="0.25">
      <c r="B269" s="31"/>
      <c r="C269" s="31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 spans="2:37" s="102" customFormat="1" ht="15.75" customHeight="1" x14ac:dyDescent="0.25">
      <c r="B270" s="31"/>
      <c r="C270" s="31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 spans="2:37" s="102" customFormat="1" ht="15.75" customHeight="1" x14ac:dyDescent="0.25">
      <c r="B271" s="31"/>
      <c r="C271" s="3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 spans="2:37" s="102" customFormat="1" ht="15.75" customHeight="1" x14ac:dyDescent="0.25">
      <c r="B272" s="31"/>
      <c r="C272" s="31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 spans="2:37" s="102" customFormat="1" ht="15.75" customHeight="1" x14ac:dyDescent="0.25">
      <c r="B273" s="31"/>
      <c r="C273" s="31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 spans="2:37" s="102" customFormat="1" ht="15.75" customHeight="1" x14ac:dyDescent="0.25">
      <c r="B274" s="31"/>
      <c r="C274" s="31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 spans="2:37" s="102" customFormat="1" ht="15.75" customHeight="1" x14ac:dyDescent="0.25">
      <c r="B275" s="31"/>
      <c r="C275" s="31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 spans="2:37" s="102" customFormat="1" ht="15.75" customHeight="1" x14ac:dyDescent="0.25">
      <c r="B276" s="31"/>
      <c r="C276" s="31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 spans="2:37" s="102" customFormat="1" ht="15.75" customHeight="1" x14ac:dyDescent="0.25">
      <c r="B277" s="31"/>
      <c r="C277" s="31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 spans="2:37" s="102" customFormat="1" ht="15.75" customHeight="1" x14ac:dyDescent="0.25">
      <c r="B278" s="31"/>
      <c r="C278" s="31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 spans="2:37" s="102" customFormat="1" ht="15.75" customHeight="1" x14ac:dyDescent="0.25">
      <c r="B279" s="31"/>
      <c r="C279" s="31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 spans="2:37" s="102" customFormat="1" ht="15.75" customHeight="1" x14ac:dyDescent="0.25">
      <c r="B280" s="31"/>
      <c r="C280" s="31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 spans="2:37" s="102" customFormat="1" ht="15.75" customHeight="1" x14ac:dyDescent="0.25">
      <c r="B281" s="31"/>
      <c r="C281" s="3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 spans="2:37" s="102" customFormat="1" ht="15.75" customHeight="1" x14ac:dyDescent="0.25">
      <c r="B282" s="31"/>
      <c r="C282" s="31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 spans="2:37" s="102" customFormat="1" ht="15.75" customHeight="1" x14ac:dyDescent="0.25">
      <c r="B283" s="31"/>
      <c r="C283" s="31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 spans="2:37" s="102" customFormat="1" ht="15.75" customHeight="1" x14ac:dyDescent="0.25">
      <c r="B284" s="31"/>
      <c r="C284" s="31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 spans="2:37" s="102" customFormat="1" ht="15.75" customHeight="1" x14ac:dyDescent="0.25">
      <c r="B285" s="31"/>
      <c r="C285" s="31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 spans="2:37" s="102" customFormat="1" ht="15.75" customHeight="1" x14ac:dyDescent="0.25">
      <c r="B286" s="31"/>
      <c r="C286" s="31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 spans="2:37" s="102" customFormat="1" ht="15.75" customHeight="1" x14ac:dyDescent="0.25">
      <c r="B287" s="31"/>
      <c r="C287" s="31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 spans="2:37" s="102" customFormat="1" ht="15.75" customHeight="1" x14ac:dyDescent="0.25">
      <c r="B288" s="31"/>
      <c r="C288" s="31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 spans="2:37" s="102" customFormat="1" ht="15.75" customHeight="1" x14ac:dyDescent="0.25">
      <c r="B289" s="31"/>
      <c r="C289" s="31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 spans="2:37" s="102" customFormat="1" ht="15.75" customHeight="1" x14ac:dyDescent="0.25">
      <c r="B290" s="31"/>
      <c r="C290" s="31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 spans="2:37" s="102" customFormat="1" ht="15.75" customHeight="1" x14ac:dyDescent="0.25">
      <c r="B291" s="31"/>
      <c r="C291" s="3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 spans="2:37" s="102" customFormat="1" ht="15.75" customHeight="1" x14ac:dyDescent="0.25">
      <c r="B292" s="31"/>
      <c r="C292" s="31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 spans="2:37" s="102" customFormat="1" ht="15.75" customHeight="1" x14ac:dyDescent="0.25">
      <c r="B293" s="31"/>
      <c r="C293" s="31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 spans="2:37" s="102" customFormat="1" ht="15.75" customHeight="1" x14ac:dyDescent="0.25">
      <c r="B294" s="31"/>
      <c r="C294" s="31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 spans="2:37" s="102" customFormat="1" ht="15.75" customHeight="1" x14ac:dyDescent="0.25">
      <c r="B295" s="31"/>
      <c r="C295" s="31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 spans="2:37" s="102" customFormat="1" ht="15.75" customHeight="1" x14ac:dyDescent="0.25">
      <c r="B296" s="31"/>
      <c r="C296" s="31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</row>
    <row r="297" spans="2:37" s="102" customFormat="1" ht="15.75" customHeight="1" x14ac:dyDescent="0.25">
      <c r="B297" s="31"/>
      <c r="C297" s="31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 spans="2:37" s="102" customFormat="1" ht="15.75" customHeight="1" x14ac:dyDescent="0.25">
      <c r="B298" s="31"/>
      <c r="C298" s="31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 spans="2:37" s="102" customFormat="1" ht="15.75" customHeight="1" x14ac:dyDescent="0.25">
      <c r="B299" s="31"/>
      <c r="C299" s="31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 spans="2:37" s="102" customFormat="1" ht="15.75" customHeight="1" x14ac:dyDescent="0.25">
      <c r="B300" s="31"/>
      <c r="C300" s="31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 spans="2:37" s="102" customFormat="1" ht="15.75" customHeight="1" x14ac:dyDescent="0.25">
      <c r="B301" s="31"/>
      <c r="C301" s="3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 spans="2:37" s="102" customFormat="1" ht="15.75" customHeight="1" x14ac:dyDescent="0.25">
      <c r="B302" s="31"/>
      <c r="C302" s="31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 spans="2:37" s="102" customFormat="1" ht="15.75" customHeight="1" x14ac:dyDescent="0.25">
      <c r="B303" s="31"/>
      <c r="C303" s="31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 spans="2:37" s="102" customFormat="1" ht="15.75" customHeight="1" x14ac:dyDescent="0.25">
      <c r="B304" s="31"/>
      <c r="C304" s="31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 spans="2:37" s="102" customFormat="1" ht="15.75" customHeight="1" x14ac:dyDescent="0.25">
      <c r="B305" s="31"/>
      <c r="C305" s="31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 spans="2:37" s="102" customFormat="1" ht="15.75" customHeight="1" x14ac:dyDescent="0.25">
      <c r="B306" s="31"/>
      <c r="C306" s="31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 spans="2:37" s="102" customFormat="1" ht="15.75" customHeight="1" x14ac:dyDescent="0.25">
      <c r="B307" s="31"/>
      <c r="C307" s="31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 spans="2:37" s="102" customFormat="1" ht="15.75" customHeight="1" x14ac:dyDescent="0.25">
      <c r="B308" s="31"/>
      <c r="C308" s="31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 spans="2:37" s="102" customFormat="1" ht="15.75" customHeight="1" x14ac:dyDescent="0.25">
      <c r="B309" s="31"/>
      <c r="C309" s="31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 spans="2:37" s="102" customFormat="1" ht="15.75" customHeight="1" x14ac:dyDescent="0.25">
      <c r="B310" s="31"/>
      <c r="C310" s="31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 spans="2:37" s="102" customFormat="1" ht="15.75" customHeight="1" x14ac:dyDescent="0.25">
      <c r="B311" s="31"/>
      <c r="C311" s="3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 spans="2:37" s="102" customFormat="1" ht="15.75" customHeight="1" x14ac:dyDescent="0.25">
      <c r="B312" s="31"/>
      <c r="C312" s="31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 spans="2:37" s="102" customFormat="1" ht="15.75" customHeight="1" x14ac:dyDescent="0.25">
      <c r="B313" s="31"/>
      <c r="C313" s="31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 spans="2:37" s="102" customFormat="1" ht="15.75" customHeight="1" x14ac:dyDescent="0.25">
      <c r="B314" s="31"/>
      <c r="C314" s="31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 spans="2:37" s="102" customFormat="1" ht="15.75" customHeight="1" x14ac:dyDescent="0.25">
      <c r="B315" s="31"/>
      <c r="C315" s="31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 spans="2:37" s="102" customFormat="1" ht="15.75" customHeight="1" x14ac:dyDescent="0.25">
      <c r="B316" s="31"/>
      <c r="C316" s="31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 spans="2:37" s="102" customFormat="1" ht="15.75" customHeight="1" x14ac:dyDescent="0.25">
      <c r="B317" s="31"/>
      <c r="C317" s="31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 spans="2:37" s="102" customFormat="1" ht="15.75" customHeight="1" x14ac:dyDescent="0.25">
      <c r="B318" s="31"/>
      <c r="C318" s="31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 spans="2:37" s="102" customFormat="1" ht="15.75" customHeight="1" x14ac:dyDescent="0.25">
      <c r="B319" s="31"/>
      <c r="C319" s="31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 spans="2:37" s="102" customFormat="1" ht="15.75" customHeight="1" x14ac:dyDescent="0.25">
      <c r="B320" s="31"/>
      <c r="C320" s="31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 spans="2:37" s="102" customFormat="1" ht="15.75" customHeight="1" x14ac:dyDescent="0.25">
      <c r="B321" s="31"/>
      <c r="C321" s="3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 spans="2:37" s="102" customFormat="1" ht="15.75" customHeight="1" x14ac:dyDescent="0.25">
      <c r="B322" s="31"/>
      <c r="C322" s="31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 spans="2:37" s="102" customFormat="1" ht="15.75" customHeight="1" x14ac:dyDescent="0.25">
      <c r="B323" s="31"/>
      <c r="C323" s="31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 spans="2:37" s="102" customFormat="1" ht="15.75" customHeight="1" x14ac:dyDescent="0.25">
      <c r="B324" s="31"/>
      <c r="C324" s="31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 spans="2:37" s="102" customFormat="1" ht="15.75" customHeight="1" x14ac:dyDescent="0.25">
      <c r="B325" s="31"/>
      <c r="C325" s="31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 spans="2:37" s="102" customFormat="1" ht="15.75" customHeight="1" x14ac:dyDescent="0.25">
      <c r="B326" s="31"/>
      <c r="C326" s="31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 spans="2:37" s="102" customFormat="1" ht="15.75" customHeight="1" x14ac:dyDescent="0.25">
      <c r="B327" s="31"/>
      <c r="C327" s="31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 spans="2:37" s="102" customFormat="1" ht="15.75" customHeight="1" x14ac:dyDescent="0.25">
      <c r="B328" s="31"/>
      <c r="C328" s="31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 spans="2:37" s="102" customFormat="1" ht="15.75" customHeight="1" x14ac:dyDescent="0.25">
      <c r="B329" s="31"/>
      <c r="C329" s="31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 spans="2:37" s="102" customFormat="1" ht="15.75" customHeight="1" x14ac:dyDescent="0.25">
      <c r="B330" s="31"/>
      <c r="C330" s="31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 spans="2:37" s="102" customFormat="1" ht="15.75" customHeight="1" x14ac:dyDescent="0.25">
      <c r="B331" s="31"/>
      <c r="C331" s="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 spans="2:37" s="102" customFormat="1" ht="15.75" customHeight="1" x14ac:dyDescent="0.25">
      <c r="B332" s="31"/>
      <c r="C332" s="31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 spans="2:37" s="102" customFormat="1" ht="15.75" customHeight="1" x14ac:dyDescent="0.25">
      <c r="B333" s="31"/>
      <c r="C333" s="31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 spans="2:37" s="102" customFormat="1" ht="15.75" customHeight="1" x14ac:dyDescent="0.25">
      <c r="B334" s="31"/>
      <c r="C334" s="31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 spans="2:37" s="102" customFormat="1" ht="15.75" customHeight="1" x14ac:dyDescent="0.25">
      <c r="B335" s="31"/>
      <c r="C335" s="31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 spans="2:37" s="102" customFormat="1" ht="15.75" customHeight="1" x14ac:dyDescent="0.25">
      <c r="B336" s="31"/>
      <c r="C336" s="31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 spans="2:37" s="102" customFormat="1" ht="15.75" customHeight="1" x14ac:dyDescent="0.25">
      <c r="B337" s="31"/>
      <c r="C337" s="31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 spans="2:37" s="102" customFormat="1" ht="15.75" customHeight="1" x14ac:dyDescent="0.25">
      <c r="B338" s="31"/>
      <c r="C338" s="31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 spans="2:37" s="102" customFormat="1" ht="15.75" customHeight="1" x14ac:dyDescent="0.25">
      <c r="B339" s="31"/>
      <c r="C339" s="31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 spans="2:37" s="102" customFormat="1" ht="15.75" customHeight="1" x14ac:dyDescent="0.25">
      <c r="B340" s="31"/>
      <c r="C340" s="31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 spans="2:37" s="102" customFormat="1" ht="15.75" customHeight="1" x14ac:dyDescent="0.25">
      <c r="B341" s="31"/>
      <c r="C341" s="3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 spans="2:37" s="102" customFormat="1" ht="15.75" customHeight="1" x14ac:dyDescent="0.25">
      <c r="B342" s="31"/>
      <c r="C342" s="31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 spans="2:37" s="102" customFormat="1" ht="15.75" customHeight="1" x14ac:dyDescent="0.25">
      <c r="B343" s="31"/>
      <c r="C343" s="31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 spans="2:37" s="102" customFormat="1" ht="15.75" customHeight="1" x14ac:dyDescent="0.25">
      <c r="B344" s="31"/>
      <c r="C344" s="31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 spans="2:37" s="102" customFormat="1" ht="15.75" customHeight="1" x14ac:dyDescent="0.25">
      <c r="B345" s="31"/>
      <c r="C345" s="31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 spans="2:37" s="102" customFormat="1" ht="15.75" customHeight="1" x14ac:dyDescent="0.25">
      <c r="B346" s="31"/>
      <c r="C346" s="31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 spans="2:37" s="102" customFormat="1" ht="15.75" customHeight="1" x14ac:dyDescent="0.25">
      <c r="B347" s="31"/>
      <c r="C347" s="31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 spans="2:37" s="102" customFormat="1" ht="15.75" customHeight="1" x14ac:dyDescent="0.25">
      <c r="B348" s="31"/>
      <c r="C348" s="31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 spans="2:37" s="102" customFormat="1" ht="15.75" customHeight="1" x14ac:dyDescent="0.25">
      <c r="B349" s="31"/>
      <c r="C349" s="31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 spans="2:37" s="102" customFormat="1" ht="15.75" customHeight="1" x14ac:dyDescent="0.25">
      <c r="B350" s="31"/>
      <c r="C350" s="31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 spans="2:37" s="102" customFormat="1" ht="15.75" customHeight="1" x14ac:dyDescent="0.25">
      <c r="B351" s="31"/>
      <c r="C351" s="3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 spans="2:37" s="102" customFormat="1" ht="15.75" customHeight="1" x14ac:dyDescent="0.25">
      <c r="B352" s="31"/>
      <c r="C352" s="31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 spans="2:37" s="102" customFormat="1" ht="15.75" customHeight="1" x14ac:dyDescent="0.25">
      <c r="B353" s="31"/>
      <c r="C353" s="31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 spans="2:37" s="102" customFormat="1" ht="15.75" customHeight="1" x14ac:dyDescent="0.25">
      <c r="B354" s="31"/>
      <c r="C354" s="31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 spans="2:37" s="102" customFormat="1" ht="15.75" customHeight="1" x14ac:dyDescent="0.25">
      <c r="B355" s="31"/>
      <c r="C355" s="31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 spans="2:37" s="102" customFormat="1" ht="15.75" customHeight="1" x14ac:dyDescent="0.25">
      <c r="B356" s="31"/>
      <c r="C356" s="31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 spans="2:37" s="102" customFormat="1" ht="15.75" customHeight="1" x14ac:dyDescent="0.25">
      <c r="B357" s="31"/>
      <c r="C357" s="31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 spans="2:37" s="102" customFormat="1" ht="15.75" customHeight="1" x14ac:dyDescent="0.25">
      <c r="B358" s="31"/>
      <c r="C358" s="31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 spans="2:37" s="102" customFormat="1" ht="15.75" customHeight="1" x14ac:dyDescent="0.25">
      <c r="B359" s="31"/>
      <c r="C359" s="31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 spans="2:37" s="102" customFormat="1" ht="15.75" customHeight="1" x14ac:dyDescent="0.25">
      <c r="B360" s="31"/>
      <c r="C360" s="31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 spans="2:37" s="102" customFormat="1" ht="15.75" customHeight="1" x14ac:dyDescent="0.25">
      <c r="B361" s="31"/>
      <c r="C361" s="3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 spans="2:37" s="102" customFormat="1" ht="15.75" customHeight="1" x14ac:dyDescent="0.25">
      <c r="B362" s="31"/>
      <c r="C362" s="31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 spans="2:37" s="102" customFormat="1" ht="15.75" customHeight="1" x14ac:dyDescent="0.25">
      <c r="B363" s="31"/>
      <c r="C363" s="31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 spans="2:37" s="102" customFormat="1" ht="15.75" customHeight="1" x14ac:dyDescent="0.25">
      <c r="B364" s="31"/>
      <c r="C364" s="31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 spans="2:37" s="102" customFormat="1" ht="15.75" customHeight="1" x14ac:dyDescent="0.25">
      <c r="B365" s="31"/>
      <c r="C365" s="31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 spans="2:37" s="102" customFormat="1" ht="15.75" customHeight="1" x14ac:dyDescent="0.25">
      <c r="B366" s="31"/>
      <c r="C366" s="31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 spans="2:37" s="102" customFormat="1" ht="15.75" customHeight="1" x14ac:dyDescent="0.25">
      <c r="B367" s="31"/>
      <c r="C367" s="31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 spans="2:37" s="102" customFormat="1" ht="15.75" customHeight="1" x14ac:dyDescent="0.25">
      <c r="B368" s="31"/>
      <c r="C368" s="31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 spans="2:37" s="102" customFormat="1" ht="15.75" customHeight="1" x14ac:dyDescent="0.25">
      <c r="B369" s="31"/>
      <c r="C369" s="31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 spans="2:37" s="102" customFormat="1" ht="15.75" customHeight="1" x14ac:dyDescent="0.25">
      <c r="B370" s="31"/>
      <c r="C370" s="31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 spans="2:37" s="102" customFormat="1" ht="15.75" customHeight="1" x14ac:dyDescent="0.25">
      <c r="B371" s="31"/>
      <c r="C371" s="3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 spans="2:37" s="102" customFormat="1" ht="15.75" customHeight="1" x14ac:dyDescent="0.25">
      <c r="B372" s="31"/>
      <c r="C372" s="31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 spans="2:37" s="102" customFormat="1" ht="15.75" customHeight="1" x14ac:dyDescent="0.25">
      <c r="B373" s="31"/>
      <c r="C373" s="31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 spans="2:37" s="102" customFormat="1" ht="15.75" customHeight="1" x14ac:dyDescent="0.25">
      <c r="B374" s="31"/>
      <c r="C374" s="31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 spans="2:37" s="102" customFormat="1" ht="15.75" customHeight="1" x14ac:dyDescent="0.25">
      <c r="B375" s="31"/>
      <c r="C375" s="31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 spans="2:37" s="102" customFormat="1" ht="15.75" customHeight="1" x14ac:dyDescent="0.25">
      <c r="B376" s="31"/>
      <c r="C376" s="31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 spans="2:37" s="102" customFormat="1" ht="15.75" customHeight="1" x14ac:dyDescent="0.25">
      <c r="B377" s="31"/>
      <c r="C377" s="31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 spans="2:37" s="102" customFormat="1" ht="15.75" customHeight="1" x14ac:dyDescent="0.25">
      <c r="B378" s="31"/>
      <c r="C378" s="31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 spans="2:37" s="102" customFormat="1" ht="15.75" customHeight="1" x14ac:dyDescent="0.25">
      <c r="B379" s="31"/>
      <c r="C379" s="31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 spans="2:37" s="102" customFormat="1" ht="15.75" customHeight="1" x14ac:dyDescent="0.25">
      <c r="B380" s="31"/>
      <c r="C380" s="31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 spans="2:37" s="102" customFormat="1" ht="15.75" customHeight="1" x14ac:dyDescent="0.25">
      <c r="B381" s="31"/>
      <c r="C381" s="3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 spans="2:37" s="102" customFormat="1" ht="15.75" customHeight="1" x14ac:dyDescent="0.25">
      <c r="B382" s="31"/>
      <c r="C382" s="31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 spans="2:37" s="102" customFormat="1" ht="15.75" customHeight="1" x14ac:dyDescent="0.25">
      <c r="B383" s="31"/>
      <c r="C383" s="31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 spans="2:37" s="102" customFormat="1" ht="15.75" customHeight="1" x14ac:dyDescent="0.25">
      <c r="B384" s="31"/>
      <c r="C384" s="31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 spans="2:37" s="102" customFormat="1" ht="15.75" customHeight="1" x14ac:dyDescent="0.25">
      <c r="B385" s="31"/>
      <c r="C385" s="31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 spans="2:37" s="102" customFormat="1" ht="15.75" customHeight="1" x14ac:dyDescent="0.25">
      <c r="B386" s="31"/>
      <c r="C386" s="31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 spans="2:37" s="102" customFormat="1" ht="15.75" customHeight="1" x14ac:dyDescent="0.25">
      <c r="B387" s="31"/>
      <c r="C387" s="31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 spans="2:37" s="102" customFormat="1" ht="15.75" customHeight="1" x14ac:dyDescent="0.25">
      <c r="B388" s="31"/>
      <c r="C388" s="31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 spans="2:37" s="102" customFormat="1" ht="15.75" customHeight="1" x14ac:dyDescent="0.25">
      <c r="B389" s="31"/>
      <c r="C389" s="31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 spans="2:37" s="102" customFormat="1" ht="15.75" customHeight="1" x14ac:dyDescent="0.25">
      <c r="B390" s="31"/>
      <c r="C390" s="31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 spans="2:37" s="102" customFormat="1" ht="15.75" customHeight="1" x14ac:dyDescent="0.25">
      <c r="B391" s="31"/>
      <c r="C391" s="3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 spans="2:37" s="102" customFormat="1" ht="15.75" customHeight="1" x14ac:dyDescent="0.25">
      <c r="B392" s="31"/>
      <c r="C392" s="31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 spans="2:37" s="102" customFormat="1" ht="15.75" customHeight="1" x14ac:dyDescent="0.25">
      <c r="B393" s="31"/>
      <c r="C393" s="31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 spans="2:37" s="102" customFormat="1" ht="15.75" customHeight="1" x14ac:dyDescent="0.25">
      <c r="B394" s="31"/>
      <c r="C394" s="31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 spans="2:37" s="102" customFormat="1" ht="15.75" customHeight="1" x14ac:dyDescent="0.25">
      <c r="B395" s="31"/>
      <c r="C395" s="31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 spans="2:37" s="102" customFormat="1" ht="15.75" customHeight="1" x14ac:dyDescent="0.25">
      <c r="B396" s="31"/>
      <c r="C396" s="31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 spans="2:37" s="102" customFormat="1" ht="15.75" customHeight="1" x14ac:dyDescent="0.25">
      <c r="B397" s="31"/>
      <c r="C397" s="31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 spans="2:37" s="102" customFormat="1" ht="15.75" customHeight="1" x14ac:dyDescent="0.25">
      <c r="B398" s="31"/>
      <c r="C398" s="31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 spans="2:37" s="102" customFormat="1" ht="15.75" customHeight="1" x14ac:dyDescent="0.25">
      <c r="B399" s="31"/>
      <c r="C399" s="31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 spans="2:37" s="102" customFormat="1" ht="15.75" customHeight="1" x14ac:dyDescent="0.25">
      <c r="B400" s="31"/>
      <c r="C400" s="31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 spans="2:37" s="102" customFormat="1" ht="15.75" customHeight="1" x14ac:dyDescent="0.25">
      <c r="B401" s="31"/>
      <c r="C401" s="3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 spans="2:37" s="102" customFormat="1" ht="15.75" customHeight="1" x14ac:dyDescent="0.25">
      <c r="B402" s="31"/>
      <c r="C402" s="31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 spans="2:37" s="102" customFormat="1" ht="15.75" customHeight="1" x14ac:dyDescent="0.25">
      <c r="B403" s="31"/>
      <c r="C403" s="31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 spans="2:37" s="102" customFormat="1" ht="15.75" customHeight="1" x14ac:dyDescent="0.25">
      <c r="B404" s="31"/>
      <c r="C404" s="31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 spans="2:37" s="102" customFormat="1" ht="15.75" customHeight="1" x14ac:dyDescent="0.25">
      <c r="B405" s="31"/>
      <c r="C405" s="31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 spans="2:37" s="102" customFormat="1" ht="15.75" customHeight="1" x14ac:dyDescent="0.25">
      <c r="B406" s="31"/>
      <c r="C406" s="31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</row>
    <row r="407" spans="2:37" s="102" customFormat="1" ht="15.75" customHeight="1" x14ac:dyDescent="0.25">
      <c r="B407" s="31"/>
      <c r="C407" s="31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 spans="2:37" s="102" customFormat="1" ht="15.75" customHeight="1" x14ac:dyDescent="0.25">
      <c r="B408" s="31"/>
      <c r="C408" s="31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 spans="2:37" s="102" customFormat="1" ht="15.75" customHeight="1" x14ac:dyDescent="0.25">
      <c r="B409" s="31"/>
      <c r="C409" s="31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 spans="2:37" s="102" customFormat="1" ht="15.75" customHeight="1" x14ac:dyDescent="0.25">
      <c r="B410" s="31"/>
      <c r="C410" s="31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 spans="2:37" s="102" customFormat="1" ht="15.75" customHeight="1" x14ac:dyDescent="0.25">
      <c r="B411" s="31"/>
      <c r="C411" s="3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 spans="2:37" s="102" customFormat="1" ht="15.75" customHeight="1" x14ac:dyDescent="0.25">
      <c r="B412" s="31"/>
      <c r="C412" s="31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 spans="2:37" s="102" customFormat="1" ht="15.75" customHeight="1" x14ac:dyDescent="0.25">
      <c r="B413" s="31"/>
      <c r="C413" s="31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 spans="2:37" s="102" customFormat="1" ht="15.75" customHeight="1" x14ac:dyDescent="0.25">
      <c r="B414" s="31"/>
      <c r="C414" s="31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 spans="2:37" s="102" customFormat="1" ht="15.75" customHeight="1" x14ac:dyDescent="0.25">
      <c r="B415" s="31"/>
      <c r="C415" s="31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 spans="2:37" s="102" customFormat="1" ht="15.75" customHeight="1" x14ac:dyDescent="0.25">
      <c r="B416" s="31"/>
      <c r="C416" s="31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 spans="2:37" s="102" customFormat="1" ht="15.75" customHeight="1" x14ac:dyDescent="0.25">
      <c r="B417" s="31"/>
      <c r="C417" s="31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 spans="2:37" s="102" customFormat="1" ht="15.75" customHeight="1" x14ac:dyDescent="0.25">
      <c r="B418" s="31"/>
      <c r="C418" s="31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 spans="2:37" s="102" customFormat="1" ht="15.75" customHeight="1" x14ac:dyDescent="0.25">
      <c r="B419" s="31"/>
      <c r="C419" s="31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 spans="2:37" s="102" customFormat="1" ht="15.75" customHeight="1" x14ac:dyDescent="0.25">
      <c r="B420" s="31"/>
      <c r="C420" s="31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 spans="2:37" s="102" customFormat="1" ht="15.75" customHeight="1" x14ac:dyDescent="0.25">
      <c r="B421" s="31"/>
      <c r="C421" s="3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 spans="2:37" s="102" customFormat="1" ht="15.75" customHeight="1" x14ac:dyDescent="0.25">
      <c r="B422" s="31"/>
      <c r="C422" s="31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 spans="2:37" s="102" customFormat="1" ht="15.75" customHeight="1" x14ac:dyDescent="0.25">
      <c r="B423" s="31"/>
      <c r="C423" s="31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 spans="2:37" s="102" customFormat="1" ht="15.75" customHeight="1" x14ac:dyDescent="0.25">
      <c r="B424" s="31"/>
      <c r="C424" s="31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 spans="2:37" s="102" customFormat="1" ht="15.75" customHeight="1" x14ac:dyDescent="0.25">
      <c r="B425" s="31"/>
      <c r="C425" s="31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 spans="2:37" s="102" customFormat="1" ht="15.75" customHeight="1" x14ac:dyDescent="0.25">
      <c r="B426" s="31"/>
      <c r="C426" s="31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 spans="2:37" s="102" customFormat="1" ht="15.75" customHeight="1" x14ac:dyDescent="0.25">
      <c r="B427" s="31"/>
      <c r="C427" s="31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 spans="2:37" s="102" customFormat="1" ht="15.75" customHeight="1" x14ac:dyDescent="0.25">
      <c r="B428" s="31"/>
      <c r="C428" s="31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 spans="2:37" s="102" customFormat="1" ht="15.75" customHeight="1" x14ac:dyDescent="0.25">
      <c r="B429" s="31"/>
      <c r="C429" s="31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 spans="2:37" s="102" customFormat="1" ht="15.75" customHeight="1" x14ac:dyDescent="0.25">
      <c r="B430" s="31"/>
      <c r="C430" s="31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 spans="2:37" s="102" customFormat="1" ht="15.75" customHeight="1" x14ac:dyDescent="0.25">
      <c r="B431" s="31"/>
      <c r="C431" s="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 spans="2:37" s="102" customFormat="1" ht="15.75" customHeight="1" x14ac:dyDescent="0.25">
      <c r="B432" s="31"/>
      <c r="C432" s="31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 spans="2:37" s="102" customFormat="1" ht="15.75" customHeight="1" x14ac:dyDescent="0.25">
      <c r="B433" s="31"/>
      <c r="C433" s="31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 spans="2:37" s="102" customFormat="1" ht="15.75" customHeight="1" x14ac:dyDescent="0.25">
      <c r="B434" s="31"/>
      <c r="C434" s="31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 spans="2:37" s="102" customFormat="1" ht="15.75" customHeight="1" x14ac:dyDescent="0.25">
      <c r="B435" s="31"/>
      <c r="C435" s="31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 spans="2:37" s="102" customFormat="1" ht="15.75" customHeight="1" x14ac:dyDescent="0.25">
      <c r="B436" s="31"/>
      <c r="C436" s="31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 spans="2:37" s="102" customFormat="1" ht="15.75" customHeight="1" x14ac:dyDescent="0.25">
      <c r="B437" s="31"/>
      <c r="C437" s="31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 spans="2:37" s="102" customFormat="1" ht="15.75" customHeight="1" x14ac:dyDescent="0.25">
      <c r="B438" s="31"/>
      <c r="C438" s="31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 spans="2:37" s="102" customFormat="1" ht="15.75" customHeight="1" x14ac:dyDescent="0.25">
      <c r="B439" s="31"/>
      <c r="C439" s="31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 spans="2:37" s="102" customFormat="1" ht="15.75" customHeight="1" x14ac:dyDescent="0.25">
      <c r="B440" s="31"/>
      <c r="C440" s="31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 spans="2:37" s="102" customFormat="1" ht="15.75" customHeight="1" x14ac:dyDescent="0.25">
      <c r="B441" s="31"/>
      <c r="C441" s="3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 spans="2:37" s="102" customFormat="1" ht="15.75" customHeight="1" x14ac:dyDescent="0.25">
      <c r="B442" s="31"/>
      <c r="C442" s="31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 spans="2:37" s="102" customFormat="1" ht="15.75" customHeight="1" x14ac:dyDescent="0.25">
      <c r="B443" s="31"/>
      <c r="C443" s="31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 spans="2:37" s="102" customFormat="1" ht="15.75" customHeight="1" x14ac:dyDescent="0.25">
      <c r="B444" s="31"/>
      <c r="C444" s="31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 spans="2:37" s="102" customFormat="1" ht="15.75" customHeight="1" x14ac:dyDescent="0.25">
      <c r="B445" s="31"/>
      <c r="C445" s="31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 spans="2:37" s="102" customFormat="1" ht="15.75" customHeight="1" x14ac:dyDescent="0.25">
      <c r="B446" s="31"/>
      <c r="C446" s="31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 spans="2:37" s="102" customFormat="1" ht="15.75" customHeight="1" x14ac:dyDescent="0.25">
      <c r="B447" s="31"/>
      <c r="C447" s="31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 spans="2:37" s="102" customFormat="1" ht="15.75" customHeight="1" x14ac:dyDescent="0.25">
      <c r="B448" s="31"/>
      <c r="C448" s="31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 spans="2:37" s="102" customFormat="1" ht="15.75" customHeight="1" x14ac:dyDescent="0.25">
      <c r="B449" s="31"/>
      <c r="C449" s="31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 spans="2:37" s="102" customFormat="1" ht="15.75" customHeight="1" x14ac:dyDescent="0.25">
      <c r="B450" s="31"/>
      <c r="C450" s="31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 spans="2:37" s="102" customFormat="1" ht="15.75" customHeight="1" x14ac:dyDescent="0.25">
      <c r="B451" s="31"/>
      <c r="C451" s="3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 spans="2:37" s="102" customFormat="1" ht="15.75" customHeight="1" x14ac:dyDescent="0.25">
      <c r="B452" s="31"/>
      <c r="C452" s="31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 spans="2:37" s="102" customFormat="1" ht="15.75" customHeight="1" x14ac:dyDescent="0.25">
      <c r="B453" s="31"/>
      <c r="C453" s="31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 spans="2:37" s="102" customFormat="1" ht="15.75" customHeight="1" x14ac:dyDescent="0.25">
      <c r="B454" s="31"/>
      <c r="C454" s="31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 spans="2:37" s="102" customFormat="1" ht="15.75" customHeight="1" x14ac:dyDescent="0.25">
      <c r="B455" s="31"/>
      <c r="C455" s="31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 spans="2:37" s="102" customFormat="1" ht="15.75" customHeight="1" x14ac:dyDescent="0.25">
      <c r="B456" s="31"/>
      <c r="C456" s="31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 spans="2:37" s="102" customFormat="1" ht="15.75" customHeight="1" x14ac:dyDescent="0.25">
      <c r="B457" s="31"/>
      <c r="C457" s="31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 spans="2:37" s="102" customFormat="1" ht="15.75" customHeight="1" x14ac:dyDescent="0.25">
      <c r="B458" s="31"/>
      <c r="C458" s="31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 spans="2:37" s="102" customFormat="1" ht="15.75" customHeight="1" x14ac:dyDescent="0.25">
      <c r="B459" s="31"/>
      <c r="C459" s="31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 spans="2:37" s="102" customFormat="1" ht="15.75" customHeight="1" x14ac:dyDescent="0.25">
      <c r="B460" s="31"/>
      <c r="C460" s="31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 spans="2:37" s="102" customFormat="1" ht="15.75" customHeight="1" x14ac:dyDescent="0.25">
      <c r="B461" s="31"/>
      <c r="C461" s="3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 spans="2:37" s="102" customFormat="1" ht="15.75" customHeight="1" x14ac:dyDescent="0.25">
      <c r="B462" s="31"/>
      <c r="C462" s="31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 spans="2:37" s="102" customFormat="1" ht="15.75" customHeight="1" x14ac:dyDescent="0.25">
      <c r="B463" s="31"/>
      <c r="C463" s="31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 spans="2:37" s="102" customFormat="1" ht="15.75" customHeight="1" x14ac:dyDescent="0.25">
      <c r="B464" s="31"/>
      <c r="C464" s="31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 spans="2:37" s="102" customFormat="1" ht="15.75" customHeight="1" x14ac:dyDescent="0.25">
      <c r="B465" s="31"/>
      <c r="C465" s="31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 spans="2:37" s="102" customFormat="1" ht="15.75" customHeight="1" x14ac:dyDescent="0.25">
      <c r="B466" s="31"/>
      <c r="C466" s="31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 spans="2:37" s="102" customFormat="1" ht="15.75" customHeight="1" x14ac:dyDescent="0.25">
      <c r="B467" s="31"/>
      <c r="C467" s="31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 spans="2:37" s="102" customFormat="1" ht="15.75" customHeight="1" x14ac:dyDescent="0.25">
      <c r="B468" s="31"/>
      <c r="C468" s="31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 spans="2:37" s="102" customFormat="1" ht="15.75" customHeight="1" x14ac:dyDescent="0.25">
      <c r="B469" s="31"/>
      <c r="C469" s="31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 spans="2:37" s="102" customFormat="1" ht="15.75" customHeight="1" x14ac:dyDescent="0.25">
      <c r="B470" s="31"/>
      <c r="C470" s="31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 spans="2:37" s="102" customFormat="1" ht="15.75" customHeight="1" x14ac:dyDescent="0.25">
      <c r="B471" s="31"/>
      <c r="C471" s="3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 spans="2:37" s="102" customFormat="1" ht="15.75" customHeight="1" x14ac:dyDescent="0.25">
      <c r="B472" s="31"/>
      <c r="C472" s="31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 spans="2:37" s="102" customFormat="1" ht="15.75" customHeight="1" x14ac:dyDescent="0.25">
      <c r="B473" s="31"/>
      <c r="C473" s="31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 spans="2:37" s="102" customFormat="1" ht="15.75" customHeight="1" x14ac:dyDescent="0.25">
      <c r="B474" s="31"/>
      <c r="C474" s="31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 spans="2:37" s="102" customFormat="1" ht="15.75" customHeight="1" x14ac:dyDescent="0.25">
      <c r="B475" s="31"/>
      <c r="C475" s="31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 spans="2:37" s="102" customFormat="1" ht="15.75" customHeight="1" x14ac:dyDescent="0.25">
      <c r="B476" s="31"/>
      <c r="C476" s="31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 spans="2:37" s="102" customFormat="1" ht="15.75" customHeight="1" x14ac:dyDescent="0.25">
      <c r="B477" s="31"/>
      <c r="C477" s="31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 spans="2:37" s="102" customFormat="1" ht="15.75" customHeight="1" x14ac:dyDescent="0.25">
      <c r="B478" s="31"/>
      <c r="C478" s="31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 spans="2:37" s="102" customFormat="1" ht="15.75" customHeight="1" x14ac:dyDescent="0.25">
      <c r="B479" s="31"/>
      <c r="C479" s="31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 spans="2:37" s="102" customFormat="1" ht="15.75" customHeight="1" x14ac:dyDescent="0.25">
      <c r="B480" s="31"/>
      <c r="C480" s="31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 spans="2:37" s="102" customFormat="1" ht="15.75" customHeight="1" x14ac:dyDescent="0.25">
      <c r="B481" s="31"/>
      <c r="C481" s="3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 spans="2:37" s="102" customFormat="1" ht="15.75" customHeight="1" x14ac:dyDescent="0.25">
      <c r="B482" s="31"/>
      <c r="C482" s="31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 spans="2:37" s="102" customFormat="1" ht="15.75" customHeight="1" x14ac:dyDescent="0.25">
      <c r="B483" s="31"/>
      <c r="C483" s="31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 spans="2:37" s="102" customFormat="1" ht="15.75" customHeight="1" x14ac:dyDescent="0.25">
      <c r="B484" s="31"/>
      <c r="C484" s="31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 spans="2:37" s="102" customFormat="1" ht="15.75" customHeight="1" x14ac:dyDescent="0.25">
      <c r="B485" s="31"/>
      <c r="C485" s="31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 spans="2:37" s="102" customFormat="1" ht="15.75" customHeight="1" x14ac:dyDescent="0.25">
      <c r="B486" s="31"/>
      <c r="C486" s="31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 spans="2:37" s="102" customFormat="1" ht="15.75" customHeight="1" x14ac:dyDescent="0.25">
      <c r="B487" s="31"/>
      <c r="C487" s="31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 spans="2:37" s="102" customFormat="1" ht="15.75" customHeight="1" x14ac:dyDescent="0.25">
      <c r="B488" s="31"/>
      <c r="C488" s="31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 spans="2:37" s="102" customFormat="1" ht="15.75" customHeight="1" x14ac:dyDescent="0.25">
      <c r="B489" s="31"/>
      <c r="C489" s="31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 spans="2:37" s="102" customFormat="1" ht="15.75" customHeight="1" x14ac:dyDescent="0.25">
      <c r="B490" s="31"/>
      <c r="C490" s="31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 spans="2:37" s="102" customFormat="1" ht="15.75" customHeight="1" x14ac:dyDescent="0.25">
      <c r="B491" s="31"/>
      <c r="C491" s="3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 spans="2:37" s="102" customFormat="1" ht="15.75" customHeight="1" x14ac:dyDescent="0.25">
      <c r="B492" s="31"/>
      <c r="C492" s="31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 spans="2:37" s="102" customFormat="1" ht="15.75" customHeight="1" x14ac:dyDescent="0.25">
      <c r="B493" s="31"/>
      <c r="C493" s="31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 spans="2:37" s="102" customFormat="1" ht="15.75" customHeight="1" x14ac:dyDescent="0.25">
      <c r="B494" s="31"/>
      <c r="C494" s="31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 spans="2:37" s="102" customFormat="1" ht="15.75" customHeight="1" x14ac:dyDescent="0.25">
      <c r="B495" s="31"/>
      <c r="C495" s="31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 spans="2:37" s="102" customFormat="1" ht="15.75" customHeight="1" x14ac:dyDescent="0.25">
      <c r="B496" s="31"/>
      <c r="C496" s="31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 spans="2:37" s="102" customFormat="1" ht="15.75" customHeight="1" x14ac:dyDescent="0.25">
      <c r="B497" s="31"/>
      <c r="C497" s="31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 spans="2:37" s="102" customFormat="1" ht="15.75" customHeight="1" x14ac:dyDescent="0.25">
      <c r="B498" s="31"/>
      <c r="C498" s="31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 spans="2:37" s="102" customFormat="1" ht="15.75" customHeight="1" x14ac:dyDescent="0.25">
      <c r="B499" s="31"/>
      <c r="C499" s="31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 spans="2:37" s="102" customFormat="1" ht="15.75" customHeight="1" x14ac:dyDescent="0.25">
      <c r="B500" s="31"/>
      <c r="C500" s="31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 spans="2:37" s="102" customFormat="1" ht="15.75" customHeight="1" x14ac:dyDescent="0.25">
      <c r="B501" s="31"/>
      <c r="C501" s="3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 spans="2:37" s="102" customFormat="1" ht="15.75" customHeight="1" x14ac:dyDescent="0.25">
      <c r="B502" s="31"/>
      <c r="C502" s="31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 spans="2:37" s="102" customFormat="1" ht="15.75" customHeight="1" x14ac:dyDescent="0.25">
      <c r="B503" s="31"/>
      <c r="C503" s="31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 spans="2:37" s="102" customFormat="1" ht="15.75" customHeight="1" x14ac:dyDescent="0.25">
      <c r="B504" s="31"/>
      <c r="C504" s="31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 spans="2:37" s="102" customFormat="1" ht="15.75" customHeight="1" x14ac:dyDescent="0.25">
      <c r="B505" s="31"/>
      <c r="C505" s="31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 spans="2:37" s="102" customFormat="1" ht="15.75" customHeight="1" x14ac:dyDescent="0.25">
      <c r="B506" s="31"/>
      <c r="C506" s="31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 spans="2:37" s="102" customFormat="1" ht="15.75" customHeight="1" x14ac:dyDescent="0.25">
      <c r="B507" s="31"/>
      <c r="C507" s="31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 spans="2:37" s="102" customFormat="1" ht="15.75" customHeight="1" x14ac:dyDescent="0.25">
      <c r="B508" s="31"/>
      <c r="C508" s="31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 spans="2:37" s="102" customFormat="1" ht="15.75" customHeight="1" x14ac:dyDescent="0.25">
      <c r="B509" s="31"/>
      <c r="C509" s="31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 spans="2:37" s="102" customFormat="1" ht="15.75" customHeight="1" x14ac:dyDescent="0.25">
      <c r="B510" s="31"/>
      <c r="C510" s="31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 spans="2:37" s="102" customFormat="1" ht="15.75" customHeight="1" x14ac:dyDescent="0.25">
      <c r="B511" s="31"/>
      <c r="C511" s="3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 spans="2:37" s="102" customFormat="1" ht="15.75" customHeight="1" x14ac:dyDescent="0.25">
      <c r="B512" s="31"/>
      <c r="C512" s="31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 spans="2:37" s="102" customFormat="1" ht="15.75" customHeight="1" x14ac:dyDescent="0.25">
      <c r="B513" s="31"/>
      <c r="C513" s="31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 spans="2:37" s="102" customFormat="1" ht="15.75" customHeight="1" x14ac:dyDescent="0.25">
      <c r="B514" s="31"/>
      <c r="C514" s="31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 spans="2:37" s="102" customFormat="1" ht="15.75" customHeight="1" x14ac:dyDescent="0.25">
      <c r="B515" s="31"/>
      <c r="C515" s="31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 spans="2:37" s="102" customFormat="1" ht="15.75" customHeight="1" x14ac:dyDescent="0.25">
      <c r="B516" s="31"/>
      <c r="C516" s="31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 spans="2:37" s="102" customFormat="1" ht="15.75" customHeight="1" x14ac:dyDescent="0.25">
      <c r="B517" s="31"/>
      <c r="C517" s="31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 spans="2:37" s="102" customFormat="1" ht="15.75" customHeight="1" x14ac:dyDescent="0.25">
      <c r="B518" s="31"/>
      <c r="C518" s="31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 spans="2:37" s="102" customFormat="1" ht="15.75" customHeight="1" x14ac:dyDescent="0.25">
      <c r="B519" s="31"/>
      <c r="C519" s="31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 spans="2:37" s="102" customFormat="1" ht="15.75" customHeight="1" x14ac:dyDescent="0.25">
      <c r="B520" s="31"/>
      <c r="C520" s="31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 spans="2:37" s="102" customFormat="1" ht="15.75" customHeight="1" x14ac:dyDescent="0.25">
      <c r="B521" s="31"/>
      <c r="C521" s="3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 spans="2:37" s="102" customFormat="1" ht="15.75" customHeight="1" x14ac:dyDescent="0.25">
      <c r="B522" s="31"/>
      <c r="C522" s="31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 spans="2:37" s="102" customFormat="1" ht="15.75" customHeight="1" x14ac:dyDescent="0.25">
      <c r="B523" s="31"/>
      <c r="C523" s="31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 spans="2:37" s="102" customFormat="1" ht="15.75" customHeight="1" x14ac:dyDescent="0.25">
      <c r="B524" s="31"/>
      <c r="C524" s="31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 spans="2:37" s="102" customFormat="1" ht="15.75" customHeight="1" x14ac:dyDescent="0.25">
      <c r="B525" s="31"/>
      <c r="C525" s="31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 spans="2:37" s="102" customFormat="1" ht="15.75" customHeight="1" x14ac:dyDescent="0.25">
      <c r="B526" s="31"/>
      <c r="C526" s="31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 spans="2:37" s="102" customFormat="1" ht="15.75" customHeight="1" x14ac:dyDescent="0.25">
      <c r="B527" s="31"/>
      <c r="C527" s="31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 spans="2:37" s="102" customFormat="1" ht="15.75" customHeight="1" x14ac:dyDescent="0.25">
      <c r="B528" s="31"/>
      <c r="C528" s="31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 spans="2:37" s="102" customFormat="1" ht="15.75" customHeight="1" x14ac:dyDescent="0.25">
      <c r="B529" s="31"/>
      <c r="C529" s="31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 spans="2:37" s="102" customFormat="1" ht="15.75" customHeight="1" x14ac:dyDescent="0.25">
      <c r="B530" s="31"/>
      <c r="C530" s="31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 spans="2:37" s="102" customFormat="1" ht="15.75" customHeight="1" x14ac:dyDescent="0.25">
      <c r="B531" s="31"/>
      <c r="C531" s="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 spans="2:37" s="102" customFormat="1" ht="15.75" customHeight="1" x14ac:dyDescent="0.25">
      <c r="B532" s="31"/>
      <c r="C532" s="31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 spans="2:37" s="102" customFormat="1" ht="15.75" customHeight="1" x14ac:dyDescent="0.25">
      <c r="B533" s="31"/>
      <c r="C533" s="31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 spans="2:37" s="102" customFormat="1" ht="15.75" customHeight="1" x14ac:dyDescent="0.25">
      <c r="B534" s="31"/>
      <c r="C534" s="31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 spans="2:37" s="102" customFormat="1" ht="15.75" customHeight="1" x14ac:dyDescent="0.25">
      <c r="B535" s="31"/>
      <c r="C535" s="31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 spans="2:37" s="102" customFormat="1" ht="15.75" customHeight="1" x14ac:dyDescent="0.25">
      <c r="B536" s="31"/>
      <c r="C536" s="31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 spans="2:37" s="102" customFormat="1" ht="15.75" customHeight="1" x14ac:dyDescent="0.25">
      <c r="B537" s="31"/>
      <c r="C537" s="31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 spans="2:37" s="102" customFormat="1" ht="15.75" customHeight="1" x14ac:dyDescent="0.25">
      <c r="B538" s="31"/>
      <c r="C538" s="31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 spans="2:37" s="102" customFormat="1" ht="15.75" customHeight="1" x14ac:dyDescent="0.25">
      <c r="B539" s="31"/>
      <c r="C539" s="31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 spans="2:37" s="102" customFormat="1" ht="15.75" customHeight="1" x14ac:dyDescent="0.25">
      <c r="B540" s="31"/>
      <c r="C540" s="31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 spans="2:37" s="102" customFormat="1" ht="15.75" customHeight="1" x14ac:dyDescent="0.25">
      <c r="B541" s="31"/>
      <c r="C541" s="3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 spans="2:37" s="102" customFormat="1" ht="15.75" customHeight="1" x14ac:dyDescent="0.25">
      <c r="B542" s="31"/>
      <c r="C542" s="31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 spans="2:37" s="102" customFormat="1" ht="15.75" customHeight="1" x14ac:dyDescent="0.25">
      <c r="B543" s="31"/>
      <c r="C543" s="31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 spans="2:37" s="102" customFormat="1" ht="15.75" customHeight="1" x14ac:dyDescent="0.25">
      <c r="B544" s="31"/>
      <c r="C544" s="31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 spans="2:37" s="102" customFormat="1" ht="15.75" customHeight="1" x14ac:dyDescent="0.25">
      <c r="B545" s="31"/>
      <c r="C545" s="31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 spans="2:37" s="102" customFormat="1" ht="15.75" customHeight="1" x14ac:dyDescent="0.25">
      <c r="B546" s="31"/>
      <c r="C546" s="31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 spans="2:37" s="102" customFormat="1" ht="15.75" customHeight="1" x14ac:dyDescent="0.25">
      <c r="B547" s="31"/>
      <c r="C547" s="31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 spans="2:37" s="102" customFormat="1" ht="15.75" customHeight="1" x14ac:dyDescent="0.25">
      <c r="B548" s="31"/>
      <c r="C548" s="31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 spans="2:37" s="102" customFormat="1" ht="15.75" customHeight="1" x14ac:dyDescent="0.25">
      <c r="B549" s="31"/>
      <c r="C549" s="31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 spans="2:37" s="102" customFormat="1" ht="15.75" customHeight="1" x14ac:dyDescent="0.25">
      <c r="B550" s="31"/>
      <c r="C550" s="31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 spans="2:37" s="102" customFormat="1" ht="15.75" customHeight="1" x14ac:dyDescent="0.25">
      <c r="B551" s="31"/>
      <c r="C551" s="3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 spans="2:37" s="102" customFormat="1" ht="15.75" customHeight="1" x14ac:dyDescent="0.25">
      <c r="B552" s="31"/>
      <c r="C552" s="31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 spans="2:37" s="102" customFormat="1" ht="15.75" customHeight="1" x14ac:dyDescent="0.25">
      <c r="B553" s="31"/>
      <c r="C553" s="31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 spans="2:37" s="102" customFormat="1" ht="15.75" customHeight="1" x14ac:dyDescent="0.25">
      <c r="B554" s="31"/>
      <c r="C554" s="31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 spans="2:37" s="102" customFormat="1" ht="15.75" customHeight="1" x14ac:dyDescent="0.25">
      <c r="B555" s="31"/>
      <c r="C555" s="31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 spans="2:37" s="102" customFormat="1" ht="15.75" customHeight="1" x14ac:dyDescent="0.25">
      <c r="B556" s="31"/>
      <c r="C556" s="31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 spans="2:37" s="102" customFormat="1" ht="15.75" customHeight="1" x14ac:dyDescent="0.25">
      <c r="B557" s="31"/>
      <c r="C557" s="31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 spans="2:37" s="102" customFormat="1" ht="15.75" customHeight="1" x14ac:dyDescent="0.25">
      <c r="B558" s="31"/>
      <c r="C558" s="31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 spans="2:37" s="102" customFormat="1" ht="15.75" customHeight="1" x14ac:dyDescent="0.25">
      <c r="B559" s="31"/>
      <c r="C559" s="31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 spans="2:37" s="102" customFormat="1" ht="15.75" customHeight="1" x14ac:dyDescent="0.25">
      <c r="B560" s="31"/>
      <c r="C560" s="31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 spans="2:37" s="102" customFormat="1" ht="15.75" customHeight="1" x14ac:dyDescent="0.25">
      <c r="B561" s="31"/>
      <c r="C561" s="3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 spans="2:37" s="102" customFormat="1" ht="15.75" customHeight="1" x14ac:dyDescent="0.25">
      <c r="B562" s="31"/>
      <c r="C562" s="31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 spans="2:37" s="102" customFormat="1" ht="15.75" customHeight="1" x14ac:dyDescent="0.25">
      <c r="B563" s="31"/>
      <c r="C563" s="31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 spans="2:37" s="102" customFormat="1" ht="15.75" customHeight="1" x14ac:dyDescent="0.25">
      <c r="B564" s="31"/>
      <c r="C564" s="31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 spans="2:37" s="102" customFormat="1" ht="15.75" customHeight="1" x14ac:dyDescent="0.25">
      <c r="B565" s="31"/>
      <c r="C565" s="31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 spans="2:37" s="102" customFormat="1" ht="15.75" customHeight="1" x14ac:dyDescent="0.25">
      <c r="B566" s="31"/>
      <c r="C566" s="31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 spans="2:37" s="102" customFormat="1" ht="15.75" customHeight="1" x14ac:dyDescent="0.25">
      <c r="B567" s="31"/>
      <c r="C567" s="31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 spans="2:37" s="102" customFormat="1" ht="15.75" customHeight="1" x14ac:dyDescent="0.25">
      <c r="B568" s="31"/>
      <c r="C568" s="31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 spans="2:37" s="102" customFormat="1" ht="15.75" customHeight="1" x14ac:dyDescent="0.25">
      <c r="B569" s="31"/>
      <c r="C569" s="31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 spans="2:37" s="102" customFormat="1" ht="15.75" customHeight="1" x14ac:dyDescent="0.25">
      <c r="B570" s="31"/>
      <c r="C570" s="31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 spans="2:37" s="102" customFormat="1" ht="15.75" customHeight="1" x14ac:dyDescent="0.25">
      <c r="B571" s="31"/>
      <c r="C571" s="3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 spans="2:37" s="102" customFormat="1" ht="15.75" customHeight="1" x14ac:dyDescent="0.25">
      <c r="B572" s="31"/>
      <c r="C572" s="31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 spans="2:37" s="102" customFormat="1" ht="15.75" customHeight="1" x14ac:dyDescent="0.25">
      <c r="B573" s="31"/>
      <c r="C573" s="31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 spans="2:37" s="102" customFormat="1" ht="15.75" customHeight="1" x14ac:dyDescent="0.25">
      <c r="B574" s="31"/>
      <c r="C574" s="31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 spans="2:37" s="102" customFormat="1" ht="15.75" customHeight="1" x14ac:dyDescent="0.25">
      <c r="B575" s="31"/>
      <c r="C575" s="31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 spans="2:37" s="102" customFormat="1" ht="15.75" customHeight="1" x14ac:dyDescent="0.25">
      <c r="B576" s="31"/>
      <c r="C576" s="31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 spans="2:37" s="102" customFormat="1" ht="15.75" customHeight="1" x14ac:dyDescent="0.25">
      <c r="B577" s="31"/>
      <c r="C577" s="31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 spans="2:37" s="102" customFormat="1" ht="15.75" customHeight="1" x14ac:dyDescent="0.25">
      <c r="B578" s="31"/>
      <c r="C578" s="31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 spans="2:37" s="102" customFormat="1" ht="15.75" customHeight="1" x14ac:dyDescent="0.25">
      <c r="B579" s="31"/>
      <c r="C579" s="31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 spans="2:37" s="102" customFormat="1" ht="15.75" customHeight="1" x14ac:dyDescent="0.25">
      <c r="B580" s="31"/>
      <c r="C580" s="31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 spans="2:37" s="102" customFormat="1" ht="15.75" customHeight="1" x14ac:dyDescent="0.25">
      <c r="B581" s="31"/>
      <c r="C581" s="3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 spans="2:37" s="102" customFormat="1" ht="15.75" customHeight="1" x14ac:dyDescent="0.25">
      <c r="B582" s="31"/>
      <c r="C582" s="31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 spans="2:37" s="102" customFormat="1" ht="15.75" customHeight="1" x14ac:dyDescent="0.25">
      <c r="B583" s="31"/>
      <c r="C583" s="31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 spans="2:37" s="102" customFormat="1" ht="15.75" customHeight="1" x14ac:dyDescent="0.25">
      <c r="B584" s="31"/>
      <c r="C584" s="31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 spans="2:37" s="102" customFormat="1" ht="15.75" customHeight="1" x14ac:dyDescent="0.25">
      <c r="B585" s="31"/>
      <c r="C585" s="31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 spans="2:37" s="102" customFormat="1" ht="15.75" customHeight="1" x14ac:dyDescent="0.25">
      <c r="B586" s="31"/>
      <c r="C586" s="31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 spans="2:37" s="102" customFormat="1" ht="15.75" customHeight="1" x14ac:dyDescent="0.25">
      <c r="B587" s="31"/>
      <c r="C587" s="31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 spans="2:37" s="102" customFormat="1" ht="15.75" customHeight="1" x14ac:dyDescent="0.25">
      <c r="B588" s="31"/>
      <c r="C588" s="31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 spans="2:37" s="102" customFormat="1" ht="15.75" customHeight="1" x14ac:dyDescent="0.25">
      <c r="B589" s="31"/>
      <c r="C589" s="31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 spans="2:37" s="102" customFormat="1" ht="15.75" customHeight="1" x14ac:dyDescent="0.25">
      <c r="B590" s="31"/>
      <c r="C590" s="31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 spans="2:37" s="102" customFormat="1" ht="15.75" customHeight="1" x14ac:dyDescent="0.25">
      <c r="B591" s="31"/>
      <c r="C591" s="3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 spans="2:37" s="102" customFormat="1" ht="15.75" customHeight="1" x14ac:dyDescent="0.25">
      <c r="B592" s="31"/>
      <c r="C592" s="31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 spans="2:37" s="102" customFormat="1" ht="15.75" customHeight="1" x14ac:dyDescent="0.25">
      <c r="B593" s="31"/>
      <c r="C593" s="31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 spans="2:37" s="102" customFormat="1" ht="15.75" customHeight="1" x14ac:dyDescent="0.25">
      <c r="B594" s="31"/>
      <c r="C594" s="31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 spans="2:37" s="102" customFormat="1" ht="15.75" customHeight="1" x14ac:dyDescent="0.25">
      <c r="B595" s="31"/>
      <c r="C595" s="31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 spans="2:37" s="102" customFormat="1" ht="15.75" customHeight="1" x14ac:dyDescent="0.25">
      <c r="B596" s="31"/>
      <c r="C596" s="31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 spans="2:37" s="102" customFormat="1" ht="15.75" customHeight="1" x14ac:dyDescent="0.25">
      <c r="B597" s="31"/>
      <c r="C597" s="31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 spans="2:37" s="102" customFormat="1" ht="15.75" customHeight="1" x14ac:dyDescent="0.25">
      <c r="B598" s="31"/>
      <c r="C598" s="31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 spans="2:37" s="102" customFormat="1" ht="15.75" customHeight="1" x14ac:dyDescent="0.25">
      <c r="B599" s="31"/>
      <c r="C599" s="31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 spans="2:37" s="102" customFormat="1" ht="15.75" customHeight="1" x14ac:dyDescent="0.25">
      <c r="B600" s="31"/>
      <c r="C600" s="31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 spans="2:37" s="102" customFormat="1" ht="15.75" customHeight="1" x14ac:dyDescent="0.25">
      <c r="B601" s="31"/>
      <c r="C601" s="3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 spans="2:37" s="102" customFormat="1" ht="15.75" customHeight="1" x14ac:dyDescent="0.25">
      <c r="B602" s="31"/>
      <c r="C602" s="31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 spans="2:37" s="102" customFormat="1" ht="15.75" customHeight="1" x14ac:dyDescent="0.25">
      <c r="B603" s="31"/>
      <c r="C603" s="31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 spans="2:37" s="102" customFormat="1" ht="15.75" customHeight="1" x14ac:dyDescent="0.25">
      <c r="B604" s="31"/>
      <c r="C604" s="31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 spans="2:37" s="102" customFormat="1" ht="15.75" customHeight="1" x14ac:dyDescent="0.25">
      <c r="B605" s="31"/>
      <c r="C605" s="31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 spans="2:37" s="102" customFormat="1" ht="15.75" customHeight="1" x14ac:dyDescent="0.25">
      <c r="B606" s="31"/>
      <c r="C606" s="31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 spans="2:37" s="102" customFormat="1" ht="15.75" customHeight="1" x14ac:dyDescent="0.25">
      <c r="B607" s="31"/>
      <c r="C607" s="31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 spans="2:37" s="102" customFormat="1" ht="15.75" customHeight="1" x14ac:dyDescent="0.25">
      <c r="B608" s="31"/>
      <c r="C608" s="31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 spans="2:37" s="102" customFormat="1" ht="15.75" customHeight="1" x14ac:dyDescent="0.25">
      <c r="B609" s="31"/>
      <c r="C609" s="31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 spans="2:37" s="102" customFormat="1" ht="15.75" customHeight="1" x14ac:dyDescent="0.25">
      <c r="B610" s="31"/>
      <c r="C610" s="31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 spans="2:37" s="102" customFormat="1" ht="15.75" customHeight="1" x14ac:dyDescent="0.25">
      <c r="B611" s="31"/>
      <c r="C611" s="3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 spans="2:37" s="102" customFormat="1" ht="15.75" customHeight="1" x14ac:dyDescent="0.25">
      <c r="B612" s="31"/>
      <c r="C612" s="31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 spans="2:37" s="102" customFormat="1" ht="15.75" customHeight="1" x14ac:dyDescent="0.25">
      <c r="B613" s="31"/>
      <c r="C613" s="31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 spans="2:37" s="102" customFormat="1" ht="15.75" customHeight="1" x14ac:dyDescent="0.25">
      <c r="B614" s="31"/>
      <c r="C614" s="31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 spans="2:37" s="102" customFormat="1" ht="15.75" customHeight="1" x14ac:dyDescent="0.25">
      <c r="B615" s="31"/>
      <c r="C615" s="31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 spans="2:37" s="102" customFormat="1" ht="15.75" customHeight="1" x14ac:dyDescent="0.25">
      <c r="B616" s="31"/>
      <c r="C616" s="31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 spans="2:37" s="102" customFormat="1" ht="15.75" customHeight="1" x14ac:dyDescent="0.25">
      <c r="B617" s="31"/>
      <c r="C617" s="31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 spans="2:37" s="102" customFormat="1" ht="15.75" customHeight="1" x14ac:dyDescent="0.25">
      <c r="B618" s="31"/>
      <c r="C618" s="31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 spans="2:37" s="102" customFormat="1" ht="15.75" customHeight="1" x14ac:dyDescent="0.25">
      <c r="B619" s="31"/>
      <c r="C619" s="31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 spans="2:37" s="102" customFormat="1" ht="15.75" customHeight="1" x14ac:dyDescent="0.25">
      <c r="B620" s="31"/>
      <c r="C620" s="31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 spans="2:37" s="102" customFormat="1" ht="15.75" customHeight="1" x14ac:dyDescent="0.25">
      <c r="B621" s="31"/>
      <c r="C621" s="3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 spans="2:37" s="102" customFormat="1" ht="15.75" customHeight="1" x14ac:dyDescent="0.25">
      <c r="B622" s="31"/>
      <c r="C622" s="31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 spans="2:37" s="102" customFormat="1" ht="15.75" customHeight="1" x14ac:dyDescent="0.25">
      <c r="B623" s="31"/>
      <c r="C623" s="31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 spans="2:37" s="102" customFormat="1" ht="15.75" customHeight="1" x14ac:dyDescent="0.25">
      <c r="B624" s="31"/>
      <c r="C624" s="31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 spans="2:37" s="102" customFormat="1" ht="15.75" customHeight="1" x14ac:dyDescent="0.25">
      <c r="B625" s="31"/>
      <c r="C625" s="31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 spans="2:37" s="102" customFormat="1" ht="15.75" customHeight="1" x14ac:dyDescent="0.25">
      <c r="B626" s="31"/>
      <c r="C626" s="31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 spans="2:37" s="102" customFormat="1" ht="15.75" customHeight="1" x14ac:dyDescent="0.25">
      <c r="B627" s="31"/>
      <c r="C627" s="31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 spans="2:37" s="102" customFormat="1" ht="15.75" customHeight="1" x14ac:dyDescent="0.25">
      <c r="B628" s="31"/>
      <c r="C628" s="31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 spans="2:37" s="102" customFormat="1" ht="15.75" customHeight="1" x14ac:dyDescent="0.25">
      <c r="B629" s="31"/>
      <c r="C629" s="31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 spans="2:37" s="102" customFormat="1" ht="15.75" customHeight="1" x14ac:dyDescent="0.25">
      <c r="B630" s="31"/>
      <c r="C630" s="31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 spans="2:37" s="102" customFormat="1" ht="15.75" customHeight="1" x14ac:dyDescent="0.25">
      <c r="B631" s="31"/>
      <c r="C631" s="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 spans="2:37" s="102" customFormat="1" ht="15.75" customHeight="1" x14ac:dyDescent="0.25">
      <c r="B632" s="31"/>
      <c r="C632" s="31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 spans="2:37" s="102" customFormat="1" ht="15.75" customHeight="1" x14ac:dyDescent="0.25">
      <c r="B633" s="31"/>
      <c r="C633" s="31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 spans="2:37" s="102" customFormat="1" ht="15.75" customHeight="1" x14ac:dyDescent="0.25">
      <c r="B634" s="31"/>
      <c r="C634" s="31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 spans="2:37" s="102" customFormat="1" ht="15.75" customHeight="1" x14ac:dyDescent="0.25">
      <c r="B635" s="31"/>
      <c r="C635" s="31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 spans="2:37" s="102" customFormat="1" ht="15.75" customHeight="1" x14ac:dyDescent="0.25">
      <c r="B636" s="31"/>
      <c r="C636" s="31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 spans="2:37" s="102" customFormat="1" ht="15.75" customHeight="1" x14ac:dyDescent="0.25">
      <c r="B637" s="31"/>
      <c r="C637" s="31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 spans="2:37" s="102" customFormat="1" ht="15.75" customHeight="1" x14ac:dyDescent="0.25">
      <c r="B638" s="31"/>
      <c r="C638" s="31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 spans="2:37" s="102" customFormat="1" ht="15.75" customHeight="1" x14ac:dyDescent="0.25">
      <c r="B639" s="31"/>
      <c r="C639" s="31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 spans="2:37" s="102" customFormat="1" ht="15.75" customHeight="1" x14ac:dyDescent="0.25">
      <c r="B640" s="31"/>
      <c r="C640" s="31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 spans="2:37" s="102" customFormat="1" ht="15.75" customHeight="1" x14ac:dyDescent="0.25">
      <c r="B641" s="31"/>
      <c r="C641" s="3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 spans="2:37" s="102" customFormat="1" ht="15.75" customHeight="1" x14ac:dyDescent="0.25">
      <c r="B642" s="31"/>
      <c r="C642" s="31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 spans="2:37" s="102" customFormat="1" ht="15.75" customHeight="1" x14ac:dyDescent="0.25">
      <c r="B643" s="31"/>
      <c r="C643" s="31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 spans="2:37" s="102" customFormat="1" ht="15.75" customHeight="1" x14ac:dyDescent="0.25">
      <c r="B644" s="31"/>
      <c r="C644" s="31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 spans="2:37" s="102" customFormat="1" ht="15.75" customHeight="1" x14ac:dyDescent="0.25">
      <c r="B645" s="31"/>
      <c r="C645" s="31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 spans="2:37" s="102" customFormat="1" ht="15.75" customHeight="1" x14ac:dyDescent="0.25">
      <c r="B646" s="31"/>
      <c r="C646" s="31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 spans="2:37" s="102" customFormat="1" ht="15.75" customHeight="1" x14ac:dyDescent="0.25">
      <c r="B647" s="31"/>
      <c r="C647" s="31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 spans="2:37" s="102" customFormat="1" ht="15.75" customHeight="1" x14ac:dyDescent="0.25">
      <c r="B648" s="31"/>
      <c r="C648" s="31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 spans="2:37" s="102" customFormat="1" ht="15.75" customHeight="1" x14ac:dyDescent="0.25">
      <c r="B649" s="31"/>
      <c r="C649" s="31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 spans="2:37" s="102" customFormat="1" ht="15.75" customHeight="1" x14ac:dyDescent="0.25">
      <c r="B650" s="31"/>
      <c r="C650" s="31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 spans="2:37" s="102" customFormat="1" ht="15.75" customHeight="1" x14ac:dyDescent="0.25">
      <c r="B651" s="31"/>
      <c r="C651" s="3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 spans="2:37" s="102" customFormat="1" ht="15.75" customHeight="1" x14ac:dyDescent="0.25">
      <c r="B652" s="31"/>
      <c r="C652" s="31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 spans="2:37" s="102" customFormat="1" ht="15.75" customHeight="1" x14ac:dyDescent="0.25">
      <c r="B653" s="31"/>
      <c r="C653" s="31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 spans="2:37" s="102" customFormat="1" ht="15.75" customHeight="1" x14ac:dyDescent="0.25">
      <c r="B654" s="31"/>
      <c r="C654" s="31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 spans="2:37" s="102" customFormat="1" ht="15.75" customHeight="1" x14ac:dyDescent="0.25">
      <c r="B655" s="31"/>
      <c r="C655" s="31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 spans="2:37" s="102" customFormat="1" ht="15.75" customHeight="1" x14ac:dyDescent="0.25">
      <c r="B656" s="31"/>
      <c r="C656" s="31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 spans="2:37" s="102" customFormat="1" ht="15.75" customHeight="1" x14ac:dyDescent="0.25">
      <c r="B657" s="31"/>
      <c r="C657" s="31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 spans="2:37" s="102" customFormat="1" ht="15.75" customHeight="1" x14ac:dyDescent="0.25">
      <c r="B658" s="31"/>
      <c r="C658" s="31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 spans="2:37" s="102" customFormat="1" ht="15.75" customHeight="1" x14ac:dyDescent="0.25">
      <c r="B659" s="31"/>
      <c r="C659" s="31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 spans="2:37" s="102" customFormat="1" ht="15.75" customHeight="1" x14ac:dyDescent="0.25">
      <c r="B660" s="31"/>
      <c r="C660" s="31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 spans="2:37" s="102" customFormat="1" ht="15.75" customHeight="1" x14ac:dyDescent="0.25">
      <c r="B661" s="31"/>
      <c r="C661" s="3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 spans="2:37" s="102" customFormat="1" ht="15.75" customHeight="1" x14ac:dyDescent="0.25">
      <c r="B662" s="31"/>
      <c r="C662" s="31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 spans="2:37" s="102" customFormat="1" ht="15.75" customHeight="1" x14ac:dyDescent="0.25">
      <c r="B663" s="31"/>
      <c r="C663" s="31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 spans="2:37" s="102" customFormat="1" ht="15.75" customHeight="1" x14ac:dyDescent="0.25">
      <c r="B664" s="31"/>
      <c r="C664" s="31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 spans="2:37" s="102" customFormat="1" ht="15.75" customHeight="1" x14ac:dyDescent="0.25">
      <c r="B665" s="31"/>
      <c r="C665" s="31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 spans="2:37" s="102" customFormat="1" ht="15.75" customHeight="1" x14ac:dyDescent="0.25">
      <c r="B666" s="31"/>
      <c r="C666" s="31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 spans="2:37" s="102" customFormat="1" ht="15.75" customHeight="1" x14ac:dyDescent="0.25">
      <c r="B667" s="31"/>
      <c r="C667" s="31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 spans="2:37" s="102" customFormat="1" ht="15.75" customHeight="1" x14ac:dyDescent="0.25">
      <c r="B668" s="31"/>
      <c r="C668" s="31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 spans="2:37" s="102" customFormat="1" ht="15.75" customHeight="1" x14ac:dyDescent="0.25">
      <c r="B669" s="31"/>
      <c r="C669" s="31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 spans="2:37" s="102" customFormat="1" ht="15.75" customHeight="1" x14ac:dyDescent="0.25">
      <c r="B670" s="31"/>
      <c r="C670" s="31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 spans="2:37" s="102" customFormat="1" ht="15.75" customHeight="1" x14ac:dyDescent="0.25">
      <c r="B671" s="31"/>
      <c r="C671" s="3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 spans="2:37" s="102" customFormat="1" ht="15.75" customHeight="1" x14ac:dyDescent="0.25">
      <c r="B672" s="31"/>
      <c r="C672" s="31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 spans="2:37" s="102" customFormat="1" ht="15.75" customHeight="1" x14ac:dyDescent="0.25">
      <c r="B673" s="31"/>
      <c r="C673" s="31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 spans="2:37" s="102" customFormat="1" ht="15.75" customHeight="1" x14ac:dyDescent="0.25">
      <c r="B674" s="31"/>
      <c r="C674" s="31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 spans="2:37" s="102" customFormat="1" ht="15.75" customHeight="1" x14ac:dyDescent="0.25">
      <c r="B675" s="31"/>
      <c r="C675" s="31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 spans="2:37" s="102" customFormat="1" ht="15.75" customHeight="1" x14ac:dyDescent="0.25">
      <c r="B676" s="31"/>
      <c r="C676" s="31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 spans="2:37" s="102" customFormat="1" ht="15.75" customHeight="1" x14ac:dyDescent="0.25">
      <c r="B677" s="31"/>
      <c r="C677" s="31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 spans="2:37" s="102" customFormat="1" ht="15.75" customHeight="1" x14ac:dyDescent="0.25">
      <c r="B678" s="31"/>
      <c r="C678" s="31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 spans="2:37" s="102" customFormat="1" ht="15.75" customHeight="1" x14ac:dyDescent="0.25">
      <c r="B679" s="31"/>
      <c r="C679" s="31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 spans="2:37" s="102" customFormat="1" ht="15.75" customHeight="1" x14ac:dyDescent="0.25">
      <c r="B680" s="31"/>
      <c r="C680" s="31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 spans="2:37" s="102" customFormat="1" ht="15.75" customHeight="1" x14ac:dyDescent="0.25">
      <c r="B681" s="31"/>
      <c r="C681" s="3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 spans="2:37" s="102" customFormat="1" ht="15.75" customHeight="1" x14ac:dyDescent="0.25">
      <c r="B682" s="31"/>
      <c r="C682" s="31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 spans="2:37" s="102" customFormat="1" ht="15.75" customHeight="1" x14ac:dyDescent="0.25">
      <c r="B683" s="31"/>
      <c r="C683" s="31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 spans="2:37" s="102" customFormat="1" ht="15.75" customHeight="1" x14ac:dyDescent="0.25">
      <c r="B684" s="31"/>
      <c r="C684" s="31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 spans="2:37" s="102" customFormat="1" ht="15.75" customHeight="1" x14ac:dyDescent="0.25">
      <c r="B685" s="31"/>
      <c r="C685" s="31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 spans="2:37" s="102" customFormat="1" ht="15.75" customHeight="1" x14ac:dyDescent="0.25">
      <c r="B686" s="31"/>
      <c r="C686" s="31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 spans="2:37" s="102" customFormat="1" ht="15.75" customHeight="1" x14ac:dyDescent="0.25">
      <c r="B687" s="31"/>
      <c r="C687" s="31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 spans="2:37" s="102" customFormat="1" ht="15.75" customHeight="1" x14ac:dyDescent="0.25">
      <c r="B688" s="31"/>
      <c r="C688" s="31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 spans="2:37" s="102" customFormat="1" ht="15.75" customHeight="1" x14ac:dyDescent="0.25">
      <c r="B689" s="31"/>
      <c r="C689" s="31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 spans="2:37" s="102" customFormat="1" ht="15.75" customHeight="1" x14ac:dyDescent="0.25">
      <c r="B690" s="31"/>
      <c r="C690" s="31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 spans="2:37" s="102" customFormat="1" ht="15.75" customHeight="1" x14ac:dyDescent="0.25">
      <c r="B691" s="31"/>
      <c r="C691" s="3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 spans="2:37" s="102" customFormat="1" ht="15.75" customHeight="1" x14ac:dyDescent="0.25">
      <c r="B692" s="31"/>
      <c r="C692" s="31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 spans="2:37" s="102" customFormat="1" ht="15.75" customHeight="1" x14ac:dyDescent="0.25">
      <c r="B693" s="31"/>
      <c r="C693" s="31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 spans="2:37" s="102" customFormat="1" ht="15.75" customHeight="1" x14ac:dyDescent="0.25">
      <c r="B694" s="31"/>
      <c r="C694" s="31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 spans="2:37" s="102" customFormat="1" ht="15.75" customHeight="1" x14ac:dyDescent="0.25">
      <c r="B695" s="31"/>
      <c r="C695" s="31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 spans="2:37" s="102" customFormat="1" ht="15.75" customHeight="1" x14ac:dyDescent="0.25">
      <c r="B696" s="31"/>
      <c r="C696" s="31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 spans="2:37" s="102" customFormat="1" ht="15.75" customHeight="1" x14ac:dyDescent="0.25">
      <c r="B697" s="31"/>
      <c r="C697" s="31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 spans="2:37" s="102" customFormat="1" ht="15.75" customHeight="1" x14ac:dyDescent="0.25">
      <c r="B698" s="31"/>
      <c r="C698" s="31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 spans="2:37" s="102" customFormat="1" ht="15.75" customHeight="1" x14ac:dyDescent="0.25">
      <c r="B699" s="31"/>
      <c r="C699" s="31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 spans="2:37" s="102" customFormat="1" ht="15.75" customHeight="1" x14ac:dyDescent="0.25">
      <c r="B700" s="31"/>
      <c r="C700" s="31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 spans="2:37" s="102" customFormat="1" ht="15.75" customHeight="1" x14ac:dyDescent="0.25">
      <c r="B701" s="31"/>
      <c r="C701" s="3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 spans="2:37" s="102" customFormat="1" ht="15.75" customHeight="1" x14ac:dyDescent="0.25">
      <c r="B702" s="31"/>
      <c r="C702" s="31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 spans="2:37" s="102" customFormat="1" ht="15.75" customHeight="1" x14ac:dyDescent="0.25">
      <c r="B703" s="31"/>
      <c r="C703" s="31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 spans="2:37" s="102" customFormat="1" ht="15.75" customHeight="1" x14ac:dyDescent="0.25">
      <c r="B704" s="31"/>
      <c r="C704" s="31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 spans="2:37" s="102" customFormat="1" ht="15.75" customHeight="1" x14ac:dyDescent="0.25">
      <c r="B705" s="31"/>
      <c r="C705" s="31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 spans="2:37" s="102" customFormat="1" ht="15.75" customHeight="1" x14ac:dyDescent="0.25">
      <c r="B706" s="31"/>
      <c r="C706" s="31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 spans="2:37" s="102" customFormat="1" ht="15.75" customHeight="1" x14ac:dyDescent="0.25">
      <c r="B707" s="31"/>
      <c r="C707" s="31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 spans="2:37" s="102" customFormat="1" ht="15.75" customHeight="1" x14ac:dyDescent="0.25">
      <c r="B708" s="31"/>
      <c r="C708" s="31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 spans="2:37" s="102" customFormat="1" ht="15.75" customHeight="1" x14ac:dyDescent="0.25">
      <c r="B709" s="31"/>
      <c r="C709" s="31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 spans="2:37" s="102" customFormat="1" ht="15.75" customHeight="1" x14ac:dyDescent="0.25">
      <c r="B710" s="31"/>
      <c r="C710" s="31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 spans="2:37" s="102" customFormat="1" ht="15.75" customHeight="1" x14ac:dyDescent="0.25">
      <c r="B711" s="31"/>
      <c r="C711" s="3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 spans="2:37" s="102" customFormat="1" ht="15.75" customHeight="1" x14ac:dyDescent="0.25">
      <c r="B712" s="31"/>
      <c r="C712" s="31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 spans="2:37" s="102" customFormat="1" ht="15.75" customHeight="1" x14ac:dyDescent="0.25">
      <c r="B713" s="31"/>
      <c r="C713" s="31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 spans="2:37" s="102" customFormat="1" ht="15.75" customHeight="1" x14ac:dyDescent="0.25">
      <c r="B714" s="31"/>
      <c r="C714" s="31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 spans="2:37" s="102" customFormat="1" ht="15.75" customHeight="1" x14ac:dyDescent="0.25">
      <c r="B715" s="31"/>
      <c r="C715" s="31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 spans="2:37" s="102" customFormat="1" ht="15.75" customHeight="1" x14ac:dyDescent="0.25">
      <c r="B716" s="31"/>
      <c r="C716" s="31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 spans="2:37" s="102" customFormat="1" ht="15.75" customHeight="1" x14ac:dyDescent="0.25">
      <c r="B717" s="31"/>
      <c r="C717" s="31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 spans="2:37" s="102" customFormat="1" ht="15.75" customHeight="1" x14ac:dyDescent="0.25">
      <c r="B718" s="31"/>
      <c r="C718" s="31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 spans="2:37" s="102" customFormat="1" ht="15.75" customHeight="1" x14ac:dyDescent="0.25">
      <c r="B719" s="31"/>
      <c r="C719" s="31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 spans="2:37" s="102" customFormat="1" ht="15.75" customHeight="1" x14ac:dyDescent="0.25">
      <c r="B720" s="31"/>
      <c r="C720" s="31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 spans="2:37" s="102" customFormat="1" ht="15.75" customHeight="1" x14ac:dyDescent="0.25">
      <c r="B721" s="31"/>
      <c r="C721" s="3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 spans="2:37" s="102" customFormat="1" ht="15.75" customHeight="1" x14ac:dyDescent="0.25">
      <c r="B722" s="31"/>
      <c r="C722" s="31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 spans="2:37" s="102" customFormat="1" ht="15.75" customHeight="1" x14ac:dyDescent="0.25">
      <c r="B723" s="31"/>
      <c r="C723" s="31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 spans="2:37" s="102" customFormat="1" ht="15.75" customHeight="1" x14ac:dyDescent="0.25">
      <c r="B724" s="31"/>
      <c r="C724" s="31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 spans="2:37" s="102" customFormat="1" ht="15.75" customHeight="1" x14ac:dyDescent="0.25">
      <c r="B725" s="31"/>
      <c r="C725" s="31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 spans="2:37" s="102" customFormat="1" ht="15.75" customHeight="1" x14ac:dyDescent="0.25">
      <c r="B726" s="31"/>
      <c r="C726" s="31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 spans="2:37" s="102" customFormat="1" ht="15.75" customHeight="1" x14ac:dyDescent="0.25">
      <c r="B727" s="31"/>
      <c r="C727" s="31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 spans="2:37" s="102" customFormat="1" ht="15.75" customHeight="1" x14ac:dyDescent="0.25">
      <c r="B728" s="31"/>
      <c r="C728" s="31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 spans="2:37" s="102" customFormat="1" ht="15.75" customHeight="1" x14ac:dyDescent="0.25">
      <c r="B729" s="31"/>
      <c r="C729" s="31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 spans="2:37" s="102" customFormat="1" ht="15.75" customHeight="1" x14ac:dyDescent="0.25">
      <c r="B730" s="31"/>
      <c r="C730" s="31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 spans="2:37" s="102" customFormat="1" ht="15.75" customHeight="1" x14ac:dyDescent="0.25">
      <c r="B731" s="31"/>
      <c r="C731" s="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 spans="2:37" s="102" customFormat="1" ht="15.75" customHeight="1" x14ac:dyDescent="0.25">
      <c r="B732" s="31"/>
      <c r="C732" s="31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 spans="2:37" s="102" customFormat="1" ht="15.75" customHeight="1" x14ac:dyDescent="0.25">
      <c r="B733" s="31"/>
      <c r="C733" s="31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 spans="2:37" s="102" customFormat="1" ht="15.75" customHeight="1" x14ac:dyDescent="0.25">
      <c r="B734" s="31"/>
      <c r="C734" s="31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 spans="2:37" s="102" customFormat="1" ht="15.75" customHeight="1" x14ac:dyDescent="0.25">
      <c r="B735" s="31"/>
      <c r="C735" s="31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 spans="2:37" s="102" customFormat="1" ht="15.75" customHeight="1" x14ac:dyDescent="0.25">
      <c r="B736" s="31"/>
      <c r="C736" s="31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 spans="2:37" s="102" customFormat="1" ht="15.75" customHeight="1" x14ac:dyDescent="0.25">
      <c r="B737" s="31"/>
      <c r="C737" s="31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 spans="2:37" s="102" customFormat="1" ht="15.75" customHeight="1" x14ac:dyDescent="0.25">
      <c r="B738" s="31"/>
      <c r="C738" s="31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 spans="2:37" s="102" customFormat="1" ht="15.75" customHeight="1" x14ac:dyDescent="0.25">
      <c r="B739" s="31"/>
      <c r="C739" s="31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 spans="2:37" s="102" customFormat="1" ht="15.75" customHeight="1" x14ac:dyDescent="0.25">
      <c r="B740" s="31"/>
      <c r="C740" s="31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 spans="2:37" s="102" customFormat="1" ht="15.75" customHeight="1" x14ac:dyDescent="0.25">
      <c r="B741" s="31"/>
      <c r="C741" s="3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 spans="2:37" s="102" customFormat="1" ht="15.75" customHeight="1" x14ac:dyDescent="0.25">
      <c r="B742" s="31"/>
      <c r="C742" s="31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 spans="2:37" s="102" customFormat="1" ht="15.75" customHeight="1" x14ac:dyDescent="0.25">
      <c r="B743" s="31"/>
      <c r="C743" s="31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 spans="2:37" s="102" customFormat="1" ht="15.75" customHeight="1" x14ac:dyDescent="0.25">
      <c r="B744" s="31"/>
      <c r="C744" s="31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 spans="2:37" s="102" customFormat="1" ht="15.75" customHeight="1" x14ac:dyDescent="0.25">
      <c r="B745" s="31"/>
      <c r="C745" s="31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 spans="2:37" s="102" customFormat="1" ht="15.75" customHeight="1" x14ac:dyDescent="0.25">
      <c r="B746" s="31"/>
      <c r="C746" s="31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 spans="2:37" s="102" customFormat="1" ht="15.75" customHeight="1" x14ac:dyDescent="0.25">
      <c r="B747" s="31"/>
      <c r="C747" s="31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 spans="2:37" s="102" customFormat="1" ht="15.75" customHeight="1" x14ac:dyDescent="0.25">
      <c r="B748" s="31"/>
      <c r="C748" s="31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 spans="2:37" s="102" customFormat="1" ht="15.75" customHeight="1" x14ac:dyDescent="0.25">
      <c r="B749" s="31"/>
      <c r="C749" s="31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 spans="2:37" s="102" customFormat="1" ht="15.75" customHeight="1" x14ac:dyDescent="0.25">
      <c r="B750" s="31"/>
      <c r="C750" s="31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 spans="2:37" s="102" customFormat="1" ht="15.75" customHeight="1" x14ac:dyDescent="0.25">
      <c r="B751" s="31"/>
      <c r="C751" s="3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 spans="2:37" s="102" customFormat="1" ht="15.75" customHeight="1" x14ac:dyDescent="0.25">
      <c r="B752" s="31"/>
      <c r="C752" s="31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 spans="2:37" s="102" customFormat="1" ht="15.75" customHeight="1" x14ac:dyDescent="0.25">
      <c r="B753" s="31"/>
      <c r="C753" s="31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 spans="2:37" s="102" customFormat="1" ht="15.75" customHeight="1" x14ac:dyDescent="0.25">
      <c r="B754" s="31"/>
      <c r="C754" s="31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 spans="2:37" s="102" customFormat="1" ht="15.75" customHeight="1" x14ac:dyDescent="0.25">
      <c r="B755" s="31"/>
      <c r="C755" s="31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 spans="2:37" s="102" customFormat="1" ht="15.75" customHeight="1" x14ac:dyDescent="0.25">
      <c r="B756" s="31"/>
      <c r="C756" s="31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 spans="2:37" s="102" customFormat="1" ht="15.75" customHeight="1" x14ac:dyDescent="0.25">
      <c r="B757" s="31"/>
      <c r="C757" s="31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 spans="2:37" s="102" customFormat="1" ht="15.75" customHeight="1" x14ac:dyDescent="0.25">
      <c r="B758" s="31"/>
      <c r="C758" s="31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 spans="2:37" s="102" customFormat="1" ht="15.75" customHeight="1" x14ac:dyDescent="0.25">
      <c r="B759" s="31"/>
      <c r="C759" s="31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 spans="2:37" s="102" customFormat="1" ht="15.75" customHeight="1" x14ac:dyDescent="0.25">
      <c r="B760" s="31"/>
      <c r="C760" s="31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 spans="2:37" s="102" customFormat="1" ht="15.75" customHeight="1" x14ac:dyDescent="0.25">
      <c r="B761" s="31"/>
      <c r="C761" s="3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 spans="2:37" s="102" customFormat="1" ht="15.75" customHeight="1" x14ac:dyDescent="0.25">
      <c r="B762" s="31"/>
      <c r="C762" s="31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 spans="2:37" s="102" customFormat="1" ht="15.75" customHeight="1" x14ac:dyDescent="0.25">
      <c r="B763" s="31"/>
      <c r="C763" s="31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 spans="2:37" s="102" customFormat="1" ht="15.75" customHeight="1" x14ac:dyDescent="0.25">
      <c r="B764" s="31"/>
      <c r="C764" s="31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 spans="2:37" s="102" customFormat="1" ht="15.75" customHeight="1" x14ac:dyDescent="0.25">
      <c r="B765" s="31"/>
      <c r="C765" s="31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 spans="2:37" s="102" customFormat="1" ht="15.75" customHeight="1" x14ac:dyDescent="0.25">
      <c r="B766" s="31"/>
      <c r="C766" s="31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 spans="2:37" s="102" customFormat="1" ht="15.75" customHeight="1" x14ac:dyDescent="0.25">
      <c r="B767" s="31"/>
      <c r="C767" s="31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 spans="2:37" s="102" customFormat="1" ht="15.75" customHeight="1" x14ac:dyDescent="0.25">
      <c r="B768" s="31"/>
      <c r="C768" s="31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 spans="2:37" s="102" customFormat="1" ht="15.75" customHeight="1" x14ac:dyDescent="0.25">
      <c r="B769" s="31"/>
      <c r="C769" s="31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 spans="2:37" s="102" customFormat="1" ht="15.75" customHeight="1" x14ac:dyDescent="0.25">
      <c r="B770" s="31"/>
      <c r="C770" s="31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 spans="2:37" s="102" customFormat="1" ht="15.75" customHeight="1" x14ac:dyDescent="0.25">
      <c r="B771" s="31"/>
      <c r="C771" s="3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 spans="2:37" s="102" customFormat="1" ht="15.75" customHeight="1" x14ac:dyDescent="0.25">
      <c r="B772" s="31"/>
      <c r="C772" s="31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 spans="2:37" s="102" customFormat="1" ht="15.75" customHeight="1" x14ac:dyDescent="0.25">
      <c r="B773" s="31"/>
      <c r="C773" s="31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 spans="2:37" s="102" customFormat="1" ht="15.75" customHeight="1" x14ac:dyDescent="0.25">
      <c r="B774" s="31"/>
      <c r="C774" s="31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 spans="2:37" s="102" customFormat="1" ht="15.75" customHeight="1" x14ac:dyDescent="0.25">
      <c r="B775" s="31"/>
      <c r="C775" s="31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 spans="2:37" s="102" customFormat="1" ht="15.75" customHeight="1" x14ac:dyDescent="0.25">
      <c r="B776" s="31"/>
      <c r="C776" s="31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 spans="2:37" s="102" customFormat="1" ht="15.75" customHeight="1" x14ac:dyDescent="0.25">
      <c r="B777" s="31"/>
      <c r="C777" s="31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 spans="2:37" s="102" customFormat="1" ht="15.75" customHeight="1" x14ac:dyDescent="0.25">
      <c r="B778" s="31"/>
      <c r="C778" s="31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 spans="2:37" s="102" customFormat="1" ht="15.75" customHeight="1" x14ac:dyDescent="0.25">
      <c r="B779" s="31"/>
      <c r="C779" s="31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 spans="2:37" s="102" customFormat="1" ht="15.75" customHeight="1" x14ac:dyDescent="0.25">
      <c r="B780" s="31"/>
      <c r="C780" s="31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 spans="2:37" s="102" customFormat="1" ht="15.75" customHeight="1" x14ac:dyDescent="0.25">
      <c r="B781" s="31"/>
      <c r="C781" s="3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 spans="2:37" s="102" customFormat="1" ht="15.75" customHeight="1" x14ac:dyDescent="0.25">
      <c r="B782" s="31"/>
      <c r="C782" s="31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 spans="2:37" s="102" customFormat="1" ht="15.75" customHeight="1" x14ac:dyDescent="0.25">
      <c r="B783" s="31"/>
      <c r="C783" s="31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 spans="2:37" s="102" customFormat="1" ht="15.75" customHeight="1" x14ac:dyDescent="0.25">
      <c r="B784" s="31"/>
      <c r="C784" s="31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 spans="2:37" s="102" customFormat="1" ht="15.75" customHeight="1" x14ac:dyDescent="0.25">
      <c r="B785" s="31"/>
      <c r="C785" s="31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 spans="2:37" s="102" customFormat="1" ht="15.75" customHeight="1" x14ac:dyDescent="0.25">
      <c r="B786" s="31"/>
      <c r="C786" s="31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 spans="2:37" s="102" customFormat="1" ht="15.75" customHeight="1" x14ac:dyDescent="0.25">
      <c r="B787" s="31"/>
      <c r="C787" s="31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 spans="2:37" s="102" customFormat="1" ht="15.75" customHeight="1" x14ac:dyDescent="0.25">
      <c r="B788" s="31"/>
      <c r="C788" s="31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 spans="2:37" s="102" customFormat="1" ht="15.75" customHeight="1" x14ac:dyDescent="0.25">
      <c r="B789" s="31"/>
      <c r="C789" s="31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 spans="2:37" s="102" customFormat="1" ht="15.75" customHeight="1" x14ac:dyDescent="0.25">
      <c r="B790" s="31"/>
      <c r="C790" s="31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 spans="2:37" s="102" customFormat="1" ht="15.75" customHeight="1" x14ac:dyDescent="0.25">
      <c r="B791" s="31"/>
      <c r="C791" s="3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 spans="2:37" s="102" customFormat="1" ht="15.75" customHeight="1" x14ac:dyDescent="0.25">
      <c r="B792" s="31"/>
      <c r="C792" s="31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 spans="2:37" s="102" customFormat="1" ht="15.75" customHeight="1" x14ac:dyDescent="0.25">
      <c r="B793" s="31"/>
      <c r="C793" s="31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 spans="2:37" s="102" customFormat="1" ht="15.75" customHeight="1" x14ac:dyDescent="0.25">
      <c r="B794" s="31"/>
      <c r="C794" s="31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 spans="2:37" s="102" customFormat="1" ht="15.75" customHeight="1" x14ac:dyDescent="0.25">
      <c r="B795" s="31"/>
      <c r="C795" s="31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 spans="2:37" s="102" customFormat="1" ht="15.75" customHeight="1" x14ac:dyDescent="0.25">
      <c r="B796" s="31"/>
      <c r="C796" s="31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 spans="2:37" s="102" customFormat="1" ht="15.75" customHeight="1" x14ac:dyDescent="0.25">
      <c r="B797" s="31"/>
      <c r="C797" s="31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 spans="2:37" s="102" customFormat="1" ht="15.75" customHeight="1" x14ac:dyDescent="0.25">
      <c r="B798" s="31"/>
      <c r="C798" s="31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 spans="2:37" s="102" customFormat="1" ht="15.75" customHeight="1" x14ac:dyDescent="0.25">
      <c r="B799" s="31"/>
      <c r="C799" s="31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 spans="2:37" s="102" customFormat="1" ht="15.75" customHeight="1" x14ac:dyDescent="0.25">
      <c r="B800" s="31"/>
      <c r="C800" s="31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 spans="2:37" s="102" customFormat="1" ht="15.75" customHeight="1" x14ac:dyDescent="0.25">
      <c r="B801" s="31"/>
      <c r="C801" s="3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 spans="2:37" s="102" customFormat="1" ht="15.75" customHeight="1" x14ac:dyDescent="0.25">
      <c r="B802" s="31"/>
      <c r="C802" s="31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 spans="2:37" s="102" customFormat="1" ht="15.75" customHeight="1" x14ac:dyDescent="0.25">
      <c r="B803" s="31"/>
      <c r="C803" s="31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 spans="2:37" s="102" customFormat="1" ht="15.75" customHeight="1" x14ac:dyDescent="0.25">
      <c r="B804" s="31"/>
      <c r="C804" s="31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 spans="2:37" s="102" customFormat="1" ht="15.75" customHeight="1" x14ac:dyDescent="0.25">
      <c r="B805" s="31"/>
      <c r="C805" s="31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 spans="2:37" s="102" customFormat="1" ht="15.75" customHeight="1" x14ac:dyDescent="0.25">
      <c r="B806" s="31"/>
      <c r="C806" s="31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 spans="2:37" s="102" customFormat="1" ht="15.75" customHeight="1" x14ac:dyDescent="0.25">
      <c r="B807" s="31"/>
      <c r="C807" s="31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 spans="2:37" s="102" customFormat="1" ht="15.75" customHeight="1" x14ac:dyDescent="0.25">
      <c r="B808" s="31"/>
      <c r="C808" s="31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 spans="2:37" s="102" customFormat="1" ht="15.75" customHeight="1" x14ac:dyDescent="0.25">
      <c r="B809" s="31"/>
      <c r="C809" s="31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 spans="2:37" s="102" customFormat="1" ht="15.75" customHeight="1" x14ac:dyDescent="0.25">
      <c r="B810" s="31"/>
      <c r="C810" s="31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 spans="2:37" s="102" customFormat="1" ht="15.75" customHeight="1" x14ac:dyDescent="0.25">
      <c r="B811" s="31"/>
      <c r="C811" s="3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 spans="2:37" s="102" customFormat="1" ht="15.75" customHeight="1" x14ac:dyDescent="0.25">
      <c r="B812" s="31"/>
      <c r="C812" s="31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 spans="2:37" s="102" customFormat="1" ht="15.75" customHeight="1" x14ac:dyDescent="0.25">
      <c r="B813" s="31"/>
      <c r="C813" s="31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 spans="2:37" s="102" customFormat="1" ht="15.75" customHeight="1" x14ac:dyDescent="0.25">
      <c r="B814" s="31"/>
      <c r="C814" s="31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 spans="2:37" s="102" customFormat="1" ht="15.75" customHeight="1" x14ac:dyDescent="0.25">
      <c r="B815" s="31"/>
      <c r="C815" s="31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 spans="2:37" s="102" customFormat="1" ht="15.75" customHeight="1" x14ac:dyDescent="0.25">
      <c r="B816" s="31"/>
      <c r="C816" s="31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 spans="2:37" s="102" customFormat="1" ht="15.75" customHeight="1" x14ac:dyDescent="0.25">
      <c r="B817" s="31"/>
      <c r="C817" s="31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 spans="2:37" s="102" customFormat="1" ht="15.75" customHeight="1" x14ac:dyDescent="0.25">
      <c r="B818" s="31"/>
      <c r="C818" s="31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 spans="2:37" s="102" customFormat="1" ht="15.75" customHeight="1" x14ac:dyDescent="0.25">
      <c r="B819" s="31"/>
      <c r="C819" s="31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 spans="2:37" s="102" customFormat="1" ht="15.75" customHeight="1" x14ac:dyDescent="0.25">
      <c r="B820" s="31"/>
      <c r="C820" s="31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 spans="2:37" s="102" customFormat="1" ht="15.75" customHeight="1" x14ac:dyDescent="0.25">
      <c r="B821" s="31"/>
      <c r="C821" s="3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 spans="2:37" s="102" customFormat="1" ht="15.75" customHeight="1" x14ac:dyDescent="0.25">
      <c r="B822" s="31"/>
      <c r="C822" s="31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 spans="2:37" s="102" customFormat="1" ht="15.75" customHeight="1" x14ac:dyDescent="0.25">
      <c r="B823" s="31"/>
      <c r="C823" s="31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 spans="2:37" s="102" customFormat="1" ht="15.75" customHeight="1" x14ac:dyDescent="0.25">
      <c r="B824" s="31"/>
      <c r="C824" s="31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 spans="2:37" s="102" customFormat="1" ht="15.75" customHeight="1" x14ac:dyDescent="0.25">
      <c r="B825" s="31"/>
      <c r="C825" s="31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 spans="2:37" s="102" customFormat="1" ht="15.75" customHeight="1" x14ac:dyDescent="0.25">
      <c r="B826" s="31"/>
      <c r="C826" s="31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 spans="2:37" s="102" customFormat="1" ht="15.75" customHeight="1" x14ac:dyDescent="0.25">
      <c r="B827" s="31"/>
      <c r="C827" s="31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 spans="2:37" s="102" customFormat="1" ht="15.75" customHeight="1" x14ac:dyDescent="0.25">
      <c r="B828" s="31"/>
      <c r="C828" s="31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 spans="2:37" s="102" customFormat="1" ht="15.75" customHeight="1" x14ac:dyDescent="0.25">
      <c r="B829" s="31"/>
      <c r="C829" s="31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</row>
    <row r="830" spans="2:37" s="102" customFormat="1" ht="15.75" customHeight="1" x14ac:dyDescent="0.25">
      <c r="B830" s="31"/>
      <c r="C830" s="31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 spans="2:37" s="102" customFormat="1" ht="15.75" customHeight="1" x14ac:dyDescent="0.25">
      <c r="B831" s="31"/>
      <c r="C831" s="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 spans="2:37" s="102" customFormat="1" ht="15.75" customHeight="1" x14ac:dyDescent="0.25">
      <c r="B832" s="31"/>
      <c r="C832" s="31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 spans="2:37" s="102" customFormat="1" ht="15.75" customHeight="1" x14ac:dyDescent="0.25">
      <c r="B833" s="31"/>
      <c r="C833" s="31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 spans="2:37" s="102" customFormat="1" ht="15.75" customHeight="1" x14ac:dyDescent="0.25">
      <c r="B834" s="31"/>
      <c r="C834" s="31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 spans="2:37" s="102" customFormat="1" ht="15.75" customHeight="1" x14ac:dyDescent="0.25">
      <c r="B835" s="31"/>
      <c r="C835" s="31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 spans="2:37" s="102" customFormat="1" ht="15.75" customHeight="1" x14ac:dyDescent="0.25">
      <c r="B836" s="31"/>
      <c r="C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</row>
    <row r="837" spans="2:37" ht="15.75" customHeight="1" x14ac:dyDescent="0.25">
      <c r="B837" s="31"/>
    </row>
    <row r="838" spans="2:37" ht="15.75" customHeight="1" x14ac:dyDescent="0.25">
      <c r="B838" s="31"/>
    </row>
    <row r="839" spans="2:37" ht="15.75" customHeight="1" x14ac:dyDescent="0.25">
      <c r="B839" s="31"/>
    </row>
    <row r="840" spans="2:37" ht="15.75" customHeight="1" x14ac:dyDescent="0.25">
      <c r="B840" s="31"/>
    </row>
    <row r="841" spans="2:37" ht="15.75" customHeight="1" x14ac:dyDescent="0.25"/>
    <row r="842" spans="2:37" ht="15.75" customHeight="1" x14ac:dyDescent="0.25"/>
    <row r="843" spans="2:37" ht="15.75" customHeight="1" x14ac:dyDescent="0.25"/>
    <row r="844" spans="2:37" ht="15.75" customHeight="1" x14ac:dyDescent="0.25"/>
    <row r="845" spans="2:37" ht="15.75" customHeight="1" x14ac:dyDescent="0.25"/>
    <row r="846" spans="2:37" ht="15.75" customHeight="1" x14ac:dyDescent="0.25"/>
    <row r="847" spans="2:37" ht="15.75" customHeight="1" x14ac:dyDescent="0.25"/>
    <row r="848" spans="2:37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</sheetData>
  <autoFilter ref="B8:AL127" xr:uid="{4D894EE3-1E41-4C26-81A2-DF77E54C4A68}"/>
  <sortState xmlns:xlrd2="http://schemas.microsoft.com/office/spreadsheetml/2017/richdata2" ref="B9:AK23">
    <sortCondition ref="B9:B23"/>
  </sortState>
  <mergeCells count="6">
    <mergeCell ref="AJ7:AK7"/>
    <mergeCell ref="E2:E6"/>
    <mergeCell ref="C7:E7"/>
    <mergeCell ref="F7:K7"/>
    <mergeCell ref="M7:T7"/>
    <mergeCell ref="V7:AH7"/>
  </mergeCells>
  <dataValidations count="3">
    <dataValidation type="list" allowBlank="1" showInputMessage="1" showErrorMessage="1" sqref="D4" xr:uid="{2F86F909-A2BE-40C4-92BE-D88B3AA1AB37}">
      <formula1>"Sim, Não"</formula1>
    </dataValidation>
    <dataValidation type="list" allowBlank="1" showInputMessage="1" showErrorMessage="1" sqref="D3" xr:uid="{9982520E-4B2C-4FC5-98CA-DB383AD35110}">
      <formula1>"PJ, CLT"</formula1>
    </dataValidation>
    <dataValidation type="list" allowBlank="1" showErrorMessage="1" sqref="E9:E159" xr:uid="{BF830922-F602-4776-A418-CF17607B79D2}">
      <formula1>"Sim,Não"</formula1>
    </dataValidation>
  </dataValidations>
  <pageMargins left="0.511811024" right="0.511811024" top="0.63726821165609882" bottom="0.78740157499999996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A370D28-6A8F-44AA-A903-83479D738FF8}">
          <x14:formula1>
            <xm:f>'Lista Profissionais'!$C$11:$C$214</xm:f>
          </x14:formula1>
          <xm:sqref>B25:B84 B144:B840 B89:B127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49EE-C5C2-4657-A541-81960E78221A}">
  <sheetPr filterMode="1">
    <tabColor rgb="FF00B050"/>
  </sheetPr>
  <dimension ref="B1:AM873"/>
  <sheetViews>
    <sheetView zoomScale="90" zoomScaleNormal="90" workbookViewId="0">
      <pane xSplit="5" topLeftCell="F1" activePane="topRight" state="frozen"/>
      <selection pane="topRight" activeCell="G130" sqref="G130"/>
    </sheetView>
  </sheetViews>
  <sheetFormatPr defaultColWidth="14.42578125" defaultRowHeight="15" customHeight="1" outlineLevelRow="1" x14ac:dyDescent="0.25"/>
  <cols>
    <col min="1" max="1" width="2.5703125" customWidth="1"/>
    <col min="2" max="2" width="43.85546875" customWidth="1"/>
    <col min="3" max="3" width="7.42578125" customWidth="1"/>
    <col min="4" max="4" width="6.7109375" style="102" customWidth="1"/>
    <col min="5" max="5" width="6.85546875" customWidth="1"/>
    <col min="6" max="6" width="18.7109375" customWidth="1"/>
    <col min="7" max="11" width="16.7109375" customWidth="1"/>
    <col min="12" max="12" width="12.42578125" bestFit="1" customWidth="1"/>
    <col min="13" max="13" width="16.7109375" customWidth="1"/>
    <col min="14" max="14" width="14.7109375" customWidth="1"/>
    <col min="15" max="15" width="14.28515625" bestFit="1" customWidth="1"/>
    <col min="16" max="16" width="16" customWidth="1"/>
    <col min="17" max="17" width="16.28515625" customWidth="1"/>
    <col min="18" max="19" width="14" customWidth="1"/>
    <col min="20" max="20" width="17.140625" customWidth="1"/>
    <col min="21" max="21" width="12" customWidth="1"/>
    <col min="22" max="23" width="12.85546875" customWidth="1"/>
    <col min="24" max="24" width="13" customWidth="1"/>
    <col min="25" max="27" width="12.85546875" customWidth="1"/>
    <col min="28" max="28" width="22.42578125" bestFit="1" customWidth="1"/>
    <col min="29" max="29" width="24" bestFit="1" customWidth="1"/>
    <col min="30" max="31" width="14.5703125" customWidth="1"/>
    <col min="32" max="34" width="14.85546875" customWidth="1"/>
    <col min="35" max="35" width="18.28515625" customWidth="1"/>
    <col min="36" max="36" width="14.42578125" customWidth="1"/>
    <col min="37" max="37" width="14.140625" customWidth="1"/>
    <col min="38" max="38" width="10.7109375" customWidth="1"/>
    <col min="39" max="39" width="14.28515625" bestFit="1" customWidth="1"/>
  </cols>
  <sheetData>
    <row r="1" spans="2:39" ht="14.25" customHeight="1" x14ac:dyDescent="0.25">
      <c r="C1" s="12"/>
      <c r="D1" s="100"/>
      <c r="E1" s="13"/>
      <c r="G1" s="14"/>
      <c r="H1" s="14"/>
      <c r="I1" s="14"/>
      <c r="J1" s="15"/>
      <c r="K1" s="15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9" ht="14.25" customHeight="1" outlineLevel="1" x14ac:dyDescent="0.45">
      <c r="B2" s="16"/>
      <c r="C2" s="17"/>
      <c r="D2" s="99"/>
      <c r="E2" s="262" t="s">
        <v>15</v>
      </c>
      <c r="F2" s="19" t="s">
        <v>16</v>
      </c>
      <c r="G2" s="20">
        <v>176</v>
      </c>
      <c r="H2" s="20"/>
      <c r="I2" s="19" t="s">
        <v>17</v>
      </c>
      <c r="J2" s="19">
        <f>SUBTOTAL(9,J9:J50013)</f>
        <v>17500</v>
      </c>
      <c r="L2" s="19" t="s">
        <v>18</v>
      </c>
      <c r="M2" s="21">
        <v>0.08</v>
      </c>
      <c r="N2" s="19" t="s">
        <v>19</v>
      </c>
      <c r="O2" s="22">
        <f>COUNTIF(E9:E5013, "Sim")</f>
        <v>120</v>
      </c>
      <c r="P2" s="19" t="s">
        <v>20</v>
      </c>
      <c r="Q2" s="23">
        <v>600</v>
      </c>
      <c r="R2" s="19" t="s">
        <v>204</v>
      </c>
      <c r="S2" s="21">
        <v>0.27500000000000002</v>
      </c>
      <c r="T2" s="25"/>
      <c r="U2" s="25"/>
      <c r="V2" s="18"/>
      <c r="W2" s="189" t="s">
        <v>209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6"/>
      <c r="AM2" s="140"/>
    </row>
    <row r="3" spans="2:39" ht="14.25" customHeight="1" outlineLevel="1" x14ac:dyDescent="0.45">
      <c r="B3" s="27"/>
      <c r="C3" s="106" t="s">
        <v>119</v>
      </c>
      <c r="D3" s="105" t="s">
        <v>109</v>
      </c>
      <c r="E3" s="282"/>
      <c r="F3" s="19" t="s">
        <v>21</v>
      </c>
      <c r="G3" s="30">
        <v>0</v>
      </c>
      <c r="H3" s="30"/>
      <c r="I3" s="19" t="s">
        <v>22</v>
      </c>
      <c r="J3" s="19">
        <f>SUBTOTAL(9,T9:T50013)</f>
        <v>44722</v>
      </c>
      <c r="L3" s="19" t="s">
        <v>23</v>
      </c>
      <c r="M3" s="21">
        <v>0.4</v>
      </c>
      <c r="N3" s="19" t="s">
        <v>24</v>
      </c>
      <c r="O3" s="22">
        <f>COUNTIF(E9:E5013, "Não")</f>
        <v>0</v>
      </c>
      <c r="P3" s="19" t="s">
        <v>25</v>
      </c>
      <c r="Q3" s="23">
        <f>SUM(R9:R54)</f>
        <v>0</v>
      </c>
      <c r="R3" s="31"/>
      <c r="S3" s="31"/>
      <c r="T3" s="32"/>
      <c r="U3" s="32"/>
      <c r="V3" s="33"/>
      <c r="W3" s="186" t="s">
        <v>207</v>
      </c>
      <c r="X3" s="32"/>
      <c r="Y3" s="32"/>
      <c r="Z3" s="34"/>
      <c r="AA3" s="176"/>
      <c r="AB3" s="176"/>
      <c r="AC3" s="176"/>
      <c r="AD3" s="34"/>
      <c r="AE3" s="176"/>
      <c r="AF3" s="32"/>
      <c r="AG3" s="97"/>
      <c r="AH3" s="34"/>
      <c r="AI3" s="34"/>
      <c r="AJ3" s="33"/>
      <c r="AK3" s="32"/>
      <c r="AL3" s="35"/>
    </row>
    <row r="4" spans="2:39" ht="14.25" customHeight="1" outlineLevel="1" x14ac:dyDescent="0.45">
      <c r="B4" s="27"/>
      <c r="C4" s="107" t="s">
        <v>120</v>
      </c>
      <c r="D4" s="105" t="s">
        <v>74</v>
      </c>
      <c r="E4" s="282"/>
      <c r="F4" s="19" t="s">
        <v>26</v>
      </c>
      <c r="G4" s="30">
        <v>0.23</v>
      </c>
      <c r="H4" s="30"/>
      <c r="I4" s="19" t="s">
        <v>27</v>
      </c>
      <c r="J4" s="19">
        <f>SUBTOTAL(9,K9:K5013)+Q3</f>
        <v>25044</v>
      </c>
      <c r="L4" s="19" t="s">
        <v>28</v>
      </c>
      <c r="M4" s="21">
        <v>0.09</v>
      </c>
      <c r="N4" s="19" t="s">
        <v>29</v>
      </c>
      <c r="O4" s="37">
        <v>0</v>
      </c>
      <c r="P4" s="23" t="s">
        <v>95</v>
      </c>
      <c r="Q4" s="94">
        <f>SUM(D9:D5013)</f>
        <v>20184</v>
      </c>
      <c r="R4" s="95"/>
      <c r="S4" s="39"/>
      <c r="T4" s="32"/>
      <c r="U4" s="32"/>
      <c r="V4" s="40"/>
      <c r="W4" s="187" t="s">
        <v>206</v>
      </c>
      <c r="X4" s="32"/>
      <c r="Y4" s="32"/>
      <c r="Z4" s="40"/>
      <c r="AA4" s="177"/>
      <c r="AB4" s="177"/>
      <c r="AC4" s="177"/>
      <c r="AD4" s="40"/>
      <c r="AE4" s="177"/>
      <c r="AF4" s="32"/>
      <c r="AG4" s="97"/>
      <c r="AH4" s="40"/>
      <c r="AI4" s="40"/>
      <c r="AJ4" s="33"/>
      <c r="AK4" s="32"/>
      <c r="AL4" s="35"/>
    </row>
    <row r="5" spans="2:39" ht="14.25" customHeight="1" outlineLevel="1" x14ac:dyDescent="0.25">
      <c r="B5" s="41"/>
      <c r="C5" s="107" t="s">
        <v>121</v>
      </c>
      <c r="D5" s="108">
        <v>0</v>
      </c>
      <c r="E5" s="282"/>
      <c r="F5" s="19"/>
      <c r="G5" s="30">
        <v>0.85</v>
      </c>
      <c r="H5" s="30"/>
      <c r="I5" s="19" t="s">
        <v>30</v>
      </c>
      <c r="J5" s="19">
        <f>J3-J4</f>
        <v>19678</v>
      </c>
      <c r="L5" s="19" t="s">
        <v>31</v>
      </c>
      <c r="M5" s="42">
        <v>50</v>
      </c>
      <c r="N5" s="19" t="s">
        <v>32</v>
      </c>
      <c r="O5" s="19">
        <f>L12</f>
        <v>117.69611291486291</v>
      </c>
      <c r="P5" s="96" t="s">
        <v>96</v>
      </c>
      <c r="Q5" s="23">
        <f>J3/Q4</f>
        <v>2.2157154181529926</v>
      </c>
      <c r="R5" s="97"/>
      <c r="S5" s="32"/>
      <c r="T5" s="32"/>
      <c r="U5" s="32"/>
      <c r="V5" s="40"/>
      <c r="W5" s="188" t="s">
        <v>208</v>
      </c>
      <c r="X5" s="32"/>
      <c r="Y5" s="32"/>
      <c r="Z5" s="40"/>
      <c r="AA5" s="177"/>
      <c r="AB5" s="177"/>
      <c r="AC5" s="177"/>
      <c r="AD5" s="40"/>
      <c r="AE5" s="177"/>
      <c r="AF5" s="32"/>
      <c r="AG5" s="97"/>
      <c r="AH5" s="40"/>
      <c r="AI5" s="40"/>
      <c r="AJ5" s="33"/>
      <c r="AK5" s="32"/>
      <c r="AL5" s="35"/>
    </row>
    <row r="6" spans="2:39" ht="14.25" customHeight="1" outlineLevel="1" x14ac:dyDescent="0.25">
      <c r="B6" s="43"/>
      <c r="C6" s="44"/>
      <c r="D6" s="101"/>
      <c r="E6" s="264"/>
      <c r="F6" s="19" t="s">
        <v>33</v>
      </c>
      <c r="G6" s="37">
        <v>0</v>
      </c>
      <c r="H6" s="37"/>
      <c r="I6" s="19" t="s">
        <v>34</v>
      </c>
      <c r="J6" s="37">
        <f>J5/J3</f>
        <v>0.44000715531505746</v>
      </c>
      <c r="L6" s="19" t="s">
        <v>35</v>
      </c>
      <c r="M6" s="19" t="e">
        <f>SUM(T9:T5013)/SUM(D9:D5013)</f>
        <v>#N/A</v>
      </c>
      <c r="N6" s="19" t="s">
        <v>36</v>
      </c>
      <c r="O6" s="19">
        <f>SUMIF(E9:E5013,"Não",Q9:Q5013)</f>
        <v>0</v>
      </c>
      <c r="P6" s="98"/>
      <c r="Q6" s="98"/>
      <c r="R6" s="46"/>
      <c r="S6" s="46"/>
      <c r="T6" s="46"/>
      <c r="U6" s="46"/>
      <c r="V6" s="47"/>
      <c r="W6" s="190" t="s">
        <v>210</v>
      </c>
      <c r="X6" s="46"/>
      <c r="Y6" s="46"/>
      <c r="Z6" s="47"/>
      <c r="AA6" s="178"/>
      <c r="AB6" s="178"/>
      <c r="AC6" s="178"/>
      <c r="AD6" s="47"/>
      <c r="AE6" s="178"/>
      <c r="AF6" s="46"/>
      <c r="AG6" s="230"/>
      <c r="AH6" s="47"/>
      <c r="AI6" s="47"/>
      <c r="AJ6" s="48"/>
      <c r="AK6" s="46"/>
      <c r="AL6" s="49"/>
    </row>
    <row r="7" spans="2:39" ht="14.25" customHeight="1" x14ac:dyDescent="0.25">
      <c r="B7" s="147" t="s">
        <v>37</v>
      </c>
      <c r="C7" s="283" t="s">
        <v>38</v>
      </c>
      <c r="D7" s="284"/>
      <c r="E7" s="281"/>
      <c r="F7" s="280" t="s">
        <v>39</v>
      </c>
      <c r="G7" s="284"/>
      <c r="H7" s="284"/>
      <c r="I7" s="284"/>
      <c r="J7" s="284"/>
      <c r="K7" s="281"/>
      <c r="L7" s="148"/>
      <c r="M7" s="285" t="s">
        <v>40</v>
      </c>
      <c r="N7" s="284"/>
      <c r="O7" s="284"/>
      <c r="P7" s="284"/>
      <c r="Q7" s="284"/>
      <c r="R7" s="284"/>
      <c r="S7" s="284"/>
      <c r="T7" s="281"/>
      <c r="U7" s="148"/>
      <c r="V7" s="286" t="s">
        <v>41</v>
      </c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1"/>
      <c r="AJ7" s="149" t="s">
        <v>42</v>
      </c>
      <c r="AK7" s="280" t="s">
        <v>43</v>
      </c>
      <c r="AL7" s="281"/>
    </row>
    <row r="8" spans="2:39" ht="14.25" customHeight="1" x14ac:dyDescent="0.25">
      <c r="B8" s="173" t="s">
        <v>44</v>
      </c>
      <c r="C8" s="172" t="s">
        <v>45</v>
      </c>
      <c r="D8" s="156" t="s">
        <v>46</v>
      </c>
      <c r="E8" s="157" t="s">
        <v>47</v>
      </c>
      <c r="F8" s="169" t="s">
        <v>48</v>
      </c>
      <c r="G8" s="169" t="s">
        <v>49</v>
      </c>
      <c r="H8" s="169" t="s">
        <v>346</v>
      </c>
      <c r="I8" s="158" t="s">
        <v>50</v>
      </c>
      <c r="J8" s="158" t="s">
        <v>51</v>
      </c>
      <c r="K8" s="158" t="s">
        <v>52</v>
      </c>
      <c r="L8" s="159" t="s">
        <v>92</v>
      </c>
      <c r="M8" s="159" t="s">
        <v>53</v>
      </c>
      <c r="N8" s="160" t="s">
        <v>54</v>
      </c>
      <c r="O8" s="160" t="s">
        <v>55</v>
      </c>
      <c r="P8" s="159" t="s">
        <v>93</v>
      </c>
      <c r="Q8" s="159" t="s">
        <v>57</v>
      </c>
      <c r="R8" s="159" t="s">
        <v>58</v>
      </c>
      <c r="S8" s="161" t="s">
        <v>94</v>
      </c>
      <c r="T8" s="159" t="s">
        <v>59</v>
      </c>
      <c r="U8" s="159" t="s">
        <v>60</v>
      </c>
      <c r="V8" s="183" t="s">
        <v>18</v>
      </c>
      <c r="W8" s="179" t="s">
        <v>61</v>
      </c>
      <c r="X8" s="184" t="s">
        <v>62</v>
      </c>
      <c r="Y8" s="183" t="s">
        <v>63</v>
      </c>
      <c r="Z8" s="183" t="s">
        <v>64</v>
      </c>
      <c r="AA8" s="179" t="s">
        <v>204</v>
      </c>
      <c r="AB8" s="179" t="s">
        <v>203</v>
      </c>
      <c r="AC8" s="179" t="s">
        <v>205</v>
      </c>
      <c r="AD8" s="181" t="s">
        <v>65</v>
      </c>
      <c r="AE8" s="179" t="s">
        <v>202</v>
      </c>
      <c r="AF8" s="185" t="s">
        <v>28</v>
      </c>
      <c r="AG8" s="159" t="s">
        <v>377</v>
      </c>
      <c r="AH8" s="159" t="s">
        <v>67</v>
      </c>
      <c r="AI8" s="159" t="s">
        <v>68</v>
      </c>
      <c r="AJ8" s="159" t="s">
        <v>69</v>
      </c>
      <c r="AK8" s="159" t="s">
        <v>70</v>
      </c>
      <c r="AL8" s="159" t="s">
        <v>71</v>
      </c>
      <c r="AM8" s="159" t="s">
        <v>211</v>
      </c>
    </row>
    <row r="9" spans="2:39" ht="14.25" hidden="1" customHeight="1" x14ac:dyDescent="0.25">
      <c r="B9" s="174" t="s">
        <v>244</v>
      </c>
      <c r="C9" s="171" t="s">
        <v>109</v>
      </c>
      <c r="D9" s="103">
        <v>168</v>
      </c>
      <c r="E9" s="104" t="s">
        <v>76</v>
      </c>
      <c r="F9" s="92">
        <v>0</v>
      </c>
      <c r="G9" s="219">
        <f>IF(F9&gt;0,F9,
IF(B9&lt;&gt;"",
IF(C9="CLT",VLOOKUP(B9,'Lista Profissionais'!$C$11:$H$348,3,0),
VLOOKUP(B9,'Lista Profissionais'!$C$11:$H$348,6,0)), 0))</f>
        <v>10800</v>
      </c>
      <c r="H9" s="219">
        <f>IF(B9&lt;&gt;"",
IF(C9="CLT",
       22*$M$5 + (G9*'Lista Profissionais'!$G$9),0),0)</f>
        <v>3260</v>
      </c>
      <c r="I9" s="66">
        <f t="shared" ref="I9:I72" si="0">(G9/$G$2)*D9</f>
        <v>10309.09090909091</v>
      </c>
      <c r="J9" s="66">
        <f t="shared" ref="J9:J72" si="1">I9+AI9</f>
        <v>22916.068181818184</v>
      </c>
      <c r="K9" s="66">
        <f t="shared" ref="K9:K72" si="2">J9+S9+AJ9</f>
        <v>32666.855193181822</v>
      </c>
      <c r="L9" s="93">
        <f>IF(D9&gt;0,J9/D9,0)</f>
        <v>136.40516774891776</v>
      </c>
      <c r="M9" s="151"/>
      <c r="N9" s="152">
        <v>0</v>
      </c>
      <c r="O9" s="69">
        <f t="shared" ref="O9:O72" si="3">J9*$G$6</f>
        <v>0</v>
      </c>
      <c r="P9" s="69">
        <f t="shared" ref="P9:P72" si="4">IF(M9&gt;0,M9,  J9*(1+$G$5))</f>
        <v>42394.726136363643</v>
      </c>
      <c r="Q9" s="70">
        <f t="shared" ref="Q9:Q72" si="5">(P9+O9)</f>
        <v>42394.726136363643</v>
      </c>
      <c r="R9" s="153">
        <f>IF(E9="Sim", Q9*$G$3,0)</f>
        <v>0</v>
      </c>
      <c r="S9" s="70">
        <v>0</v>
      </c>
      <c r="T9" s="165">
        <f t="shared" ref="T9:T72" si="6">IF($D$4="Sim",(IF(E9="Não",0,(Q9+(Q9*$O$4)+R9+S9)*$D$5)+Q9),
IF(E9="Não",0,Q9+(Q9*$O$4)+R9+S9
))</f>
        <v>42394.726136363643</v>
      </c>
      <c r="U9" s="163">
        <f t="shared" ref="U9:U72" si="7">IF(D9&gt;0,T9/D9,0)</f>
        <v>252.34956033549787</v>
      </c>
      <c r="V9" s="164">
        <f>IF(C9="CLT",
       I9*$M$2, 0)</f>
        <v>824.72727272727286</v>
      </c>
      <c r="W9" s="164">
        <f t="shared" ref="W9:W72" si="8">IF(C9="CLT",
       V9*$M$3, 0)</f>
        <v>329.89090909090919</v>
      </c>
      <c r="X9" s="144">
        <f t="shared" ref="X9:X72" si="9">IF(C9="CLT",
       I9/12, 0)</f>
        <v>859.09090909090912</v>
      </c>
      <c r="Y9" s="150">
        <f t="shared" ref="Y9:Y72" si="10">IF(C9="CLT",
       X9/3, 0)</f>
        <v>286.36363636363637</v>
      </c>
      <c r="Z9" s="150">
        <f t="shared" ref="Z9:Z72" si="11">IF(C9="CLT",
       I9/12, 0)</f>
        <v>859.09090909090912</v>
      </c>
      <c r="AA9" s="150">
        <f t="shared" ref="AA9:AA72" si="12">IF(C9="CLT", I9*$S$2,0)</f>
        <v>2835.0000000000005</v>
      </c>
      <c r="AB9" s="182">
        <f t="shared" ref="AB9:AB72" si="13">IF(C9="CLT", SUM(X9:Z9) * $M$2,0)</f>
        <v>160.36363636363637</v>
      </c>
      <c r="AC9" s="182">
        <f t="shared" ref="AC9:AC72" si="14">IF(C9="CLT", SUM(X9:Z9)*$S$2,0)</f>
        <v>551.25</v>
      </c>
      <c r="AD9" s="182">
        <f t="shared" ref="AD9:AD72" si="15">IF(C9="CLT",
       I9/30*3, 0)</f>
        <v>1030.909090909091</v>
      </c>
      <c r="AE9" s="180">
        <f t="shared" ref="AE9:AE72" si="16">IF(C9="CLT",  AD9*$M$2, 0)</f>
        <v>82.472727272727283</v>
      </c>
      <c r="AF9" s="150">
        <f t="shared" ref="AF9:AF72" si="17">IF(C9="CLT",
       I9*$M$4, 0)</f>
        <v>927.81818181818187</v>
      </c>
      <c r="AG9" s="150"/>
      <c r="AH9" s="150">
        <f t="shared" ref="AH9:AH72" si="18">IF(B9&lt;&gt;"",
IF(C9="CLT",
       $Q$2, 0),0)</f>
        <v>600</v>
      </c>
      <c r="AI9" s="150">
        <f>SUM(V9:AH9)+H9</f>
        <v>12606.977272727272</v>
      </c>
      <c r="AJ9" s="154">
        <f t="shared" ref="AJ9:AJ72" si="19">IF(E9="Sim", T9*$G$4, 0)</f>
        <v>9750.7870113636382</v>
      </c>
      <c r="AK9" s="70">
        <f t="shared" ref="AK9:AK72" si="20">T9-AJ9-J9-R9</f>
        <v>9727.8709431818206</v>
      </c>
      <c r="AL9" s="155">
        <f t="shared" ref="AL9:AL72" si="21">(IF(AK9&gt;0,AK9/T9,0))</f>
        <v>0.22945945945945947</v>
      </c>
      <c r="AM9" s="155">
        <f t="shared" ref="AM9:AM72" si="22">(IF(AK9&gt;0,AK9/(T9-AJ9),0))</f>
        <v>0.29799929799929803</v>
      </c>
    </row>
    <row r="10" spans="2:39" ht="14.25" hidden="1" customHeight="1" x14ac:dyDescent="0.25">
      <c r="B10" s="174" t="s">
        <v>218</v>
      </c>
      <c r="C10" s="171" t="s">
        <v>109</v>
      </c>
      <c r="D10" s="103">
        <v>168</v>
      </c>
      <c r="E10" s="104" t="s">
        <v>76</v>
      </c>
      <c r="F10" s="92">
        <v>0</v>
      </c>
      <c r="G10" s="219">
        <f>IF(F10&gt;0,F10,
IF(B10&lt;&gt;"",
IF(C10="CLT",VLOOKUP(B10,'Lista Profissionais'!$C$11:$H$348,3,0),
VLOOKUP(B10,'Lista Profissionais'!$C$11:$H$348,6,0)), 0))</f>
        <v>3920</v>
      </c>
      <c r="H10" s="219">
        <f>IF(B10&lt;&gt;"",
IF(C10="CLT",
       22*$M$5 + (G10*'Lista Profissionais'!$G$9),0),0)</f>
        <v>1884</v>
      </c>
      <c r="I10" s="66">
        <f t="shared" si="0"/>
        <v>3741.818181818182</v>
      </c>
      <c r="J10" s="66">
        <f t="shared" si="1"/>
        <v>9400.6469696969689</v>
      </c>
      <c r="K10" s="66">
        <f t="shared" si="2"/>
        <v>13400.622255303029</v>
      </c>
      <c r="L10" s="93">
        <f t="shared" ref="L10:L73" si="23">IF(D10&gt;0,J10/D10,0)</f>
        <v>55.956231962481958</v>
      </c>
      <c r="M10" s="151"/>
      <c r="N10" s="152">
        <v>0</v>
      </c>
      <c r="O10" s="69">
        <f t="shared" si="3"/>
        <v>0</v>
      </c>
      <c r="P10" s="69">
        <f t="shared" si="4"/>
        <v>17391.196893939392</v>
      </c>
      <c r="Q10" s="70">
        <f t="shared" si="5"/>
        <v>17391.196893939392</v>
      </c>
      <c r="R10" s="153">
        <f t="shared" ref="R10:R73" si="24">IF(E10="Sim", Q10*$G$3,0)</f>
        <v>0</v>
      </c>
      <c r="S10" s="70">
        <v>0</v>
      </c>
      <c r="T10" s="165">
        <f t="shared" si="6"/>
        <v>17391.196893939392</v>
      </c>
      <c r="U10" s="163">
        <f t="shared" si="7"/>
        <v>103.51902913059162</v>
      </c>
      <c r="V10" s="164">
        <f t="shared" ref="V10:V73" si="25">IF(C10="CLT",
       I10*$M$2, 0)</f>
        <v>299.34545454545457</v>
      </c>
      <c r="W10" s="164">
        <f t="shared" si="8"/>
        <v>119.73818181818183</v>
      </c>
      <c r="X10" s="144">
        <f t="shared" si="9"/>
        <v>311.81818181818181</v>
      </c>
      <c r="Y10" s="150">
        <f t="shared" si="10"/>
        <v>103.93939393939394</v>
      </c>
      <c r="Z10" s="150">
        <f t="shared" si="11"/>
        <v>311.81818181818181</v>
      </c>
      <c r="AA10" s="150">
        <f t="shared" si="12"/>
        <v>1029.0000000000002</v>
      </c>
      <c r="AB10" s="182">
        <f t="shared" si="13"/>
        <v>58.206060606060603</v>
      </c>
      <c r="AC10" s="182">
        <f t="shared" si="14"/>
        <v>200.08333333333334</v>
      </c>
      <c r="AD10" s="182">
        <f t="shared" si="15"/>
        <v>374.18181818181819</v>
      </c>
      <c r="AE10" s="180">
        <f t="shared" si="16"/>
        <v>29.934545454545457</v>
      </c>
      <c r="AF10" s="150">
        <f t="shared" si="17"/>
        <v>336.76363636363635</v>
      </c>
      <c r="AG10" s="150"/>
      <c r="AH10" s="150">
        <f t="shared" si="18"/>
        <v>600</v>
      </c>
      <c r="AI10" s="150">
        <f t="shared" ref="AI10:AI81" si="26">SUM(V10:AH10)+H10</f>
        <v>5658.8287878787878</v>
      </c>
      <c r="AJ10" s="154">
        <f t="shared" si="19"/>
        <v>3999.9752856060604</v>
      </c>
      <c r="AK10" s="70">
        <f t="shared" si="20"/>
        <v>3990.5746386363626</v>
      </c>
      <c r="AL10" s="155">
        <f t="shared" si="21"/>
        <v>0.22945945945945942</v>
      </c>
      <c r="AM10" s="155">
        <f t="shared" si="22"/>
        <v>0.29799929799929797</v>
      </c>
    </row>
    <row r="11" spans="2:39" ht="14.25" hidden="1" customHeight="1" x14ac:dyDescent="0.25">
      <c r="B11" s="174" t="s">
        <v>245</v>
      </c>
      <c r="C11" s="171" t="s">
        <v>109</v>
      </c>
      <c r="D11" s="103">
        <v>168</v>
      </c>
      <c r="E11" s="104" t="s">
        <v>76</v>
      </c>
      <c r="F11" s="92">
        <v>0</v>
      </c>
      <c r="G11" s="219">
        <f>IF(F11&gt;0,F11,
IF(B11&lt;&gt;"",
IF(C11="CLT",VLOOKUP(B11,'Lista Profissionais'!$C$11:$H$348,3,0),
VLOOKUP(B11,'Lista Profissionais'!$C$11:$H$348,6,0)), 0))</f>
        <v>6320</v>
      </c>
      <c r="H11" s="219">
        <f>IF(B11&lt;&gt;"",
IF(C11="CLT",
       22*$M$5 + (G11*'Lista Profissionais'!$G$9),0),0)</f>
        <v>2364</v>
      </c>
      <c r="I11" s="66">
        <f t="shared" si="0"/>
        <v>6032.7272727272721</v>
      </c>
      <c r="J11" s="66">
        <f t="shared" si="1"/>
        <v>14115.328787878787</v>
      </c>
      <c r="K11" s="66">
        <f t="shared" si="2"/>
        <v>20121.401187121213</v>
      </c>
      <c r="L11" s="93">
        <f t="shared" si="23"/>
        <v>84.019814213564203</v>
      </c>
      <c r="M11" s="151"/>
      <c r="N11" s="152">
        <v>0</v>
      </c>
      <c r="O11" s="69">
        <f t="shared" si="3"/>
        <v>0</v>
      </c>
      <c r="P11" s="69">
        <f t="shared" si="4"/>
        <v>26113.358257575757</v>
      </c>
      <c r="Q11" s="70">
        <f t="shared" si="5"/>
        <v>26113.358257575757</v>
      </c>
      <c r="R11" s="153">
        <f t="shared" si="24"/>
        <v>0</v>
      </c>
      <c r="S11" s="70">
        <v>0</v>
      </c>
      <c r="T11" s="165">
        <f t="shared" si="6"/>
        <v>26113.358257575757</v>
      </c>
      <c r="U11" s="163">
        <f t="shared" si="7"/>
        <v>155.4366562950938</v>
      </c>
      <c r="V11" s="164">
        <f t="shared" si="25"/>
        <v>482.61818181818177</v>
      </c>
      <c r="W11" s="164">
        <f t="shared" si="8"/>
        <v>193.04727272727271</v>
      </c>
      <c r="X11" s="144">
        <f t="shared" si="9"/>
        <v>502.72727272727269</v>
      </c>
      <c r="Y11" s="150">
        <f t="shared" si="10"/>
        <v>167.57575757575756</v>
      </c>
      <c r="Z11" s="150">
        <f t="shared" si="11"/>
        <v>502.72727272727269</v>
      </c>
      <c r="AA11" s="150">
        <f t="shared" si="12"/>
        <v>1659</v>
      </c>
      <c r="AB11" s="182">
        <f t="shared" si="13"/>
        <v>93.842424242424244</v>
      </c>
      <c r="AC11" s="182">
        <f t="shared" si="14"/>
        <v>322.58333333333337</v>
      </c>
      <c r="AD11" s="182">
        <f t="shared" si="15"/>
        <v>603.27272727272725</v>
      </c>
      <c r="AE11" s="180">
        <f t="shared" si="16"/>
        <v>48.261818181818178</v>
      </c>
      <c r="AF11" s="150">
        <f t="shared" si="17"/>
        <v>542.94545454545448</v>
      </c>
      <c r="AG11" s="150"/>
      <c r="AH11" s="150">
        <f t="shared" si="18"/>
        <v>600</v>
      </c>
      <c r="AI11" s="150">
        <f t="shared" si="26"/>
        <v>8082.6015151515148</v>
      </c>
      <c r="AJ11" s="154">
        <f t="shared" si="19"/>
        <v>6006.0723992424246</v>
      </c>
      <c r="AK11" s="70">
        <f t="shared" si="20"/>
        <v>5991.9570704545458</v>
      </c>
      <c r="AL11" s="155">
        <f t="shared" si="21"/>
        <v>0.22945945945945947</v>
      </c>
      <c r="AM11" s="155">
        <f t="shared" si="22"/>
        <v>0.29799929799929803</v>
      </c>
    </row>
    <row r="12" spans="2:39" ht="14.25" hidden="1" customHeight="1" x14ac:dyDescent="0.25">
      <c r="B12" s="174" t="s">
        <v>246</v>
      </c>
      <c r="C12" s="171" t="s">
        <v>109</v>
      </c>
      <c r="D12" s="103">
        <v>168</v>
      </c>
      <c r="E12" s="104" t="s">
        <v>76</v>
      </c>
      <c r="F12" s="92">
        <v>0</v>
      </c>
      <c r="G12" s="219">
        <f>IF(F12&gt;0,F12,
IF(B12&lt;&gt;"",
IF(C12="CLT",VLOOKUP(B12,'Lista Profissionais'!$C$11:$H$348,3,0),
VLOOKUP(B12,'Lista Profissionais'!$C$11:$H$348,6,0)), 0))</f>
        <v>9200</v>
      </c>
      <c r="H12" s="219">
        <f>IF(B12&lt;&gt;"",
IF(C12="CLT",
       22*$M$5 + (G12*'Lista Profissionais'!$G$9),0),0)</f>
        <v>2940</v>
      </c>
      <c r="I12" s="66">
        <f t="shared" si="0"/>
        <v>8781.818181818182</v>
      </c>
      <c r="J12" s="66">
        <f t="shared" si="1"/>
        <v>19772.946969696968</v>
      </c>
      <c r="K12" s="66">
        <f t="shared" si="2"/>
        <v>28186.335905303029</v>
      </c>
      <c r="L12" s="93">
        <f t="shared" si="23"/>
        <v>117.69611291486291</v>
      </c>
      <c r="M12" s="151"/>
      <c r="N12" s="152">
        <v>0</v>
      </c>
      <c r="O12" s="69">
        <f t="shared" si="3"/>
        <v>0</v>
      </c>
      <c r="P12" s="69">
        <f t="shared" si="4"/>
        <v>36579.951893939389</v>
      </c>
      <c r="Q12" s="70">
        <f t="shared" si="5"/>
        <v>36579.951893939389</v>
      </c>
      <c r="R12" s="153">
        <f t="shared" si="24"/>
        <v>0</v>
      </c>
      <c r="S12" s="70">
        <v>0</v>
      </c>
      <c r="T12" s="165">
        <f t="shared" si="6"/>
        <v>36579.951893939389</v>
      </c>
      <c r="U12" s="163">
        <f>IF(D12&gt;0,T12/D12,0)</f>
        <v>217.73780889249636</v>
      </c>
      <c r="V12" s="164">
        <f t="shared" si="25"/>
        <v>702.54545454545462</v>
      </c>
      <c r="W12" s="164">
        <f t="shared" si="8"/>
        <v>281.01818181818186</v>
      </c>
      <c r="X12" s="144">
        <f t="shared" si="9"/>
        <v>731.81818181818187</v>
      </c>
      <c r="Y12" s="150">
        <f t="shared" si="10"/>
        <v>243.93939393939397</v>
      </c>
      <c r="Z12" s="150">
        <f t="shared" si="11"/>
        <v>731.81818181818187</v>
      </c>
      <c r="AA12" s="150">
        <f t="shared" si="12"/>
        <v>2415.0000000000005</v>
      </c>
      <c r="AB12" s="182">
        <f t="shared" si="13"/>
        <v>136.60606060606062</v>
      </c>
      <c r="AC12" s="182">
        <f t="shared" si="14"/>
        <v>469.58333333333343</v>
      </c>
      <c r="AD12" s="182">
        <f t="shared" si="15"/>
        <v>878.18181818181824</v>
      </c>
      <c r="AE12" s="180">
        <f t="shared" si="16"/>
        <v>70.254545454545465</v>
      </c>
      <c r="AF12" s="150">
        <f t="shared" si="17"/>
        <v>790.36363636363637</v>
      </c>
      <c r="AG12" s="150"/>
      <c r="AH12" s="150">
        <f t="shared" si="18"/>
        <v>600</v>
      </c>
      <c r="AI12" s="150">
        <f t="shared" si="26"/>
        <v>10991.128787878788</v>
      </c>
      <c r="AJ12" s="154">
        <f t="shared" si="19"/>
        <v>8413.388935606059</v>
      </c>
      <c r="AK12" s="70">
        <f t="shared" si="20"/>
        <v>8393.6159886363603</v>
      </c>
      <c r="AL12" s="155">
        <f t="shared" si="21"/>
        <v>0.22945945945945939</v>
      </c>
      <c r="AM12" s="155">
        <f t="shared" si="22"/>
        <v>0.29799929799929792</v>
      </c>
    </row>
    <row r="13" spans="2:39" ht="14.25" hidden="1" customHeight="1" x14ac:dyDescent="0.25">
      <c r="B13" s="174" t="s">
        <v>247</v>
      </c>
      <c r="C13" s="171" t="s">
        <v>109</v>
      </c>
      <c r="D13" s="103">
        <v>168</v>
      </c>
      <c r="E13" s="104" t="s">
        <v>76</v>
      </c>
      <c r="F13" s="92">
        <v>0</v>
      </c>
      <c r="G13" s="219">
        <f>IF(F13&gt;0,F13,
IF(B13&lt;&gt;"",
IF(C13="CLT",VLOOKUP(B13,'Lista Profissionais'!$C$11:$H$348,3,0),
VLOOKUP(B13,'Lista Profissionais'!$C$11:$H$348,6,0)), 0))</f>
        <v>8800</v>
      </c>
      <c r="H13" s="219">
        <f>IF(B13&lt;&gt;"",
IF(C13="CLT",
       22*$M$5 + (G13*'Lista Profissionais'!$G$9),0),0)</f>
        <v>2860</v>
      </c>
      <c r="I13" s="66">
        <f t="shared" si="0"/>
        <v>8400</v>
      </c>
      <c r="J13" s="66">
        <f t="shared" si="1"/>
        <v>18987.166666666668</v>
      </c>
      <c r="K13" s="66">
        <f t="shared" si="2"/>
        <v>27066.206083333338</v>
      </c>
      <c r="L13" s="93">
        <f t="shared" si="23"/>
        <v>113.01884920634922</v>
      </c>
      <c r="M13" s="151"/>
      <c r="N13" s="152">
        <v>0</v>
      </c>
      <c r="O13" s="69">
        <f t="shared" si="3"/>
        <v>0</v>
      </c>
      <c r="P13" s="69">
        <f t="shared" si="4"/>
        <v>35126.258333333339</v>
      </c>
      <c r="Q13" s="70">
        <f t="shared" si="5"/>
        <v>35126.258333333339</v>
      </c>
      <c r="R13" s="153">
        <f t="shared" si="24"/>
        <v>0</v>
      </c>
      <c r="S13" s="70">
        <v>0</v>
      </c>
      <c r="T13" s="165">
        <f t="shared" si="6"/>
        <v>35126.258333333339</v>
      </c>
      <c r="U13" s="163">
        <f t="shared" si="7"/>
        <v>209.08487103174608</v>
      </c>
      <c r="V13" s="164">
        <f t="shared" si="25"/>
        <v>672</v>
      </c>
      <c r="W13" s="164">
        <f t="shared" si="8"/>
        <v>268.8</v>
      </c>
      <c r="X13" s="144">
        <f t="shared" si="9"/>
        <v>700</v>
      </c>
      <c r="Y13" s="150">
        <f t="shared" si="10"/>
        <v>233.33333333333334</v>
      </c>
      <c r="Z13" s="150">
        <f t="shared" si="11"/>
        <v>700</v>
      </c>
      <c r="AA13" s="150">
        <f t="shared" si="12"/>
        <v>2310</v>
      </c>
      <c r="AB13" s="182">
        <f t="shared" si="13"/>
        <v>130.66666666666669</v>
      </c>
      <c r="AC13" s="182">
        <f t="shared" si="14"/>
        <v>449.16666666666674</v>
      </c>
      <c r="AD13" s="182">
        <f t="shared" si="15"/>
        <v>840</v>
      </c>
      <c r="AE13" s="180">
        <f t="shared" si="16"/>
        <v>67.2</v>
      </c>
      <c r="AF13" s="150">
        <f t="shared" si="17"/>
        <v>756</v>
      </c>
      <c r="AG13" s="150"/>
      <c r="AH13" s="150">
        <f t="shared" si="18"/>
        <v>600</v>
      </c>
      <c r="AI13" s="150">
        <f t="shared" si="26"/>
        <v>10587.166666666668</v>
      </c>
      <c r="AJ13" s="154">
        <f t="shared" si="19"/>
        <v>8079.0394166666683</v>
      </c>
      <c r="AK13" s="70">
        <f t="shared" si="20"/>
        <v>8060.0522500000043</v>
      </c>
      <c r="AL13" s="155">
        <f t="shared" si="21"/>
        <v>0.22945945945945956</v>
      </c>
      <c r="AM13" s="155">
        <f t="shared" si="22"/>
        <v>0.29799929799929809</v>
      </c>
    </row>
    <row r="14" spans="2:39" ht="14.25" hidden="1" customHeight="1" x14ac:dyDescent="0.25">
      <c r="B14" s="174" t="s">
        <v>248</v>
      </c>
      <c r="C14" s="171" t="s">
        <v>109</v>
      </c>
      <c r="D14" s="103">
        <v>168</v>
      </c>
      <c r="E14" s="104" t="s">
        <v>76</v>
      </c>
      <c r="F14" s="92">
        <v>0</v>
      </c>
      <c r="G14" s="219">
        <f>IF(F14&gt;0,F14,
IF(B14&lt;&gt;"",
IF(C14="CLT",VLOOKUP(B14,'Lista Profissionais'!$C$11:$H$348,3,0),
VLOOKUP(B14,'Lista Profissionais'!$C$11:$H$348,6,0)), 0))</f>
        <v>3360</v>
      </c>
      <c r="H14" s="219">
        <f>IF(B14&lt;&gt;"",
IF(C14="CLT",
       22*$M$5 + (G14*'Lista Profissionais'!$G$9),0),0)</f>
        <v>1772</v>
      </c>
      <c r="I14" s="66">
        <f t="shared" si="0"/>
        <v>3207.272727272727</v>
      </c>
      <c r="J14" s="66">
        <f t="shared" si="1"/>
        <v>8300.5545454545463</v>
      </c>
      <c r="K14" s="66">
        <f t="shared" si="2"/>
        <v>11832.440504545455</v>
      </c>
      <c r="L14" s="93">
        <f t="shared" si="23"/>
        <v>49.408062770562779</v>
      </c>
      <c r="M14" s="151"/>
      <c r="N14" s="152">
        <v>0</v>
      </c>
      <c r="O14" s="69">
        <f t="shared" si="3"/>
        <v>0</v>
      </c>
      <c r="P14" s="69">
        <f t="shared" si="4"/>
        <v>15356.025909090911</v>
      </c>
      <c r="Q14" s="70">
        <f t="shared" si="5"/>
        <v>15356.025909090911</v>
      </c>
      <c r="R14" s="153">
        <f t="shared" si="24"/>
        <v>0</v>
      </c>
      <c r="S14" s="70">
        <v>0</v>
      </c>
      <c r="T14" s="165">
        <f t="shared" si="6"/>
        <v>15356.025909090911</v>
      </c>
      <c r="U14" s="163">
        <f t="shared" si="7"/>
        <v>91.404916125541135</v>
      </c>
      <c r="V14" s="164">
        <f t="shared" si="25"/>
        <v>256.58181818181816</v>
      </c>
      <c r="W14" s="164">
        <f t="shared" si="8"/>
        <v>102.63272727272727</v>
      </c>
      <c r="X14" s="144">
        <f t="shared" si="9"/>
        <v>267.27272727272725</v>
      </c>
      <c r="Y14" s="150">
        <f t="shared" si="10"/>
        <v>89.090909090909079</v>
      </c>
      <c r="Z14" s="150">
        <f t="shared" si="11"/>
        <v>267.27272727272725</v>
      </c>
      <c r="AA14" s="150">
        <f t="shared" si="12"/>
        <v>882</v>
      </c>
      <c r="AB14" s="182">
        <f t="shared" si="13"/>
        <v>49.890909090909084</v>
      </c>
      <c r="AC14" s="182">
        <f t="shared" si="14"/>
        <v>171.49999999999997</v>
      </c>
      <c r="AD14" s="182">
        <f t="shared" si="15"/>
        <v>320.72727272727275</v>
      </c>
      <c r="AE14" s="180">
        <f t="shared" si="16"/>
        <v>25.65818181818182</v>
      </c>
      <c r="AF14" s="150">
        <f t="shared" si="17"/>
        <v>288.65454545454543</v>
      </c>
      <c r="AG14" s="150"/>
      <c r="AH14" s="150">
        <f t="shared" si="18"/>
        <v>600</v>
      </c>
      <c r="AI14" s="150">
        <f t="shared" si="26"/>
        <v>5093.2818181818184</v>
      </c>
      <c r="AJ14" s="154">
        <f t="shared" si="19"/>
        <v>3531.8859590909096</v>
      </c>
      <c r="AK14" s="70">
        <f t="shared" si="20"/>
        <v>3523.5854045454544</v>
      </c>
      <c r="AL14" s="155">
        <f t="shared" si="21"/>
        <v>0.22945945945945942</v>
      </c>
      <c r="AM14" s="155">
        <f t="shared" si="22"/>
        <v>0.29799929799929797</v>
      </c>
    </row>
    <row r="15" spans="2:39" ht="14.25" hidden="1" customHeight="1" x14ac:dyDescent="0.25">
      <c r="B15" s="174" t="s">
        <v>249</v>
      </c>
      <c r="C15" s="171" t="s">
        <v>109</v>
      </c>
      <c r="D15" s="103">
        <v>168</v>
      </c>
      <c r="E15" s="104" t="s">
        <v>76</v>
      </c>
      <c r="F15" s="92">
        <v>0</v>
      </c>
      <c r="G15" s="219">
        <f>IF(F15&gt;0,F15,
IF(B15&lt;&gt;"",
IF(C15="CLT",VLOOKUP(B15,'Lista Profissionais'!$C$11:$H$348,3,0),
VLOOKUP(B15,'Lista Profissionais'!$C$11:$H$348,6,0)), 0))</f>
        <v>6000</v>
      </c>
      <c r="H15" s="219">
        <f>IF(B15&lt;&gt;"",
IF(C15="CLT",
       22*$M$5 + (G15*'Lista Profissionais'!$G$9),0),0)</f>
        <v>2300</v>
      </c>
      <c r="I15" s="66">
        <f t="shared" si="0"/>
        <v>5727.2727272727279</v>
      </c>
      <c r="J15" s="66">
        <f t="shared" si="1"/>
        <v>13486.704545454546</v>
      </c>
      <c r="K15" s="66">
        <f t="shared" si="2"/>
        <v>19225.297329545458</v>
      </c>
      <c r="L15" s="93">
        <f t="shared" si="23"/>
        <v>80.278003246753244</v>
      </c>
      <c r="M15" s="151"/>
      <c r="N15" s="152">
        <v>0</v>
      </c>
      <c r="O15" s="69">
        <f t="shared" si="3"/>
        <v>0</v>
      </c>
      <c r="P15" s="69">
        <f t="shared" si="4"/>
        <v>24950.403409090912</v>
      </c>
      <c r="Q15" s="70">
        <f t="shared" si="5"/>
        <v>24950.403409090912</v>
      </c>
      <c r="R15" s="153">
        <f t="shared" si="24"/>
        <v>0</v>
      </c>
      <c r="S15" s="70">
        <v>0</v>
      </c>
      <c r="T15" s="165">
        <f t="shared" si="6"/>
        <v>24950.403409090912</v>
      </c>
      <c r="U15" s="163">
        <f t="shared" si="7"/>
        <v>148.51430600649351</v>
      </c>
      <c r="V15" s="164">
        <f t="shared" si="25"/>
        <v>458.18181818181824</v>
      </c>
      <c r="W15" s="164">
        <f t="shared" si="8"/>
        <v>183.27272727272731</v>
      </c>
      <c r="X15" s="144">
        <f t="shared" si="9"/>
        <v>477.27272727272731</v>
      </c>
      <c r="Y15" s="150">
        <f t="shared" si="10"/>
        <v>159.09090909090909</v>
      </c>
      <c r="Z15" s="150">
        <f t="shared" si="11"/>
        <v>477.27272727272731</v>
      </c>
      <c r="AA15" s="150">
        <f t="shared" si="12"/>
        <v>1575.0000000000002</v>
      </c>
      <c r="AB15" s="182">
        <f t="shared" si="13"/>
        <v>89.090909090909108</v>
      </c>
      <c r="AC15" s="182">
        <f t="shared" si="14"/>
        <v>306.25000000000006</v>
      </c>
      <c r="AD15" s="182">
        <f t="shared" si="15"/>
        <v>572.72727272727275</v>
      </c>
      <c r="AE15" s="180">
        <f t="shared" si="16"/>
        <v>45.81818181818182</v>
      </c>
      <c r="AF15" s="150">
        <f t="shared" si="17"/>
        <v>515.4545454545455</v>
      </c>
      <c r="AG15" s="150"/>
      <c r="AH15" s="150">
        <f t="shared" si="18"/>
        <v>600</v>
      </c>
      <c r="AI15" s="150">
        <f t="shared" si="26"/>
        <v>7759.431818181818</v>
      </c>
      <c r="AJ15" s="154">
        <f t="shared" si="19"/>
        <v>5738.5927840909098</v>
      </c>
      <c r="AK15" s="70">
        <f t="shared" si="20"/>
        <v>5725.1060795454559</v>
      </c>
      <c r="AL15" s="155">
        <f t="shared" si="21"/>
        <v>0.2294594594594595</v>
      </c>
      <c r="AM15" s="155">
        <f t="shared" si="22"/>
        <v>0.29799929799929803</v>
      </c>
    </row>
    <row r="16" spans="2:39" ht="14.25" hidden="1" customHeight="1" x14ac:dyDescent="0.25">
      <c r="B16" s="174" t="s">
        <v>250</v>
      </c>
      <c r="C16" s="171" t="s">
        <v>109</v>
      </c>
      <c r="D16" s="103">
        <v>168</v>
      </c>
      <c r="E16" s="104" t="s">
        <v>76</v>
      </c>
      <c r="F16" s="92">
        <v>0</v>
      </c>
      <c r="G16" s="219">
        <f>IF(F16&gt;0,F16,
IF(B16&lt;&gt;"",
IF(C16="CLT",VLOOKUP(B16,'Lista Profissionais'!$C$11:$H$348,3,0),
VLOOKUP(B16,'Lista Profissionais'!$C$11:$H$348,6,0)), 0))</f>
        <v>7600</v>
      </c>
      <c r="H16" s="219">
        <f>IF(B16&lt;&gt;"",
IF(C16="CLT",
       22*$M$5 + (G16*'Lista Profissionais'!$G$9),0),0)</f>
        <v>2620</v>
      </c>
      <c r="I16" s="66">
        <f t="shared" si="0"/>
        <v>7254.545454545454</v>
      </c>
      <c r="J16" s="66">
        <f t="shared" si="1"/>
        <v>16629.82575757576</v>
      </c>
      <c r="K16" s="66">
        <f t="shared" si="2"/>
        <v>23705.816617424247</v>
      </c>
      <c r="L16" s="93">
        <f t="shared" si="23"/>
        <v>98.987058080808097</v>
      </c>
      <c r="M16" s="151"/>
      <c r="N16" s="152">
        <v>0</v>
      </c>
      <c r="O16" s="69">
        <f t="shared" si="3"/>
        <v>0</v>
      </c>
      <c r="P16" s="69">
        <f t="shared" si="4"/>
        <v>30765.177651515158</v>
      </c>
      <c r="Q16" s="70">
        <f t="shared" si="5"/>
        <v>30765.177651515158</v>
      </c>
      <c r="R16" s="153">
        <f t="shared" si="24"/>
        <v>0</v>
      </c>
      <c r="S16" s="70">
        <v>0</v>
      </c>
      <c r="T16" s="165">
        <f t="shared" si="6"/>
        <v>30765.177651515158</v>
      </c>
      <c r="U16" s="163">
        <f t="shared" si="7"/>
        <v>183.12605744949499</v>
      </c>
      <c r="V16" s="164">
        <f t="shared" si="25"/>
        <v>580.36363636363637</v>
      </c>
      <c r="W16" s="164">
        <f t="shared" si="8"/>
        <v>232.14545454545456</v>
      </c>
      <c r="X16" s="144">
        <f t="shared" si="9"/>
        <v>604.5454545454545</v>
      </c>
      <c r="Y16" s="150">
        <f t="shared" si="10"/>
        <v>201.5151515151515</v>
      </c>
      <c r="Z16" s="150">
        <f t="shared" si="11"/>
        <v>604.5454545454545</v>
      </c>
      <c r="AA16" s="150">
        <f t="shared" si="12"/>
        <v>1995</v>
      </c>
      <c r="AB16" s="182">
        <f t="shared" si="13"/>
        <v>112.84848484848484</v>
      </c>
      <c r="AC16" s="182">
        <f t="shared" si="14"/>
        <v>387.91666666666669</v>
      </c>
      <c r="AD16" s="182">
        <f t="shared" si="15"/>
        <v>725.4545454545455</v>
      </c>
      <c r="AE16" s="180">
        <f t="shared" si="16"/>
        <v>58.036363636363639</v>
      </c>
      <c r="AF16" s="150">
        <f t="shared" si="17"/>
        <v>652.90909090909088</v>
      </c>
      <c r="AG16" s="150"/>
      <c r="AH16" s="150">
        <f t="shared" si="18"/>
        <v>600</v>
      </c>
      <c r="AI16" s="150">
        <f t="shared" si="26"/>
        <v>9375.2803030303039</v>
      </c>
      <c r="AJ16" s="154">
        <f t="shared" si="19"/>
        <v>7075.9908598484863</v>
      </c>
      <c r="AK16" s="70">
        <f t="shared" si="20"/>
        <v>7059.3610340909108</v>
      </c>
      <c r="AL16" s="155">
        <f t="shared" si="21"/>
        <v>0.22945945945945947</v>
      </c>
      <c r="AM16" s="155">
        <f t="shared" si="22"/>
        <v>0.29799929799929803</v>
      </c>
    </row>
    <row r="17" spans="2:39" ht="14.25" hidden="1" customHeight="1" x14ac:dyDescent="0.25">
      <c r="B17" s="174" t="s">
        <v>251</v>
      </c>
      <c r="C17" s="171" t="s">
        <v>109</v>
      </c>
      <c r="D17" s="103">
        <v>168</v>
      </c>
      <c r="E17" s="104" t="s">
        <v>76</v>
      </c>
      <c r="F17" s="92">
        <v>0</v>
      </c>
      <c r="G17" s="219">
        <f>IF(F17&gt;0,F17,
IF(B17&lt;&gt;"",
IF(C17="CLT",VLOOKUP(B17,'Lista Profissionais'!$C$11:$H$348,3,0),
VLOOKUP(B17,'Lista Profissionais'!$C$11:$H$348,6,0)), 0))</f>
        <v>10800</v>
      </c>
      <c r="H17" s="219">
        <f>IF(B17&lt;&gt;"",
IF(C17="CLT",
       22*$M$5 + (G17*'Lista Profissionais'!$G$9),0),0)</f>
        <v>3260</v>
      </c>
      <c r="I17" s="66">
        <f t="shared" si="0"/>
        <v>10309.09090909091</v>
      </c>
      <c r="J17" s="66">
        <f t="shared" si="1"/>
        <v>22916.068181818184</v>
      </c>
      <c r="K17" s="66">
        <f t="shared" si="2"/>
        <v>32666.855193181822</v>
      </c>
      <c r="L17" s="93">
        <f t="shared" si="23"/>
        <v>136.40516774891776</v>
      </c>
      <c r="M17" s="151"/>
      <c r="N17" s="152">
        <v>0</v>
      </c>
      <c r="O17" s="69">
        <f t="shared" si="3"/>
        <v>0</v>
      </c>
      <c r="P17" s="69">
        <f t="shared" si="4"/>
        <v>42394.726136363643</v>
      </c>
      <c r="Q17" s="70">
        <f t="shared" si="5"/>
        <v>42394.726136363643</v>
      </c>
      <c r="R17" s="153">
        <f t="shared" si="24"/>
        <v>0</v>
      </c>
      <c r="S17" s="70">
        <v>0</v>
      </c>
      <c r="T17" s="165">
        <f t="shared" si="6"/>
        <v>42394.726136363643</v>
      </c>
      <c r="U17" s="163">
        <f t="shared" si="7"/>
        <v>252.34956033549787</v>
      </c>
      <c r="V17" s="164">
        <f t="shared" si="25"/>
        <v>824.72727272727286</v>
      </c>
      <c r="W17" s="164">
        <f t="shared" si="8"/>
        <v>329.89090909090919</v>
      </c>
      <c r="X17" s="144">
        <f t="shared" si="9"/>
        <v>859.09090909090912</v>
      </c>
      <c r="Y17" s="150">
        <f t="shared" si="10"/>
        <v>286.36363636363637</v>
      </c>
      <c r="Z17" s="150">
        <f t="shared" si="11"/>
        <v>859.09090909090912</v>
      </c>
      <c r="AA17" s="150">
        <f t="shared" si="12"/>
        <v>2835.0000000000005</v>
      </c>
      <c r="AB17" s="182">
        <f t="shared" si="13"/>
        <v>160.36363636363637</v>
      </c>
      <c r="AC17" s="182">
        <f t="shared" si="14"/>
        <v>551.25</v>
      </c>
      <c r="AD17" s="182">
        <f t="shared" si="15"/>
        <v>1030.909090909091</v>
      </c>
      <c r="AE17" s="180">
        <f t="shared" si="16"/>
        <v>82.472727272727283</v>
      </c>
      <c r="AF17" s="150">
        <f t="shared" si="17"/>
        <v>927.81818181818187</v>
      </c>
      <c r="AG17" s="150"/>
      <c r="AH17" s="150">
        <f t="shared" si="18"/>
        <v>600</v>
      </c>
      <c r="AI17" s="150">
        <f t="shared" si="26"/>
        <v>12606.977272727272</v>
      </c>
      <c r="AJ17" s="154">
        <f t="shared" si="19"/>
        <v>9750.7870113636382</v>
      </c>
      <c r="AK17" s="70">
        <f t="shared" si="20"/>
        <v>9727.8709431818206</v>
      </c>
      <c r="AL17" s="155">
        <f t="shared" si="21"/>
        <v>0.22945945945945947</v>
      </c>
      <c r="AM17" s="155">
        <f t="shared" si="22"/>
        <v>0.29799929799929803</v>
      </c>
    </row>
    <row r="18" spans="2:39" ht="14.25" hidden="1" customHeight="1" x14ac:dyDescent="0.25">
      <c r="B18" s="175" t="s">
        <v>252</v>
      </c>
      <c r="C18" s="171" t="s">
        <v>109</v>
      </c>
      <c r="D18" s="103">
        <v>168</v>
      </c>
      <c r="E18" s="104" t="s">
        <v>76</v>
      </c>
      <c r="F18" s="92">
        <v>0</v>
      </c>
      <c r="G18" s="219">
        <f>IF(F18&gt;0,F18,
IF(B18&lt;&gt;"",
IF(C18="CLT",VLOOKUP(B18,'Lista Profissionais'!$C$11:$H$348,3,0),
VLOOKUP(B18,'Lista Profissionais'!$C$11:$H$348,6,0)), 0))</f>
        <v>3920</v>
      </c>
      <c r="H18" s="219">
        <f>IF(B18&lt;&gt;"",
IF(C18="CLT",
       22*$M$5 + (G18*'Lista Profissionais'!$G$9),0),0)</f>
        <v>1884</v>
      </c>
      <c r="I18" s="66">
        <f t="shared" si="0"/>
        <v>3741.818181818182</v>
      </c>
      <c r="J18" s="66">
        <f t="shared" si="1"/>
        <v>9400.6469696969689</v>
      </c>
      <c r="K18" s="66">
        <f t="shared" si="2"/>
        <v>13400.622255303029</v>
      </c>
      <c r="L18" s="93">
        <f t="shared" si="23"/>
        <v>55.956231962481958</v>
      </c>
      <c r="M18" s="151"/>
      <c r="N18" s="152">
        <v>0</v>
      </c>
      <c r="O18" s="69">
        <f t="shared" si="3"/>
        <v>0</v>
      </c>
      <c r="P18" s="69">
        <f t="shared" si="4"/>
        <v>17391.196893939392</v>
      </c>
      <c r="Q18" s="70">
        <f t="shared" si="5"/>
        <v>17391.196893939392</v>
      </c>
      <c r="R18" s="153">
        <f t="shared" si="24"/>
        <v>0</v>
      </c>
      <c r="S18" s="70">
        <v>0</v>
      </c>
      <c r="T18" s="165">
        <f t="shared" si="6"/>
        <v>17391.196893939392</v>
      </c>
      <c r="U18" s="163">
        <f t="shared" si="7"/>
        <v>103.51902913059162</v>
      </c>
      <c r="V18" s="164">
        <f t="shared" si="25"/>
        <v>299.34545454545457</v>
      </c>
      <c r="W18" s="164">
        <f t="shared" si="8"/>
        <v>119.73818181818183</v>
      </c>
      <c r="X18" s="144">
        <f t="shared" si="9"/>
        <v>311.81818181818181</v>
      </c>
      <c r="Y18" s="150">
        <f t="shared" si="10"/>
        <v>103.93939393939394</v>
      </c>
      <c r="Z18" s="150">
        <f t="shared" si="11"/>
        <v>311.81818181818181</v>
      </c>
      <c r="AA18" s="150">
        <f t="shared" si="12"/>
        <v>1029.0000000000002</v>
      </c>
      <c r="AB18" s="182">
        <f t="shared" si="13"/>
        <v>58.206060606060603</v>
      </c>
      <c r="AC18" s="182">
        <f t="shared" si="14"/>
        <v>200.08333333333334</v>
      </c>
      <c r="AD18" s="182">
        <f t="shared" si="15"/>
        <v>374.18181818181819</v>
      </c>
      <c r="AE18" s="180">
        <f t="shared" si="16"/>
        <v>29.934545454545457</v>
      </c>
      <c r="AF18" s="150">
        <f t="shared" si="17"/>
        <v>336.76363636363635</v>
      </c>
      <c r="AG18" s="150"/>
      <c r="AH18" s="150">
        <f t="shared" si="18"/>
        <v>600</v>
      </c>
      <c r="AI18" s="150">
        <f t="shared" si="26"/>
        <v>5658.8287878787878</v>
      </c>
      <c r="AJ18" s="154">
        <f t="shared" si="19"/>
        <v>3999.9752856060604</v>
      </c>
      <c r="AK18" s="70">
        <f t="shared" si="20"/>
        <v>3990.5746386363626</v>
      </c>
      <c r="AL18" s="155">
        <f t="shared" si="21"/>
        <v>0.22945945945945942</v>
      </c>
      <c r="AM18" s="155">
        <f t="shared" si="22"/>
        <v>0.29799929799929797</v>
      </c>
    </row>
    <row r="19" spans="2:39" ht="14.25" hidden="1" customHeight="1" x14ac:dyDescent="0.25">
      <c r="B19" s="174" t="s">
        <v>253</v>
      </c>
      <c r="C19" s="171" t="s">
        <v>109</v>
      </c>
      <c r="D19" s="103">
        <v>168</v>
      </c>
      <c r="E19" s="104" t="s">
        <v>76</v>
      </c>
      <c r="F19" s="92">
        <v>0</v>
      </c>
      <c r="G19" s="219">
        <f>IF(F19&gt;0,F19,
IF(B19&lt;&gt;"",
IF(C19="CLT",VLOOKUP(B19,'Lista Profissionais'!$C$11:$H$348,3,0),
VLOOKUP(B19,'Lista Profissionais'!$C$11:$H$348,6,0)), 0))</f>
        <v>6000</v>
      </c>
      <c r="H19" s="219">
        <f>IF(B19&lt;&gt;"",
IF(C19="CLT",
       22*$M$5 + (G19*'Lista Profissionais'!$G$9),0),0)</f>
        <v>2300</v>
      </c>
      <c r="I19" s="66">
        <f t="shared" si="0"/>
        <v>5727.2727272727279</v>
      </c>
      <c r="J19" s="66">
        <f t="shared" si="1"/>
        <v>13486.704545454546</v>
      </c>
      <c r="K19" s="66">
        <f t="shared" si="2"/>
        <v>19225.297329545458</v>
      </c>
      <c r="L19" s="93">
        <f t="shared" si="23"/>
        <v>80.278003246753244</v>
      </c>
      <c r="M19" s="151"/>
      <c r="N19" s="152">
        <v>0</v>
      </c>
      <c r="O19" s="69">
        <f t="shared" si="3"/>
        <v>0</v>
      </c>
      <c r="P19" s="69">
        <f t="shared" si="4"/>
        <v>24950.403409090912</v>
      </c>
      <c r="Q19" s="70">
        <f t="shared" si="5"/>
        <v>24950.403409090912</v>
      </c>
      <c r="R19" s="153">
        <f t="shared" si="24"/>
        <v>0</v>
      </c>
      <c r="S19" s="70">
        <v>0</v>
      </c>
      <c r="T19" s="165">
        <f t="shared" si="6"/>
        <v>24950.403409090912</v>
      </c>
      <c r="U19" s="163">
        <f t="shared" si="7"/>
        <v>148.51430600649351</v>
      </c>
      <c r="V19" s="164">
        <f t="shared" si="25"/>
        <v>458.18181818181824</v>
      </c>
      <c r="W19" s="164">
        <f t="shared" si="8"/>
        <v>183.27272727272731</v>
      </c>
      <c r="X19" s="144">
        <f t="shared" si="9"/>
        <v>477.27272727272731</v>
      </c>
      <c r="Y19" s="150">
        <f t="shared" si="10"/>
        <v>159.09090909090909</v>
      </c>
      <c r="Z19" s="150">
        <f t="shared" si="11"/>
        <v>477.27272727272731</v>
      </c>
      <c r="AA19" s="150">
        <f t="shared" si="12"/>
        <v>1575.0000000000002</v>
      </c>
      <c r="AB19" s="182">
        <f t="shared" si="13"/>
        <v>89.090909090909108</v>
      </c>
      <c r="AC19" s="182">
        <f t="shared" si="14"/>
        <v>306.25000000000006</v>
      </c>
      <c r="AD19" s="182">
        <f t="shared" si="15"/>
        <v>572.72727272727275</v>
      </c>
      <c r="AE19" s="180">
        <f t="shared" si="16"/>
        <v>45.81818181818182</v>
      </c>
      <c r="AF19" s="150">
        <f t="shared" si="17"/>
        <v>515.4545454545455</v>
      </c>
      <c r="AG19" s="150"/>
      <c r="AH19" s="150">
        <f t="shared" si="18"/>
        <v>600</v>
      </c>
      <c r="AI19" s="150">
        <f t="shared" si="26"/>
        <v>7759.431818181818</v>
      </c>
      <c r="AJ19" s="154">
        <f t="shared" si="19"/>
        <v>5738.5927840909098</v>
      </c>
      <c r="AK19" s="70">
        <f t="shared" si="20"/>
        <v>5725.1060795454559</v>
      </c>
      <c r="AL19" s="155">
        <f t="shared" si="21"/>
        <v>0.2294594594594595</v>
      </c>
      <c r="AM19" s="155">
        <f t="shared" si="22"/>
        <v>0.29799929799929803</v>
      </c>
    </row>
    <row r="20" spans="2:39" ht="14.25" hidden="1" customHeight="1" x14ac:dyDescent="0.25">
      <c r="B20" s="174" t="s">
        <v>254</v>
      </c>
      <c r="C20" s="171" t="s">
        <v>109</v>
      </c>
      <c r="D20" s="103">
        <v>168</v>
      </c>
      <c r="E20" s="104" t="s">
        <v>76</v>
      </c>
      <c r="F20" s="92">
        <v>0</v>
      </c>
      <c r="G20" s="219">
        <f>IF(F20&gt;0,F20,
IF(B20&lt;&gt;"",
IF(C20="CLT",VLOOKUP(B20,'Lista Profissionais'!$C$11:$H$348,3,0),
VLOOKUP(B20,'Lista Profissionais'!$C$11:$H$348,6,0)), 0))</f>
        <v>8800</v>
      </c>
      <c r="H20" s="219">
        <f>IF(B20&lt;&gt;"",
IF(C20="CLT",
       22*$M$5 + (G20*'Lista Profissionais'!$G$9),0),0)</f>
        <v>2860</v>
      </c>
      <c r="I20" s="66">
        <f t="shared" si="0"/>
        <v>8400</v>
      </c>
      <c r="J20" s="66">
        <f t="shared" si="1"/>
        <v>18987.166666666668</v>
      </c>
      <c r="K20" s="66">
        <f t="shared" si="2"/>
        <v>27066.206083333338</v>
      </c>
      <c r="L20" s="93">
        <f t="shared" si="23"/>
        <v>113.01884920634922</v>
      </c>
      <c r="M20" s="151"/>
      <c r="N20" s="152">
        <v>0</v>
      </c>
      <c r="O20" s="69">
        <f t="shared" si="3"/>
        <v>0</v>
      </c>
      <c r="P20" s="69">
        <f t="shared" si="4"/>
        <v>35126.258333333339</v>
      </c>
      <c r="Q20" s="70">
        <f t="shared" si="5"/>
        <v>35126.258333333339</v>
      </c>
      <c r="R20" s="153">
        <f t="shared" si="24"/>
        <v>0</v>
      </c>
      <c r="S20" s="70">
        <v>0</v>
      </c>
      <c r="T20" s="165">
        <f t="shared" si="6"/>
        <v>35126.258333333339</v>
      </c>
      <c r="U20" s="163">
        <f t="shared" si="7"/>
        <v>209.08487103174608</v>
      </c>
      <c r="V20" s="164">
        <f t="shared" si="25"/>
        <v>672</v>
      </c>
      <c r="W20" s="164">
        <f t="shared" si="8"/>
        <v>268.8</v>
      </c>
      <c r="X20" s="144">
        <f t="shared" si="9"/>
        <v>700</v>
      </c>
      <c r="Y20" s="150">
        <f t="shared" si="10"/>
        <v>233.33333333333334</v>
      </c>
      <c r="Z20" s="150">
        <f t="shared" si="11"/>
        <v>700</v>
      </c>
      <c r="AA20" s="150">
        <f t="shared" si="12"/>
        <v>2310</v>
      </c>
      <c r="AB20" s="182">
        <f t="shared" si="13"/>
        <v>130.66666666666669</v>
      </c>
      <c r="AC20" s="182">
        <f t="shared" si="14"/>
        <v>449.16666666666674</v>
      </c>
      <c r="AD20" s="182">
        <f t="shared" si="15"/>
        <v>840</v>
      </c>
      <c r="AE20" s="180">
        <f t="shared" si="16"/>
        <v>67.2</v>
      </c>
      <c r="AF20" s="150">
        <f t="shared" si="17"/>
        <v>756</v>
      </c>
      <c r="AG20" s="150"/>
      <c r="AH20" s="150">
        <f t="shared" si="18"/>
        <v>600</v>
      </c>
      <c r="AI20" s="150">
        <f t="shared" si="26"/>
        <v>10587.166666666668</v>
      </c>
      <c r="AJ20" s="154">
        <f t="shared" si="19"/>
        <v>8079.0394166666683</v>
      </c>
      <c r="AK20" s="70">
        <f t="shared" si="20"/>
        <v>8060.0522500000043</v>
      </c>
      <c r="AL20" s="155">
        <f t="shared" si="21"/>
        <v>0.22945945945945956</v>
      </c>
      <c r="AM20" s="155">
        <f t="shared" si="22"/>
        <v>0.29799929799929809</v>
      </c>
    </row>
    <row r="21" spans="2:39" ht="14.25" hidden="1" customHeight="1" x14ac:dyDescent="0.25">
      <c r="B21" s="174" t="s">
        <v>255</v>
      </c>
      <c r="C21" s="171" t="s">
        <v>109</v>
      </c>
      <c r="D21" s="103">
        <v>168</v>
      </c>
      <c r="E21" s="104" t="s">
        <v>76</v>
      </c>
      <c r="F21" s="92">
        <v>0</v>
      </c>
      <c r="G21" s="219">
        <f>IF(F21&gt;0,F21,
IF(B21&lt;&gt;"",
IF(C21="CLT",VLOOKUP(B21,'Lista Profissionais'!$C$11:$H$348,3,0),
VLOOKUP(B21,'Lista Profissionais'!$C$11:$H$348,6,0)), 0))</f>
        <v>8800</v>
      </c>
      <c r="H21" s="219">
        <f>IF(B21&lt;&gt;"",
IF(C21="CLT",
       22*$M$5 + (G21*'Lista Profissionais'!$G$9),0),0)</f>
        <v>2860</v>
      </c>
      <c r="I21" s="66">
        <f t="shared" si="0"/>
        <v>8400</v>
      </c>
      <c r="J21" s="66">
        <f t="shared" si="1"/>
        <v>18987.166666666668</v>
      </c>
      <c r="K21" s="66">
        <f t="shared" si="2"/>
        <v>27066.206083333338</v>
      </c>
      <c r="L21" s="93">
        <f t="shared" si="23"/>
        <v>113.01884920634922</v>
      </c>
      <c r="M21" s="151"/>
      <c r="N21" s="152">
        <v>0</v>
      </c>
      <c r="O21" s="69">
        <f t="shared" si="3"/>
        <v>0</v>
      </c>
      <c r="P21" s="69">
        <f t="shared" si="4"/>
        <v>35126.258333333339</v>
      </c>
      <c r="Q21" s="70">
        <f t="shared" si="5"/>
        <v>35126.258333333339</v>
      </c>
      <c r="R21" s="153">
        <f t="shared" si="24"/>
        <v>0</v>
      </c>
      <c r="S21" s="70">
        <v>0</v>
      </c>
      <c r="T21" s="165">
        <f t="shared" si="6"/>
        <v>35126.258333333339</v>
      </c>
      <c r="U21" s="163">
        <f t="shared" si="7"/>
        <v>209.08487103174608</v>
      </c>
      <c r="V21" s="164">
        <f t="shared" si="25"/>
        <v>672</v>
      </c>
      <c r="W21" s="164">
        <f t="shared" si="8"/>
        <v>268.8</v>
      </c>
      <c r="X21" s="144">
        <f t="shared" si="9"/>
        <v>700</v>
      </c>
      <c r="Y21" s="150">
        <f t="shared" si="10"/>
        <v>233.33333333333334</v>
      </c>
      <c r="Z21" s="150">
        <f t="shared" si="11"/>
        <v>700</v>
      </c>
      <c r="AA21" s="150">
        <f t="shared" si="12"/>
        <v>2310</v>
      </c>
      <c r="AB21" s="182">
        <f t="shared" si="13"/>
        <v>130.66666666666669</v>
      </c>
      <c r="AC21" s="182">
        <f t="shared" si="14"/>
        <v>449.16666666666674</v>
      </c>
      <c r="AD21" s="182">
        <f t="shared" si="15"/>
        <v>840</v>
      </c>
      <c r="AE21" s="180">
        <f t="shared" si="16"/>
        <v>67.2</v>
      </c>
      <c r="AF21" s="150">
        <f t="shared" si="17"/>
        <v>756</v>
      </c>
      <c r="AG21" s="150"/>
      <c r="AH21" s="150">
        <f t="shared" si="18"/>
        <v>600</v>
      </c>
      <c r="AI21" s="150">
        <f t="shared" si="26"/>
        <v>10587.166666666668</v>
      </c>
      <c r="AJ21" s="154">
        <f t="shared" si="19"/>
        <v>8079.0394166666683</v>
      </c>
      <c r="AK21" s="70">
        <f t="shared" si="20"/>
        <v>8060.0522500000043</v>
      </c>
      <c r="AL21" s="155">
        <f t="shared" si="21"/>
        <v>0.22945945945945956</v>
      </c>
      <c r="AM21" s="155">
        <f t="shared" si="22"/>
        <v>0.29799929799929809</v>
      </c>
    </row>
    <row r="22" spans="2:39" ht="14.25" hidden="1" customHeight="1" x14ac:dyDescent="0.25">
      <c r="B22" s="174" t="s">
        <v>256</v>
      </c>
      <c r="C22" s="171" t="s">
        <v>109</v>
      </c>
      <c r="D22" s="103">
        <v>168</v>
      </c>
      <c r="E22" s="104" t="s">
        <v>76</v>
      </c>
      <c r="F22" s="92">
        <v>0</v>
      </c>
      <c r="G22" s="219">
        <f>IF(F22&gt;0,F22,
IF(B22&lt;&gt;"",
IF(C22="CLT",VLOOKUP(B22,'Lista Profissionais'!$C$11:$H$348,3,0),
VLOOKUP(B22,'Lista Profissionais'!$C$11:$H$348,6,0)), 0))</f>
        <v>3360</v>
      </c>
      <c r="H22" s="219">
        <f>IF(B22&lt;&gt;"",
IF(C22="CLT",
       22*$M$5 + (G22*'Lista Profissionais'!$G$9),0),0)</f>
        <v>1772</v>
      </c>
      <c r="I22" s="66">
        <f t="shared" si="0"/>
        <v>3207.272727272727</v>
      </c>
      <c r="J22" s="66">
        <f t="shared" si="1"/>
        <v>8300.5545454545463</v>
      </c>
      <c r="K22" s="66">
        <f t="shared" si="2"/>
        <v>11832.440504545455</v>
      </c>
      <c r="L22" s="93">
        <f t="shared" si="23"/>
        <v>49.408062770562779</v>
      </c>
      <c r="M22" s="151"/>
      <c r="N22" s="152">
        <v>0</v>
      </c>
      <c r="O22" s="69">
        <f t="shared" si="3"/>
        <v>0</v>
      </c>
      <c r="P22" s="69">
        <f t="shared" si="4"/>
        <v>15356.025909090911</v>
      </c>
      <c r="Q22" s="70">
        <f t="shared" si="5"/>
        <v>15356.025909090911</v>
      </c>
      <c r="R22" s="153">
        <f t="shared" si="24"/>
        <v>0</v>
      </c>
      <c r="S22" s="70">
        <v>0</v>
      </c>
      <c r="T22" s="165">
        <f t="shared" si="6"/>
        <v>15356.025909090911</v>
      </c>
      <c r="U22" s="163">
        <f t="shared" si="7"/>
        <v>91.404916125541135</v>
      </c>
      <c r="V22" s="164">
        <f t="shared" si="25"/>
        <v>256.58181818181816</v>
      </c>
      <c r="W22" s="164">
        <f t="shared" si="8"/>
        <v>102.63272727272727</v>
      </c>
      <c r="X22" s="144">
        <f t="shared" si="9"/>
        <v>267.27272727272725</v>
      </c>
      <c r="Y22" s="150">
        <f t="shared" si="10"/>
        <v>89.090909090909079</v>
      </c>
      <c r="Z22" s="150">
        <f t="shared" si="11"/>
        <v>267.27272727272725</v>
      </c>
      <c r="AA22" s="150">
        <f t="shared" si="12"/>
        <v>882</v>
      </c>
      <c r="AB22" s="182">
        <f t="shared" si="13"/>
        <v>49.890909090909084</v>
      </c>
      <c r="AC22" s="182">
        <f t="shared" si="14"/>
        <v>171.49999999999997</v>
      </c>
      <c r="AD22" s="182">
        <f t="shared" si="15"/>
        <v>320.72727272727275</v>
      </c>
      <c r="AE22" s="180">
        <f t="shared" si="16"/>
        <v>25.65818181818182</v>
      </c>
      <c r="AF22" s="150">
        <f t="shared" si="17"/>
        <v>288.65454545454543</v>
      </c>
      <c r="AG22" s="150"/>
      <c r="AH22" s="150">
        <f t="shared" si="18"/>
        <v>600</v>
      </c>
      <c r="AI22" s="150">
        <f t="shared" si="26"/>
        <v>5093.2818181818184</v>
      </c>
      <c r="AJ22" s="154">
        <f t="shared" si="19"/>
        <v>3531.8859590909096</v>
      </c>
      <c r="AK22" s="70">
        <f t="shared" si="20"/>
        <v>3523.5854045454544</v>
      </c>
      <c r="AL22" s="155">
        <f t="shared" si="21"/>
        <v>0.22945945945945942</v>
      </c>
      <c r="AM22" s="155">
        <f t="shared" si="22"/>
        <v>0.29799929799929797</v>
      </c>
    </row>
    <row r="23" spans="2:39" ht="14.25" hidden="1" customHeight="1" x14ac:dyDescent="0.25">
      <c r="B23" s="174" t="s">
        <v>257</v>
      </c>
      <c r="C23" s="171" t="s">
        <v>109</v>
      </c>
      <c r="D23" s="103">
        <v>168</v>
      </c>
      <c r="E23" s="104" t="s">
        <v>76</v>
      </c>
      <c r="F23" s="92">
        <v>0</v>
      </c>
      <c r="G23" s="219">
        <f>IF(F23&gt;0,F23,
IF(B23&lt;&gt;"",
IF(C23="CLT",VLOOKUP(B23,'Lista Profissionais'!$C$11:$H$348,3,0),
VLOOKUP(B23,'Lista Profissionais'!$C$11:$H$348,6,0)), 0))</f>
        <v>5600</v>
      </c>
      <c r="H23" s="219">
        <f>IF(B23&lt;&gt;"",
IF(C23="CLT",
       22*$M$5 + (G23*'Lista Profissionais'!$G$9),0),0)</f>
        <v>2220</v>
      </c>
      <c r="I23" s="66">
        <f t="shared" si="0"/>
        <v>5345.454545454545</v>
      </c>
      <c r="J23" s="66">
        <f t="shared" si="1"/>
        <v>12700.924242424242</v>
      </c>
      <c r="K23" s="66">
        <f t="shared" si="2"/>
        <v>18105.167507575759</v>
      </c>
      <c r="L23" s="93">
        <f t="shared" si="23"/>
        <v>75.600739538239537</v>
      </c>
      <c r="M23" s="151"/>
      <c r="N23" s="152">
        <v>0</v>
      </c>
      <c r="O23" s="69">
        <f t="shared" si="3"/>
        <v>0</v>
      </c>
      <c r="P23" s="69">
        <f t="shared" si="4"/>
        <v>23496.70984848485</v>
      </c>
      <c r="Q23" s="70">
        <f t="shared" si="5"/>
        <v>23496.70984848485</v>
      </c>
      <c r="R23" s="153">
        <f t="shared" si="24"/>
        <v>0</v>
      </c>
      <c r="S23" s="70">
        <v>0</v>
      </c>
      <c r="T23" s="165">
        <f t="shared" si="6"/>
        <v>23496.70984848485</v>
      </c>
      <c r="U23" s="163">
        <f t="shared" si="7"/>
        <v>139.86136814574314</v>
      </c>
      <c r="V23" s="164">
        <f t="shared" si="25"/>
        <v>427.63636363636363</v>
      </c>
      <c r="W23" s="164">
        <f t="shared" si="8"/>
        <v>171.05454545454546</v>
      </c>
      <c r="X23" s="144">
        <f t="shared" si="9"/>
        <v>445.45454545454544</v>
      </c>
      <c r="Y23" s="150">
        <f t="shared" si="10"/>
        <v>148.48484848484847</v>
      </c>
      <c r="Z23" s="150">
        <f t="shared" si="11"/>
        <v>445.45454545454544</v>
      </c>
      <c r="AA23" s="150">
        <f t="shared" si="12"/>
        <v>1470</v>
      </c>
      <c r="AB23" s="182">
        <f t="shared" si="13"/>
        <v>83.151515151515142</v>
      </c>
      <c r="AC23" s="182">
        <f t="shared" si="14"/>
        <v>285.83333333333331</v>
      </c>
      <c r="AD23" s="182">
        <f t="shared" si="15"/>
        <v>534.5454545454545</v>
      </c>
      <c r="AE23" s="180">
        <f t="shared" si="16"/>
        <v>42.763636363636358</v>
      </c>
      <c r="AF23" s="150">
        <f t="shared" si="17"/>
        <v>481.09090909090901</v>
      </c>
      <c r="AG23" s="150"/>
      <c r="AH23" s="150">
        <f t="shared" si="18"/>
        <v>600</v>
      </c>
      <c r="AI23" s="150">
        <f t="shared" si="26"/>
        <v>7355.469696969697</v>
      </c>
      <c r="AJ23" s="154">
        <f t="shared" si="19"/>
        <v>5404.2432651515155</v>
      </c>
      <c r="AK23" s="70">
        <f t="shared" si="20"/>
        <v>5391.5423409090927</v>
      </c>
      <c r="AL23" s="155">
        <f t="shared" si="21"/>
        <v>0.22945945945945953</v>
      </c>
      <c r="AM23" s="155">
        <f t="shared" si="22"/>
        <v>0.29799929799929809</v>
      </c>
    </row>
    <row r="24" spans="2:39" ht="14.25" hidden="1" customHeight="1" x14ac:dyDescent="0.25">
      <c r="B24" s="174" t="s">
        <v>258</v>
      </c>
      <c r="C24" s="171" t="s">
        <v>109</v>
      </c>
      <c r="D24" s="103">
        <v>168</v>
      </c>
      <c r="E24" s="104" t="s">
        <v>76</v>
      </c>
      <c r="F24" s="92">
        <v>0</v>
      </c>
      <c r="G24" s="219">
        <f>IF(F24&gt;0,F24,
IF(B24&lt;&gt;"",
IF(C24="CLT",VLOOKUP(B24,'Lista Profissionais'!$C$11:$H$348,3,0),
VLOOKUP(B24,'Lista Profissionais'!$C$11:$H$348,6,0)), 0))</f>
        <v>8000</v>
      </c>
      <c r="H24" s="219">
        <f>IF(B24&lt;&gt;"",
IF(C24="CLT",
       22*$M$5 + (G24*'Lista Profissionais'!$G$9),0),0)</f>
        <v>2700</v>
      </c>
      <c r="I24" s="66">
        <f t="shared" si="0"/>
        <v>7636.363636363636</v>
      </c>
      <c r="J24" s="66">
        <f t="shared" si="1"/>
        <v>17415.60606060606</v>
      </c>
      <c r="K24" s="66">
        <f t="shared" si="2"/>
        <v>24825.946439393938</v>
      </c>
      <c r="L24" s="93">
        <f t="shared" si="23"/>
        <v>103.66432178932179</v>
      </c>
      <c r="M24" s="151"/>
      <c r="N24" s="152">
        <v>0</v>
      </c>
      <c r="O24" s="69">
        <f t="shared" si="3"/>
        <v>0</v>
      </c>
      <c r="P24" s="69">
        <f t="shared" si="4"/>
        <v>32218.871212121212</v>
      </c>
      <c r="Q24" s="70">
        <f t="shared" si="5"/>
        <v>32218.871212121212</v>
      </c>
      <c r="R24" s="153">
        <f t="shared" si="24"/>
        <v>0</v>
      </c>
      <c r="S24" s="70">
        <v>0</v>
      </c>
      <c r="T24" s="165">
        <f t="shared" si="6"/>
        <v>32218.871212121212</v>
      </c>
      <c r="U24" s="163">
        <f t="shared" si="7"/>
        <v>191.77899531024531</v>
      </c>
      <c r="V24" s="164">
        <f t="shared" si="25"/>
        <v>610.90909090909088</v>
      </c>
      <c r="W24" s="164">
        <f t="shared" si="8"/>
        <v>244.36363636363637</v>
      </c>
      <c r="X24" s="144">
        <f t="shared" si="9"/>
        <v>636.36363636363637</v>
      </c>
      <c r="Y24" s="150">
        <f t="shared" si="10"/>
        <v>212.12121212121212</v>
      </c>
      <c r="Z24" s="150">
        <f t="shared" si="11"/>
        <v>636.36363636363637</v>
      </c>
      <c r="AA24" s="150">
        <f t="shared" si="12"/>
        <v>2100</v>
      </c>
      <c r="AB24" s="182">
        <f t="shared" si="13"/>
        <v>118.7878787878788</v>
      </c>
      <c r="AC24" s="182">
        <f t="shared" si="14"/>
        <v>408.33333333333343</v>
      </c>
      <c r="AD24" s="182">
        <f t="shared" si="15"/>
        <v>763.63636363636363</v>
      </c>
      <c r="AE24" s="180">
        <f t="shared" si="16"/>
        <v>61.090909090909093</v>
      </c>
      <c r="AF24" s="150">
        <f t="shared" si="17"/>
        <v>687.27272727272725</v>
      </c>
      <c r="AG24" s="150"/>
      <c r="AH24" s="150">
        <f t="shared" si="18"/>
        <v>600</v>
      </c>
      <c r="AI24" s="150">
        <f t="shared" si="26"/>
        <v>9779.242424242424</v>
      </c>
      <c r="AJ24" s="154">
        <f t="shared" si="19"/>
        <v>7410.3403787878788</v>
      </c>
      <c r="AK24" s="70">
        <f t="shared" si="20"/>
        <v>7392.9247727272741</v>
      </c>
      <c r="AL24" s="155">
        <f t="shared" si="21"/>
        <v>0.2294594594594595</v>
      </c>
      <c r="AM24" s="155">
        <f t="shared" si="22"/>
        <v>0.29799929799929803</v>
      </c>
    </row>
    <row r="25" spans="2:39" ht="14.25" hidden="1" customHeight="1" x14ac:dyDescent="0.25">
      <c r="B25" s="174" t="s">
        <v>259</v>
      </c>
      <c r="C25" s="171" t="s">
        <v>109</v>
      </c>
      <c r="D25" s="103">
        <v>168</v>
      </c>
      <c r="E25" s="104" t="s">
        <v>76</v>
      </c>
      <c r="F25" s="92">
        <v>0</v>
      </c>
      <c r="G25" s="219">
        <f>IF(F25&gt;0,F25,
IF(B25&lt;&gt;"",
IF(C25="CLT",VLOOKUP(B25,'Lista Profissionais'!$C$11:$H$348,3,0),
VLOOKUP(B25,'Lista Profissionais'!$C$11:$H$348,6,0)), 0))</f>
        <v>8000</v>
      </c>
      <c r="H25" s="219">
        <f>IF(B25&lt;&gt;"",
IF(C25="CLT",
       22*$M$5 + (G25*'Lista Profissionais'!$G$9),0),0)</f>
        <v>2700</v>
      </c>
      <c r="I25" s="66">
        <f t="shared" si="0"/>
        <v>7636.363636363636</v>
      </c>
      <c r="J25" s="66">
        <f t="shared" si="1"/>
        <v>17415.60606060606</v>
      </c>
      <c r="K25" s="66">
        <f t="shared" si="2"/>
        <v>24825.946439393938</v>
      </c>
      <c r="L25" s="93">
        <f t="shared" si="23"/>
        <v>103.66432178932179</v>
      </c>
      <c r="M25" s="151"/>
      <c r="N25" s="152">
        <v>0</v>
      </c>
      <c r="O25" s="69">
        <f t="shared" si="3"/>
        <v>0</v>
      </c>
      <c r="P25" s="69">
        <f t="shared" si="4"/>
        <v>32218.871212121212</v>
      </c>
      <c r="Q25" s="70">
        <f t="shared" si="5"/>
        <v>32218.871212121212</v>
      </c>
      <c r="R25" s="153">
        <f t="shared" si="24"/>
        <v>0</v>
      </c>
      <c r="S25" s="70">
        <v>0</v>
      </c>
      <c r="T25" s="165">
        <f t="shared" si="6"/>
        <v>32218.871212121212</v>
      </c>
      <c r="U25" s="163">
        <f t="shared" si="7"/>
        <v>191.77899531024531</v>
      </c>
      <c r="V25" s="164">
        <f t="shared" si="25"/>
        <v>610.90909090909088</v>
      </c>
      <c r="W25" s="164">
        <f t="shared" si="8"/>
        <v>244.36363636363637</v>
      </c>
      <c r="X25" s="144">
        <f t="shared" si="9"/>
        <v>636.36363636363637</v>
      </c>
      <c r="Y25" s="150">
        <f t="shared" si="10"/>
        <v>212.12121212121212</v>
      </c>
      <c r="Z25" s="150">
        <f t="shared" si="11"/>
        <v>636.36363636363637</v>
      </c>
      <c r="AA25" s="150">
        <f t="shared" si="12"/>
        <v>2100</v>
      </c>
      <c r="AB25" s="182">
        <f t="shared" si="13"/>
        <v>118.7878787878788</v>
      </c>
      <c r="AC25" s="182">
        <f t="shared" si="14"/>
        <v>408.33333333333343</v>
      </c>
      <c r="AD25" s="182">
        <f t="shared" si="15"/>
        <v>763.63636363636363</v>
      </c>
      <c r="AE25" s="180">
        <f t="shared" si="16"/>
        <v>61.090909090909093</v>
      </c>
      <c r="AF25" s="150">
        <f t="shared" si="17"/>
        <v>687.27272727272725</v>
      </c>
      <c r="AG25" s="150"/>
      <c r="AH25" s="150">
        <f t="shared" si="18"/>
        <v>600</v>
      </c>
      <c r="AI25" s="150">
        <f t="shared" si="26"/>
        <v>9779.242424242424</v>
      </c>
      <c r="AJ25" s="154">
        <f t="shared" si="19"/>
        <v>7410.3403787878788</v>
      </c>
      <c r="AK25" s="70">
        <f t="shared" si="20"/>
        <v>7392.9247727272741</v>
      </c>
      <c r="AL25" s="155">
        <f t="shared" si="21"/>
        <v>0.2294594594594595</v>
      </c>
      <c r="AM25" s="155">
        <f t="shared" si="22"/>
        <v>0.29799929799929803</v>
      </c>
    </row>
    <row r="26" spans="2:39" ht="14.25" hidden="1" customHeight="1" x14ac:dyDescent="0.25">
      <c r="B26" s="174" t="s">
        <v>260</v>
      </c>
      <c r="C26" s="171" t="s">
        <v>109</v>
      </c>
      <c r="D26" s="103">
        <v>168</v>
      </c>
      <c r="E26" s="104" t="s">
        <v>76</v>
      </c>
      <c r="F26" s="92">
        <v>0</v>
      </c>
      <c r="G26" s="219">
        <f>IF(F26&gt;0,F26,
IF(B26&lt;&gt;"",
IF(C26="CLT",VLOOKUP(B26,'Lista Profissionais'!$C$11:$H$348,3,0),
VLOOKUP(B26,'Lista Profissionais'!$C$11:$H$348,6,0)), 0))</f>
        <v>2800</v>
      </c>
      <c r="H26" s="219">
        <f>IF(B26&lt;&gt;"",
IF(C26="CLT",
       22*$M$5 + (G26*'Lista Profissionais'!$G$9),0),0)</f>
        <v>1660</v>
      </c>
      <c r="I26" s="66">
        <f t="shared" si="0"/>
        <v>2672.7272727272725</v>
      </c>
      <c r="J26" s="66">
        <f t="shared" si="1"/>
        <v>7200.4621212121201</v>
      </c>
      <c r="K26" s="66">
        <f t="shared" si="2"/>
        <v>10264.258753787877</v>
      </c>
      <c r="L26" s="93">
        <f t="shared" si="23"/>
        <v>42.859893578643572</v>
      </c>
      <c r="M26" s="151"/>
      <c r="N26" s="152">
        <v>0</v>
      </c>
      <c r="O26" s="69">
        <f t="shared" si="3"/>
        <v>0</v>
      </c>
      <c r="P26" s="69">
        <f t="shared" si="4"/>
        <v>13320.854924242423</v>
      </c>
      <c r="Q26" s="70">
        <f t="shared" si="5"/>
        <v>13320.854924242423</v>
      </c>
      <c r="R26" s="153">
        <f t="shared" si="24"/>
        <v>0</v>
      </c>
      <c r="S26" s="70">
        <v>0</v>
      </c>
      <c r="T26" s="165">
        <f t="shared" si="6"/>
        <v>13320.854924242423</v>
      </c>
      <c r="U26" s="163">
        <f t="shared" si="7"/>
        <v>79.290803120490608</v>
      </c>
      <c r="V26" s="164">
        <f t="shared" si="25"/>
        <v>213.81818181818181</v>
      </c>
      <c r="W26" s="164">
        <f t="shared" si="8"/>
        <v>85.527272727272731</v>
      </c>
      <c r="X26" s="144">
        <f t="shared" si="9"/>
        <v>222.72727272727272</v>
      </c>
      <c r="Y26" s="150">
        <f t="shared" si="10"/>
        <v>74.242424242424235</v>
      </c>
      <c r="Z26" s="150">
        <f t="shared" si="11"/>
        <v>222.72727272727272</v>
      </c>
      <c r="AA26" s="150">
        <f t="shared" si="12"/>
        <v>735</v>
      </c>
      <c r="AB26" s="182">
        <f t="shared" si="13"/>
        <v>41.575757575757571</v>
      </c>
      <c r="AC26" s="182">
        <f t="shared" si="14"/>
        <v>142.91666666666666</v>
      </c>
      <c r="AD26" s="182">
        <f t="shared" si="15"/>
        <v>267.27272727272725</v>
      </c>
      <c r="AE26" s="180">
        <f t="shared" si="16"/>
        <v>21.381818181818179</v>
      </c>
      <c r="AF26" s="150">
        <f t="shared" si="17"/>
        <v>240.5454545454545</v>
      </c>
      <c r="AG26" s="150"/>
      <c r="AH26" s="150">
        <f t="shared" si="18"/>
        <v>600</v>
      </c>
      <c r="AI26" s="150">
        <f t="shared" si="26"/>
        <v>4527.734848484848</v>
      </c>
      <c r="AJ26" s="154">
        <f t="shared" si="19"/>
        <v>3063.7966325757575</v>
      </c>
      <c r="AK26" s="70">
        <f t="shared" si="20"/>
        <v>3056.5961704545462</v>
      </c>
      <c r="AL26" s="155">
        <f t="shared" si="21"/>
        <v>0.22945945945945953</v>
      </c>
      <c r="AM26" s="155">
        <f t="shared" si="22"/>
        <v>0.29799929799929809</v>
      </c>
    </row>
    <row r="27" spans="2:39" ht="14.25" hidden="1" customHeight="1" x14ac:dyDescent="0.25">
      <c r="B27" s="174" t="s">
        <v>261</v>
      </c>
      <c r="C27" s="171" t="s">
        <v>109</v>
      </c>
      <c r="D27" s="103">
        <v>168</v>
      </c>
      <c r="E27" s="104" t="s">
        <v>76</v>
      </c>
      <c r="F27" s="92">
        <v>0</v>
      </c>
      <c r="G27" s="219">
        <f>IF(F27&gt;0,F27,
IF(B27&lt;&gt;"",
IF(C27="CLT",VLOOKUP(B27,'Lista Profissionais'!$C$11:$H$348,3,0),
VLOOKUP(B27,'Lista Profissionais'!$C$11:$H$348,6,0)), 0))</f>
        <v>4400</v>
      </c>
      <c r="H27" s="219">
        <f>IF(B27&lt;&gt;"",
IF(C27="CLT",
       22*$M$5 + (G27*'Lista Profissionais'!$G$9),0),0)</f>
        <v>1980</v>
      </c>
      <c r="I27" s="66">
        <f t="shared" si="0"/>
        <v>4200</v>
      </c>
      <c r="J27" s="66">
        <f t="shared" si="1"/>
        <v>10343.583333333334</v>
      </c>
      <c r="K27" s="66">
        <f t="shared" si="2"/>
        <v>14744.778041666668</v>
      </c>
      <c r="L27" s="93">
        <f t="shared" si="23"/>
        <v>61.568948412698418</v>
      </c>
      <c r="M27" s="151"/>
      <c r="N27" s="152">
        <v>0</v>
      </c>
      <c r="O27" s="69">
        <f t="shared" si="3"/>
        <v>0</v>
      </c>
      <c r="P27" s="69">
        <f t="shared" si="4"/>
        <v>19135.629166666669</v>
      </c>
      <c r="Q27" s="70">
        <f t="shared" si="5"/>
        <v>19135.629166666669</v>
      </c>
      <c r="R27" s="153">
        <f t="shared" si="24"/>
        <v>0</v>
      </c>
      <c r="S27" s="70">
        <v>0</v>
      </c>
      <c r="T27" s="165">
        <f t="shared" si="6"/>
        <v>19135.629166666669</v>
      </c>
      <c r="U27" s="163">
        <f t="shared" si="7"/>
        <v>113.90255456349207</v>
      </c>
      <c r="V27" s="164">
        <f t="shared" si="25"/>
        <v>336</v>
      </c>
      <c r="W27" s="164">
        <f t="shared" si="8"/>
        <v>134.4</v>
      </c>
      <c r="X27" s="144">
        <f t="shared" si="9"/>
        <v>350</v>
      </c>
      <c r="Y27" s="150">
        <f t="shared" si="10"/>
        <v>116.66666666666667</v>
      </c>
      <c r="Z27" s="150">
        <f t="shared" si="11"/>
        <v>350</v>
      </c>
      <c r="AA27" s="150">
        <f t="shared" si="12"/>
        <v>1155</v>
      </c>
      <c r="AB27" s="182">
        <f t="shared" si="13"/>
        <v>65.333333333333343</v>
      </c>
      <c r="AC27" s="182">
        <f t="shared" si="14"/>
        <v>224.58333333333337</v>
      </c>
      <c r="AD27" s="182">
        <f t="shared" si="15"/>
        <v>420</v>
      </c>
      <c r="AE27" s="180">
        <f t="shared" si="16"/>
        <v>33.6</v>
      </c>
      <c r="AF27" s="150">
        <f t="shared" si="17"/>
        <v>378</v>
      </c>
      <c r="AG27" s="150"/>
      <c r="AH27" s="150">
        <f t="shared" si="18"/>
        <v>600</v>
      </c>
      <c r="AI27" s="150">
        <f t="shared" si="26"/>
        <v>6143.5833333333339</v>
      </c>
      <c r="AJ27" s="154">
        <f t="shared" si="19"/>
        <v>4401.1947083333343</v>
      </c>
      <c r="AK27" s="70">
        <f t="shared" si="20"/>
        <v>4390.851125000001</v>
      </c>
      <c r="AL27" s="155">
        <f t="shared" si="21"/>
        <v>0.22945945945945947</v>
      </c>
      <c r="AM27" s="155">
        <f t="shared" si="22"/>
        <v>0.29799929799929803</v>
      </c>
    </row>
    <row r="28" spans="2:39" ht="14.25" hidden="1" customHeight="1" x14ac:dyDescent="0.25">
      <c r="B28" s="174" t="s">
        <v>262</v>
      </c>
      <c r="C28" s="171" t="s">
        <v>109</v>
      </c>
      <c r="D28" s="103">
        <v>168</v>
      </c>
      <c r="E28" s="104" t="s">
        <v>76</v>
      </c>
      <c r="F28" s="92">
        <v>0</v>
      </c>
      <c r="G28" s="219">
        <f>IF(F28&gt;0,F28,
IF(B28&lt;&gt;"",
IF(C28="CLT",VLOOKUP(B28,'Lista Profissionais'!$C$11:$H$348,3,0),
VLOOKUP(B28,'Lista Profissionais'!$C$11:$H$348,6,0)), 0))</f>
        <v>5416</v>
      </c>
      <c r="H28" s="219">
        <f>IF(B28&lt;&gt;"",
IF(C28="CLT",
       22*$M$5 + (G28*'Lista Profissionais'!$G$9),0),0)</f>
        <v>2183.1999999999998</v>
      </c>
      <c r="I28" s="66">
        <f t="shared" si="0"/>
        <v>5169.818181818182</v>
      </c>
      <c r="J28" s="66">
        <f t="shared" si="1"/>
        <v>12339.465303030303</v>
      </c>
      <c r="K28" s="66">
        <f t="shared" si="2"/>
        <v>17589.907789469697</v>
      </c>
      <c r="L28" s="93">
        <f t="shared" si="23"/>
        <v>73.449198232323241</v>
      </c>
      <c r="M28" s="151"/>
      <c r="N28" s="152">
        <v>0</v>
      </c>
      <c r="O28" s="69">
        <f t="shared" si="3"/>
        <v>0</v>
      </c>
      <c r="P28" s="69">
        <f t="shared" si="4"/>
        <v>22828.010810606062</v>
      </c>
      <c r="Q28" s="70">
        <f t="shared" si="5"/>
        <v>22828.010810606062</v>
      </c>
      <c r="R28" s="153">
        <f t="shared" si="24"/>
        <v>0</v>
      </c>
      <c r="S28" s="70">
        <v>0</v>
      </c>
      <c r="T28" s="165">
        <f t="shared" si="6"/>
        <v>22828.010810606062</v>
      </c>
      <c r="U28" s="163">
        <f t="shared" si="7"/>
        <v>135.88101672979798</v>
      </c>
      <c r="V28" s="164">
        <f t="shared" si="25"/>
        <v>413.58545454545458</v>
      </c>
      <c r="W28" s="164">
        <f t="shared" si="8"/>
        <v>165.43418181818186</v>
      </c>
      <c r="X28" s="144">
        <f t="shared" si="9"/>
        <v>430.81818181818181</v>
      </c>
      <c r="Y28" s="150">
        <f t="shared" si="10"/>
        <v>143.60606060606059</v>
      </c>
      <c r="Z28" s="150">
        <f t="shared" si="11"/>
        <v>430.81818181818181</v>
      </c>
      <c r="AA28" s="150">
        <f t="shared" si="12"/>
        <v>1421.7000000000003</v>
      </c>
      <c r="AB28" s="182">
        <f t="shared" si="13"/>
        <v>80.419393939393942</v>
      </c>
      <c r="AC28" s="182">
        <f t="shared" si="14"/>
        <v>276.44166666666666</v>
      </c>
      <c r="AD28" s="182">
        <f t="shared" si="15"/>
        <v>516.9818181818182</v>
      </c>
      <c r="AE28" s="180">
        <f t="shared" si="16"/>
        <v>41.358545454545457</v>
      </c>
      <c r="AF28" s="150">
        <f t="shared" si="17"/>
        <v>465.28363636363633</v>
      </c>
      <c r="AG28" s="150"/>
      <c r="AH28" s="150">
        <f t="shared" si="18"/>
        <v>600</v>
      </c>
      <c r="AI28" s="150">
        <f t="shared" si="26"/>
        <v>7169.6471212121214</v>
      </c>
      <c r="AJ28" s="154">
        <f t="shared" si="19"/>
        <v>5250.4424864393941</v>
      </c>
      <c r="AK28" s="70">
        <f t="shared" si="20"/>
        <v>5238.1030211363632</v>
      </c>
      <c r="AL28" s="155">
        <f t="shared" si="21"/>
        <v>0.22945945945945942</v>
      </c>
      <c r="AM28" s="155">
        <f t="shared" si="22"/>
        <v>0.29799929799929797</v>
      </c>
    </row>
    <row r="29" spans="2:39" ht="14.25" hidden="1" customHeight="1" x14ac:dyDescent="0.25">
      <c r="B29" s="174" t="s">
        <v>263</v>
      </c>
      <c r="C29" s="171" t="s">
        <v>109</v>
      </c>
      <c r="D29" s="103">
        <v>168</v>
      </c>
      <c r="E29" s="104" t="s">
        <v>76</v>
      </c>
      <c r="F29" s="92">
        <v>0</v>
      </c>
      <c r="G29" s="219">
        <f>IF(F29&gt;0,F29,
IF(B29&lt;&gt;"",
IF(C29="CLT",VLOOKUP(B29,'Lista Profissionais'!$C$11:$H$348,3,0),
VLOOKUP(B29,'Lista Profissionais'!$C$11:$H$348,6,0)), 0))</f>
        <v>8400</v>
      </c>
      <c r="H29" s="219">
        <f>IF(B29&lt;&gt;"",
IF(C29="CLT",
       22*$M$5 + (G29*'Lista Profissionais'!$G$9),0),0)</f>
        <v>2780</v>
      </c>
      <c r="I29" s="66">
        <f t="shared" si="0"/>
        <v>8018.181818181818</v>
      </c>
      <c r="J29" s="66">
        <f t="shared" si="1"/>
        <v>18201.386363636364</v>
      </c>
      <c r="K29" s="66">
        <f t="shared" si="2"/>
        <v>25946.076261363636</v>
      </c>
      <c r="L29" s="93">
        <f t="shared" si="23"/>
        <v>108.3415854978355</v>
      </c>
      <c r="M29" s="151"/>
      <c r="N29" s="152">
        <v>0</v>
      </c>
      <c r="O29" s="69">
        <f t="shared" si="3"/>
        <v>0</v>
      </c>
      <c r="P29" s="69">
        <f t="shared" si="4"/>
        <v>33672.564772727274</v>
      </c>
      <c r="Q29" s="70">
        <f t="shared" si="5"/>
        <v>33672.564772727274</v>
      </c>
      <c r="R29" s="153">
        <f t="shared" si="24"/>
        <v>0</v>
      </c>
      <c r="S29" s="70">
        <v>0</v>
      </c>
      <c r="T29" s="165">
        <f t="shared" si="6"/>
        <v>33672.564772727274</v>
      </c>
      <c r="U29" s="163">
        <f t="shared" si="7"/>
        <v>200.43193317099568</v>
      </c>
      <c r="V29" s="164">
        <f t="shared" si="25"/>
        <v>641.4545454545455</v>
      </c>
      <c r="W29" s="164">
        <f t="shared" si="8"/>
        <v>256.58181818181822</v>
      </c>
      <c r="X29" s="144">
        <f t="shared" si="9"/>
        <v>668.18181818181813</v>
      </c>
      <c r="Y29" s="150">
        <f t="shared" si="10"/>
        <v>222.72727272727272</v>
      </c>
      <c r="Z29" s="150">
        <f t="shared" si="11"/>
        <v>668.18181818181813</v>
      </c>
      <c r="AA29" s="150">
        <f t="shared" si="12"/>
        <v>2205</v>
      </c>
      <c r="AB29" s="182">
        <f t="shared" si="13"/>
        <v>124.72727272727272</v>
      </c>
      <c r="AC29" s="182">
        <f t="shared" si="14"/>
        <v>428.75</v>
      </c>
      <c r="AD29" s="182">
        <f t="shared" si="15"/>
        <v>801.81818181818176</v>
      </c>
      <c r="AE29" s="180">
        <f t="shared" si="16"/>
        <v>64.145454545454541</v>
      </c>
      <c r="AF29" s="150">
        <f t="shared" si="17"/>
        <v>721.63636363636363</v>
      </c>
      <c r="AG29" s="150"/>
      <c r="AH29" s="150">
        <f t="shared" si="18"/>
        <v>600</v>
      </c>
      <c r="AI29" s="150">
        <f t="shared" si="26"/>
        <v>10183.204545454546</v>
      </c>
      <c r="AJ29" s="154">
        <f t="shared" si="19"/>
        <v>7744.6898977272731</v>
      </c>
      <c r="AK29" s="70">
        <f t="shared" si="20"/>
        <v>7726.4885113636374</v>
      </c>
      <c r="AL29" s="155">
        <f t="shared" si="21"/>
        <v>0.22945945945945947</v>
      </c>
      <c r="AM29" s="155">
        <f t="shared" si="22"/>
        <v>0.29799929799929803</v>
      </c>
    </row>
    <row r="30" spans="2:39" ht="14.25" hidden="1" customHeight="1" x14ac:dyDescent="0.25">
      <c r="B30" s="174" t="s">
        <v>264</v>
      </c>
      <c r="C30" s="171" t="s">
        <v>109</v>
      </c>
      <c r="D30" s="103">
        <v>168</v>
      </c>
      <c r="E30" s="104" t="s">
        <v>76</v>
      </c>
      <c r="F30" s="92">
        <v>0</v>
      </c>
      <c r="G30" s="219">
        <f>IF(F30&gt;0,F30,
IF(B30&lt;&gt;"",
IF(C30="CLT",VLOOKUP(B30,'Lista Profissionais'!$C$11:$H$348,3,0),
VLOOKUP(B30,'Lista Profissionais'!$C$11:$H$348,6,0)), 0))</f>
        <v>3840</v>
      </c>
      <c r="H30" s="219">
        <f>IF(B30&lt;&gt;"",
IF(C30="CLT",
       22*$M$5 + (G30*'Lista Profissionais'!$G$9),0),0)</f>
        <v>1868</v>
      </c>
      <c r="I30" s="66">
        <f t="shared" si="0"/>
        <v>3665.454545454545</v>
      </c>
      <c r="J30" s="66">
        <f t="shared" si="1"/>
        <v>9243.4909090909096</v>
      </c>
      <c r="K30" s="66">
        <f t="shared" si="2"/>
        <v>13176.596290909092</v>
      </c>
      <c r="L30" s="93">
        <f t="shared" si="23"/>
        <v>55.020779220779225</v>
      </c>
      <c r="M30" s="151"/>
      <c r="N30" s="152">
        <v>0</v>
      </c>
      <c r="O30" s="69">
        <f t="shared" si="3"/>
        <v>0</v>
      </c>
      <c r="P30" s="69">
        <f t="shared" si="4"/>
        <v>17100.458181818183</v>
      </c>
      <c r="Q30" s="70">
        <f t="shared" si="5"/>
        <v>17100.458181818183</v>
      </c>
      <c r="R30" s="153">
        <f t="shared" si="24"/>
        <v>0</v>
      </c>
      <c r="S30" s="70">
        <v>0</v>
      </c>
      <c r="T30" s="165">
        <f t="shared" si="6"/>
        <v>17100.458181818183</v>
      </c>
      <c r="U30" s="163">
        <f t="shared" si="7"/>
        <v>101.78844155844156</v>
      </c>
      <c r="V30" s="164">
        <f t="shared" si="25"/>
        <v>293.23636363636359</v>
      </c>
      <c r="W30" s="164">
        <f t="shared" si="8"/>
        <v>117.29454545454544</v>
      </c>
      <c r="X30" s="144">
        <f t="shared" si="9"/>
        <v>305.45454545454544</v>
      </c>
      <c r="Y30" s="150">
        <f t="shared" si="10"/>
        <v>101.81818181818181</v>
      </c>
      <c r="Z30" s="150">
        <f t="shared" si="11"/>
        <v>305.45454545454544</v>
      </c>
      <c r="AA30" s="150">
        <f t="shared" si="12"/>
        <v>1008</v>
      </c>
      <c r="AB30" s="182">
        <f t="shared" si="13"/>
        <v>57.018181818181823</v>
      </c>
      <c r="AC30" s="182">
        <f t="shared" si="14"/>
        <v>196.00000000000003</v>
      </c>
      <c r="AD30" s="182">
        <f t="shared" si="15"/>
        <v>366.5454545454545</v>
      </c>
      <c r="AE30" s="180">
        <f t="shared" si="16"/>
        <v>29.323636363636361</v>
      </c>
      <c r="AF30" s="150">
        <f t="shared" si="17"/>
        <v>329.89090909090902</v>
      </c>
      <c r="AG30" s="150"/>
      <c r="AH30" s="150">
        <f t="shared" si="18"/>
        <v>600</v>
      </c>
      <c r="AI30" s="150">
        <f t="shared" si="26"/>
        <v>5578.0363636363636</v>
      </c>
      <c r="AJ30" s="154">
        <f t="shared" si="19"/>
        <v>3933.1053818181822</v>
      </c>
      <c r="AK30" s="70">
        <f t="shared" si="20"/>
        <v>3923.861890909091</v>
      </c>
      <c r="AL30" s="155">
        <f t="shared" si="21"/>
        <v>0.22945945945945945</v>
      </c>
      <c r="AM30" s="155">
        <f t="shared" si="22"/>
        <v>0.29799929799929797</v>
      </c>
    </row>
    <row r="31" spans="2:39" ht="14.25" hidden="1" customHeight="1" x14ac:dyDescent="0.25">
      <c r="B31" s="174" t="s">
        <v>265</v>
      </c>
      <c r="C31" s="171" t="s">
        <v>109</v>
      </c>
      <c r="D31" s="103">
        <v>168</v>
      </c>
      <c r="E31" s="104" t="s">
        <v>76</v>
      </c>
      <c r="F31" s="92">
        <v>0</v>
      </c>
      <c r="G31" s="219">
        <f>IF(F31&gt;0,F31,
IF(B31&lt;&gt;"",
IF(C31="CLT",VLOOKUP(B31,'Lista Profissionais'!$C$11:$H$348,3,0),
VLOOKUP(B31,'Lista Profissionais'!$C$11:$H$348,6,0)), 0))</f>
        <v>6000</v>
      </c>
      <c r="H31" s="219">
        <f>IF(B31&lt;&gt;"",
IF(C31="CLT",
       22*$M$5 + (G31*'Lista Profissionais'!$G$9),0),0)</f>
        <v>2300</v>
      </c>
      <c r="I31" s="66">
        <f t="shared" si="0"/>
        <v>5727.2727272727279</v>
      </c>
      <c r="J31" s="66">
        <f t="shared" si="1"/>
        <v>13486.704545454546</v>
      </c>
      <c r="K31" s="66">
        <f t="shared" si="2"/>
        <v>19225.297329545458</v>
      </c>
      <c r="L31" s="93">
        <f t="shared" si="23"/>
        <v>80.278003246753244</v>
      </c>
      <c r="M31" s="151"/>
      <c r="N31" s="152">
        <v>0</v>
      </c>
      <c r="O31" s="69">
        <f t="shared" si="3"/>
        <v>0</v>
      </c>
      <c r="P31" s="69">
        <f t="shared" si="4"/>
        <v>24950.403409090912</v>
      </c>
      <c r="Q31" s="70">
        <f t="shared" si="5"/>
        <v>24950.403409090912</v>
      </c>
      <c r="R31" s="153">
        <f t="shared" si="24"/>
        <v>0</v>
      </c>
      <c r="S31" s="70">
        <v>0</v>
      </c>
      <c r="T31" s="165">
        <f t="shared" si="6"/>
        <v>24950.403409090912</v>
      </c>
      <c r="U31" s="163">
        <f t="shared" si="7"/>
        <v>148.51430600649351</v>
      </c>
      <c r="V31" s="164">
        <f t="shared" si="25"/>
        <v>458.18181818181824</v>
      </c>
      <c r="W31" s="164">
        <f t="shared" si="8"/>
        <v>183.27272727272731</v>
      </c>
      <c r="X31" s="144">
        <f t="shared" si="9"/>
        <v>477.27272727272731</v>
      </c>
      <c r="Y31" s="150">
        <f t="shared" si="10"/>
        <v>159.09090909090909</v>
      </c>
      <c r="Z31" s="150">
        <f t="shared" si="11"/>
        <v>477.27272727272731</v>
      </c>
      <c r="AA31" s="150">
        <f t="shared" si="12"/>
        <v>1575.0000000000002</v>
      </c>
      <c r="AB31" s="182">
        <f t="shared" si="13"/>
        <v>89.090909090909108</v>
      </c>
      <c r="AC31" s="182">
        <f t="shared" si="14"/>
        <v>306.25000000000006</v>
      </c>
      <c r="AD31" s="182">
        <f t="shared" si="15"/>
        <v>572.72727272727275</v>
      </c>
      <c r="AE31" s="180">
        <f t="shared" si="16"/>
        <v>45.81818181818182</v>
      </c>
      <c r="AF31" s="150">
        <f t="shared" si="17"/>
        <v>515.4545454545455</v>
      </c>
      <c r="AG31" s="150"/>
      <c r="AH31" s="150">
        <f t="shared" si="18"/>
        <v>600</v>
      </c>
      <c r="AI31" s="150">
        <f t="shared" si="26"/>
        <v>7759.431818181818</v>
      </c>
      <c r="AJ31" s="154">
        <f t="shared" si="19"/>
        <v>5738.5927840909098</v>
      </c>
      <c r="AK31" s="70">
        <f t="shared" si="20"/>
        <v>5725.1060795454559</v>
      </c>
      <c r="AL31" s="155">
        <f t="shared" si="21"/>
        <v>0.2294594594594595</v>
      </c>
      <c r="AM31" s="155">
        <f t="shared" si="22"/>
        <v>0.29799929799929803</v>
      </c>
    </row>
    <row r="32" spans="2:39" ht="14.25" hidden="1" customHeight="1" x14ac:dyDescent="0.25">
      <c r="B32" s="174" t="s">
        <v>266</v>
      </c>
      <c r="C32" s="171" t="s">
        <v>109</v>
      </c>
      <c r="D32" s="103">
        <v>168</v>
      </c>
      <c r="E32" s="104" t="s">
        <v>76</v>
      </c>
      <c r="F32" s="92">
        <v>0</v>
      </c>
      <c r="G32" s="219">
        <f>IF(F32&gt;0,F32,
IF(B32&lt;&gt;"",
IF(C32="CLT",VLOOKUP(B32,'Lista Profissionais'!$C$11:$H$348,3,0),
VLOOKUP(B32,'Lista Profissionais'!$C$11:$H$348,6,0)), 0))</f>
        <v>8400</v>
      </c>
      <c r="H32" s="219">
        <f>IF(B32&lt;&gt;"",
IF(C32="CLT",
       22*$M$5 + (G32*'Lista Profissionais'!$G$9),0),0)</f>
        <v>2780</v>
      </c>
      <c r="I32" s="66">
        <f t="shared" si="0"/>
        <v>8018.181818181818</v>
      </c>
      <c r="J32" s="66">
        <f t="shared" si="1"/>
        <v>18201.386363636364</v>
      </c>
      <c r="K32" s="66">
        <f t="shared" si="2"/>
        <v>25946.076261363636</v>
      </c>
      <c r="L32" s="93">
        <f t="shared" si="23"/>
        <v>108.3415854978355</v>
      </c>
      <c r="M32" s="151"/>
      <c r="N32" s="152">
        <v>0</v>
      </c>
      <c r="O32" s="69">
        <f t="shared" si="3"/>
        <v>0</v>
      </c>
      <c r="P32" s="69">
        <f t="shared" si="4"/>
        <v>33672.564772727274</v>
      </c>
      <c r="Q32" s="70">
        <f t="shared" si="5"/>
        <v>33672.564772727274</v>
      </c>
      <c r="R32" s="153">
        <f t="shared" si="24"/>
        <v>0</v>
      </c>
      <c r="S32" s="70">
        <v>0</v>
      </c>
      <c r="T32" s="165">
        <f t="shared" si="6"/>
        <v>33672.564772727274</v>
      </c>
      <c r="U32" s="163">
        <f t="shared" si="7"/>
        <v>200.43193317099568</v>
      </c>
      <c r="V32" s="164">
        <f t="shared" si="25"/>
        <v>641.4545454545455</v>
      </c>
      <c r="W32" s="164">
        <f t="shared" si="8"/>
        <v>256.58181818181822</v>
      </c>
      <c r="X32" s="144">
        <f t="shared" si="9"/>
        <v>668.18181818181813</v>
      </c>
      <c r="Y32" s="150">
        <f t="shared" si="10"/>
        <v>222.72727272727272</v>
      </c>
      <c r="Z32" s="150">
        <f t="shared" si="11"/>
        <v>668.18181818181813</v>
      </c>
      <c r="AA32" s="150">
        <f t="shared" si="12"/>
        <v>2205</v>
      </c>
      <c r="AB32" s="182">
        <f t="shared" si="13"/>
        <v>124.72727272727272</v>
      </c>
      <c r="AC32" s="182">
        <f t="shared" si="14"/>
        <v>428.75</v>
      </c>
      <c r="AD32" s="182">
        <f t="shared" si="15"/>
        <v>801.81818181818176</v>
      </c>
      <c r="AE32" s="180">
        <f t="shared" si="16"/>
        <v>64.145454545454541</v>
      </c>
      <c r="AF32" s="150">
        <f t="shared" si="17"/>
        <v>721.63636363636363</v>
      </c>
      <c r="AG32" s="150"/>
      <c r="AH32" s="150">
        <f t="shared" si="18"/>
        <v>600</v>
      </c>
      <c r="AI32" s="150">
        <f t="shared" si="26"/>
        <v>10183.204545454546</v>
      </c>
      <c r="AJ32" s="154">
        <f t="shared" si="19"/>
        <v>7744.6898977272731</v>
      </c>
      <c r="AK32" s="70">
        <f t="shared" si="20"/>
        <v>7726.4885113636374</v>
      </c>
      <c r="AL32" s="155">
        <f t="shared" si="21"/>
        <v>0.22945945945945947</v>
      </c>
      <c r="AM32" s="155">
        <f t="shared" si="22"/>
        <v>0.29799929799929803</v>
      </c>
    </row>
    <row r="33" spans="2:39" ht="14.25" hidden="1" customHeight="1" x14ac:dyDescent="0.25">
      <c r="B33" s="174" t="s">
        <v>357</v>
      </c>
      <c r="C33" s="171" t="s">
        <v>109</v>
      </c>
      <c r="D33" s="103">
        <v>168</v>
      </c>
      <c r="E33" s="104" t="s">
        <v>76</v>
      </c>
      <c r="F33" s="92">
        <v>0</v>
      </c>
      <c r="G33" s="219">
        <f>IF(F33&gt;0,F33,
IF(B33&lt;&gt;"",
IF(C33="CLT",VLOOKUP(B33,'Lista Profissionais'!$C$11:$H$348,3,0),
VLOOKUP(B33,'Lista Profissionais'!$C$11:$H$348,6,0)), 0))</f>
        <v>8800</v>
      </c>
      <c r="H33" s="219">
        <f>IF(B33&lt;&gt;"",
IF(C33="CLT",
       22*$M$5 + (G33*'Lista Profissionais'!$G$9),0),0)</f>
        <v>2860</v>
      </c>
      <c r="I33" s="66">
        <f t="shared" si="0"/>
        <v>8400</v>
      </c>
      <c r="J33" s="66">
        <f t="shared" si="1"/>
        <v>18987.166666666668</v>
      </c>
      <c r="K33" s="66">
        <f t="shared" si="2"/>
        <v>27066.206083333338</v>
      </c>
      <c r="L33" s="93">
        <f t="shared" si="23"/>
        <v>113.01884920634922</v>
      </c>
      <c r="M33" s="151"/>
      <c r="N33" s="152">
        <v>0</v>
      </c>
      <c r="O33" s="69">
        <f t="shared" si="3"/>
        <v>0</v>
      </c>
      <c r="P33" s="69">
        <f t="shared" si="4"/>
        <v>35126.258333333339</v>
      </c>
      <c r="Q33" s="70">
        <f t="shared" si="5"/>
        <v>35126.258333333339</v>
      </c>
      <c r="R33" s="153">
        <f t="shared" si="24"/>
        <v>0</v>
      </c>
      <c r="S33" s="70">
        <v>0</v>
      </c>
      <c r="T33" s="165">
        <f t="shared" si="6"/>
        <v>35126.258333333339</v>
      </c>
      <c r="U33" s="163">
        <f t="shared" si="7"/>
        <v>209.08487103174608</v>
      </c>
      <c r="V33" s="164">
        <f t="shared" si="25"/>
        <v>672</v>
      </c>
      <c r="W33" s="164">
        <f t="shared" si="8"/>
        <v>268.8</v>
      </c>
      <c r="X33" s="144">
        <f t="shared" si="9"/>
        <v>700</v>
      </c>
      <c r="Y33" s="150">
        <f t="shared" si="10"/>
        <v>233.33333333333334</v>
      </c>
      <c r="Z33" s="150">
        <f t="shared" si="11"/>
        <v>700</v>
      </c>
      <c r="AA33" s="150">
        <f t="shared" si="12"/>
        <v>2310</v>
      </c>
      <c r="AB33" s="182">
        <f t="shared" si="13"/>
        <v>130.66666666666669</v>
      </c>
      <c r="AC33" s="182">
        <f t="shared" si="14"/>
        <v>449.16666666666674</v>
      </c>
      <c r="AD33" s="182">
        <f t="shared" si="15"/>
        <v>840</v>
      </c>
      <c r="AE33" s="180">
        <f t="shared" si="16"/>
        <v>67.2</v>
      </c>
      <c r="AF33" s="150">
        <f t="shared" si="17"/>
        <v>756</v>
      </c>
      <c r="AG33" s="150"/>
      <c r="AH33" s="150">
        <f t="shared" si="18"/>
        <v>600</v>
      </c>
      <c r="AI33" s="150">
        <f t="shared" si="26"/>
        <v>10587.166666666668</v>
      </c>
      <c r="AJ33" s="154">
        <f t="shared" si="19"/>
        <v>8079.0394166666683</v>
      </c>
      <c r="AK33" s="70">
        <f t="shared" si="20"/>
        <v>8060.0522500000043</v>
      </c>
      <c r="AL33" s="155">
        <f t="shared" si="21"/>
        <v>0.22945945945945956</v>
      </c>
      <c r="AM33" s="155">
        <f t="shared" si="22"/>
        <v>0.29799929799929809</v>
      </c>
    </row>
    <row r="34" spans="2:39" ht="14.25" hidden="1" customHeight="1" x14ac:dyDescent="0.25">
      <c r="B34" s="174" t="s">
        <v>358</v>
      </c>
      <c r="C34" s="171" t="s">
        <v>109</v>
      </c>
      <c r="D34" s="103">
        <v>168</v>
      </c>
      <c r="E34" s="104" t="s">
        <v>76</v>
      </c>
      <c r="F34" s="92">
        <v>0</v>
      </c>
      <c r="G34" s="219">
        <f>IF(F34&gt;0,F34,
IF(B34&lt;&gt;"",
IF(C34="CLT",VLOOKUP(B34,'Lista Profissionais'!$C$11:$H$348,3,0),
VLOOKUP(B34,'Lista Profissionais'!$C$11:$H$348,6,0)), 0))</f>
        <v>3200</v>
      </c>
      <c r="H34" s="219">
        <f>IF(B34&lt;&gt;"",
IF(C34="CLT",
       22*$M$5 + (G34*'Lista Profissionais'!$G$9),0),0)</f>
        <v>1740</v>
      </c>
      <c r="I34" s="66">
        <f t="shared" si="0"/>
        <v>3054.545454545455</v>
      </c>
      <c r="J34" s="66">
        <f t="shared" si="1"/>
        <v>7986.2424242424249</v>
      </c>
      <c r="K34" s="66">
        <f t="shared" si="2"/>
        <v>11384.388575757577</v>
      </c>
      <c r="L34" s="93">
        <f t="shared" si="23"/>
        <v>47.537157287157292</v>
      </c>
      <c r="M34" s="151"/>
      <c r="N34" s="152">
        <v>0</v>
      </c>
      <c r="O34" s="69">
        <f t="shared" si="3"/>
        <v>0</v>
      </c>
      <c r="P34" s="69">
        <f t="shared" si="4"/>
        <v>14774.548484848487</v>
      </c>
      <c r="Q34" s="70">
        <f t="shared" si="5"/>
        <v>14774.548484848487</v>
      </c>
      <c r="R34" s="153">
        <f t="shared" si="24"/>
        <v>0</v>
      </c>
      <c r="S34" s="70">
        <v>0</v>
      </c>
      <c r="T34" s="165">
        <f t="shared" si="6"/>
        <v>14774.548484848487</v>
      </c>
      <c r="U34" s="163">
        <f t="shared" si="7"/>
        <v>87.943740981240992</v>
      </c>
      <c r="V34" s="164">
        <f t="shared" si="25"/>
        <v>244.3636363636364</v>
      </c>
      <c r="W34" s="164">
        <f t="shared" si="8"/>
        <v>97.745454545454564</v>
      </c>
      <c r="X34" s="144">
        <f t="shared" si="9"/>
        <v>254.54545454545459</v>
      </c>
      <c r="Y34" s="150">
        <f t="shared" si="10"/>
        <v>84.848484848484858</v>
      </c>
      <c r="Z34" s="150">
        <f t="shared" si="11"/>
        <v>254.54545454545459</v>
      </c>
      <c r="AA34" s="150">
        <f t="shared" si="12"/>
        <v>840.00000000000023</v>
      </c>
      <c r="AB34" s="182">
        <f t="shared" si="13"/>
        <v>47.515151515151523</v>
      </c>
      <c r="AC34" s="182">
        <f t="shared" si="14"/>
        <v>163.33333333333337</v>
      </c>
      <c r="AD34" s="182">
        <f t="shared" si="15"/>
        <v>305.4545454545455</v>
      </c>
      <c r="AE34" s="180">
        <f t="shared" si="16"/>
        <v>24.436363636363641</v>
      </c>
      <c r="AF34" s="150">
        <f t="shared" si="17"/>
        <v>274.90909090909093</v>
      </c>
      <c r="AG34" s="150"/>
      <c r="AH34" s="150">
        <f t="shared" si="18"/>
        <v>600</v>
      </c>
      <c r="AI34" s="150">
        <f t="shared" si="26"/>
        <v>4931.69696969697</v>
      </c>
      <c r="AJ34" s="154">
        <f t="shared" si="19"/>
        <v>3398.1461515151523</v>
      </c>
      <c r="AK34" s="70">
        <f t="shared" si="20"/>
        <v>3390.1599090909103</v>
      </c>
      <c r="AL34" s="155">
        <f t="shared" si="21"/>
        <v>0.2294594594594595</v>
      </c>
      <c r="AM34" s="155">
        <f t="shared" si="22"/>
        <v>0.29799929799929809</v>
      </c>
    </row>
    <row r="35" spans="2:39" ht="14.25" hidden="1" customHeight="1" x14ac:dyDescent="0.25">
      <c r="B35" s="174" t="s">
        <v>359</v>
      </c>
      <c r="C35" s="171" t="s">
        <v>109</v>
      </c>
      <c r="D35" s="103">
        <v>168</v>
      </c>
      <c r="E35" s="104" t="s">
        <v>76</v>
      </c>
      <c r="F35" s="92">
        <v>0</v>
      </c>
      <c r="G35" s="219">
        <f>IF(F35&gt;0,F35,
IF(B35&lt;&gt;"",
IF(C35="CLT",VLOOKUP(B35,'Lista Profissionais'!$C$11:$H$348,3,0),
VLOOKUP(B35,'Lista Profissionais'!$C$11:$H$348,6,0)), 0))</f>
        <v>4800</v>
      </c>
      <c r="H35" s="219">
        <f>IF(B35&lt;&gt;"",
IF(C35="CLT",
       22*$M$5 + (G35*'Lista Profissionais'!$G$9),0),0)</f>
        <v>2060</v>
      </c>
      <c r="I35" s="66">
        <f t="shared" si="0"/>
        <v>4581.818181818182</v>
      </c>
      <c r="J35" s="66">
        <f t="shared" si="1"/>
        <v>11129.363636363636</v>
      </c>
      <c r="K35" s="66">
        <f t="shared" si="2"/>
        <v>15864.907863636363</v>
      </c>
      <c r="L35" s="93">
        <f t="shared" si="23"/>
        <v>66.246212121212125</v>
      </c>
      <c r="M35" s="151"/>
      <c r="N35" s="152">
        <v>0</v>
      </c>
      <c r="O35" s="69">
        <f t="shared" si="3"/>
        <v>0</v>
      </c>
      <c r="P35" s="69">
        <f t="shared" si="4"/>
        <v>20589.322727272727</v>
      </c>
      <c r="Q35" s="70">
        <f t="shared" si="5"/>
        <v>20589.322727272727</v>
      </c>
      <c r="R35" s="153">
        <f t="shared" si="24"/>
        <v>0</v>
      </c>
      <c r="S35" s="70">
        <v>0</v>
      </c>
      <c r="T35" s="165">
        <f t="shared" si="6"/>
        <v>20589.322727272727</v>
      </c>
      <c r="U35" s="163">
        <f t="shared" si="7"/>
        <v>122.55549242424243</v>
      </c>
      <c r="V35" s="164">
        <f t="shared" si="25"/>
        <v>366.54545454545456</v>
      </c>
      <c r="W35" s="164">
        <f t="shared" si="8"/>
        <v>146.61818181818182</v>
      </c>
      <c r="X35" s="144">
        <f t="shared" si="9"/>
        <v>381.81818181818181</v>
      </c>
      <c r="Y35" s="150">
        <f t="shared" si="10"/>
        <v>127.27272727272727</v>
      </c>
      <c r="Z35" s="150">
        <f t="shared" si="11"/>
        <v>381.81818181818181</v>
      </c>
      <c r="AA35" s="150">
        <f t="shared" si="12"/>
        <v>1260.0000000000002</v>
      </c>
      <c r="AB35" s="182">
        <f t="shared" si="13"/>
        <v>71.272727272727266</v>
      </c>
      <c r="AC35" s="182">
        <f t="shared" si="14"/>
        <v>245</v>
      </c>
      <c r="AD35" s="182">
        <f t="shared" si="15"/>
        <v>458.18181818181813</v>
      </c>
      <c r="AE35" s="180">
        <f t="shared" si="16"/>
        <v>36.654545454545449</v>
      </c>
      <c r="AF35" s="150">
        <f t="shared" si="17"/>
        <v>412.36363636363637</v>
      </c>
      <c r="AG35" s="150"/>
      <c r="AH35" s="150">
        <f t="shared" si="18"/>
        <v>600</v>
      </c>
      <c r="AI35" s="150">
        <f t="shared" si="26"/>
        <v>6547.545454545454</v>
      </c>
      <c r="AJ35" s="154">
        <f t="shared" si="19"/>
        <v>4735.5442272727278</v>
      </c>
      <c r="AK35" s="70">
        <f t="shared" si="20"/>
        <v>4724.4148636363643</v>
      </c>
      <c r="AL35" s="155">
        <f t="shared" si="21"/>
        <v>0.2294594594594595</v>
      </c>
      <c r="AM35" s="155">
        <f t="shared" si="22"/>
        <v>0.29799929799929803</v>
      </c>
    </row>
    <row r="36" spans="2:39" ht="14.25" hidden="1" customHeight="1" x14ac:dyDescent="0.25">
      <c r="B36" s="174" t="s">
        <v>360</v>
      </c>
      <c r="C36" s="171" t="s">
        <v>109</v>
      </c>
      <c r="D36" s="103">
        <v>168</v>
      </c>
      <c r="E36" s="104" t="s">
        <v>76</v>
      </c>
      <c r="F36" s="92">
        <v>0</v>
      </c>
      <c r="G36" s="219">
        <f>IF(F36&gt;0,F36,
IF(B36&lt;&gt;"",
IF(C36="CLT",VLOOKUP(B36,'Lista Profissionais'!$C$11:$H$348,3,0),
VLOOKUP(B36,'Lista Profissionais'!$C$11:$H$348,6,0)), 0))</f>
        <v>6400</v>
      </c>
      <c r="H36" s="219">
        <f>IF(B36&lt;&gt;"",
IF(C36="CLT",
       22*$M$5 + (G36*'Lista Profissionais'!$G$9),0),0)</f>
        <v>2380</v>
      </c>
      <c r="I36" s="66">
        <f t="shared" si="0"/>
        <v>6109.0909090909099</v>
      </c>
      <c r="J36" s="66">
        <f t="shared" si="1"/>
        <v>14272.484848484852</v>
      </c>
      <c r="K36" s="66">
        <f t="shared" si="2"/>
        <v>20345.427151515156</v>
      </c>
      <c r="L36" s="93">
        <f t="shared" si="23"/>
        <v>84.955266955266978</v>
      </c>
      <c r="M36" s="151"/>
      <c r="N36" s="152">
        <v>0</v>
      </c>
      <c r="O36" s="69">
        <f t="shared" si="3"/>
        <v>0</v>
      </c>
      <c r="P36" s="69">
        <f t="shared" si="4"/>
        <v>26404.096969696977</v>
      </c>
      <c r="Q36" s="70">
        <f t="shared" si="5"/>
        <v>26404.096969696977</v>
      </c>
      <c r="R36" s="153">
        <f t="shared" si="24"/>
        <v>0</v>
      </c>
      <c r="S36" s="70">
        <v>0</v>
      </c>
      <c r="T36" s="165">
        <f t="shared" si="6"/>
        <v>26404.096969696977</v>
      </c>
      <c r="U36" s="163">
        <f t="shared" si="7"/>
        <v>157.16724386724391</v>
      </c>
      <c r="V36" s="164">
        <f t="shared" si="25"/>
        <v>488.7272727272728</v>
      </c>
      <c r="W36" s="164">
        <f t="shared" si="8"/>
        <v>195.49090909090913</v>
      </c>
      <c r="X36" s="144">
        <f t="shared" si="9"/>
        <v>509.09090909090918</v>
      </c>
      <c r="Y36" s="150">
        <f t="shared" si="10"/>
        <v>169.69696969696972</v>
      </c>
      <c r="Z36" s="150">
        <f t="shared" si="11"/>
        <v>509.09090909090918</v>
      </c>
      <c r="AA36" s="150">
        <f t="shared" si="12"/>
        <v>1680.0000000000005</v>
      </c>
      <c r="AB36" s="182">
        <f t="shared" si="13"/>
        <v>95.030303030303045</v>
      </c>
      <c r="AC36" s="182">
        <f t="shared" si="14"/>
        <v>326.66666666666674</v>
      </c>
      <c r="AD36" s="182">
        <f t="shared" si="15"/>
        <v>610.90909090909099</v>
      </c>
      <c r="AE36" s="180">
        <f t="shared" si="16"/>
        <v>48.872727272727282</v>
      </c>
      <c r="AF36" s="150">
        <f t="shared" si="17"/>
        <v>549.81818181818187</v>
      </c>
      <c r="AG36" s="150"/>
      <c r="AH36" s="150">
        <f t="shared" si="18"/>
        <v>600</v>
      </c>
      <c r="AI36" s="150">
        <f t="shared" si="26"/>
        <v>8163.3939393939409</v>
      </c>
      <c r="AJ36" s="154">
        <f t="shared" si="19"/>
        <v>6072.9423030303051</v>
      </c>
      <c r="AK36" s="70">
        <f t="shared" si="20"/>
        <v>6058.669818181821</v>
      </c>
      <c r="AL36" s="155">
        <f t="shared" si="21"/>
        <v>0.2294594594594595</v>
      </c>
      <c r="AM36" s="155">
        <f t="shared" si="22"/>
        <v>0.29799929799929803</v>
      </c>
    </row>
    <row r="37" spans="2:39" ht="14.25" hidden="1" customHeight="1" x14ac:dyDescent="0.25">
      <c r="B37" s="174" t="s">
        <v>267</v>
      </c>
      <c r="C37" s="171" t="s">
        <v>109</v>
      </c>
      <c r="D37" s="103">
        <v>168</v>
      </c>
      <c r="E37" s="104" t="s">
        <v>76</v>
      </c>
      <c r="F37" s="92">
        <v>0</v>
      </c>
      <c r="G37" s="219">
        <f>IF(F37&gt;0,F37,
IF(B37&lt;&gt;"",
IF(C37="CLT",VLOOKUP(B37,'Lista Profissionais'!$C$11:$H$348,3,0),
VLOOKUP(B37,'Lista Profissionais'!$C$11:$H$348,6,0)), 0))</f>
        <v>1840</v>
      </c>
      <c r="H37" s="219">
        <f>IF(B37&lt;&gt;"",
IF(C37="CLT",
       22*$M$5 + (G37*'Lista Profissionais'!$G$9),0),0)</f>
        <v>1468</v>
      </c>
      <c r="I37" s="66">
        <f t="shared" si="0"/>
        <v>1756.3636363636365</v>
      </c>
      <c r="J37" s="66">
        <f t="shared" si="1"/>
        <v>5314.5893939393936</v>
      </c>
      <c r="K37" s="66">
        <f t="shared" si="2"/>
        <v>7575.9471810606065</v>
      </c>
      <c r="L37" s="93">
        <f t="shared" si="23"/>
        <v>31.634460678210676</v>
      </c>
      <c r="M37" s="151"/>
      <c r="N37" s="152">
        <v>0</v>
      </c>
      <c r="O37" s="69">
        <f t="shared" si="3"/>
        <v>0</v>
      </c>
      <c r="P37" s="69">
        <f t="shared" si="4"/>
        <v>9831.9903787878793</v>
      </c>
      <c r="Q37" s="70">
        <f t="shared" si="5"/>
        <v>9831.9903787878793</v>
      </c>
      <c r="R37" s="153">
        <f t="shared" si="24"/>
        <v>0</v>
      </c>
      <c r="S37" s="70">
        <v>0</v>
      </c>
      <c r="T37" s="165">
        <f t="shared" si="6"/>
        <v>9831.9903787878793</v>
      </c>
      <c r="U37" s="163">
        <f t="shared" si="7"/>
        <v>58.523752254689761</v>
      </c>
      <c r="V37" s="164">
        <f t="shared" si="25"/>
        <v>140.50909090909093</v>
      </c>
      <c r="W37" s="164">
        <f t="shared" si="8"/>
        <v>56.203636363636377</v>
      </c>
      <c r="X37" s="144">
        <f t="shared" si="9"/>
        <v>146.36363636363637</v>
      </c>
      <c r="Y37" s="150">
        <f t="shared" si="10"/>
        <v>48.787878787878789</v>
      </c>
      <c r="Z37" s="150">
        <f t="shared" si="11"/>
        <v>146.36363636363637</v>
      </c>
      <c r="AA37" s="150">
        <f t="shared" si="12"/>
        <v>483.00000000000006</v>
      </c>
      <c r="AB37" s="182">
        <f t="shared" si="13"/>
        <v>27.32121212121212</v>
      </c>
      <c r="AC37" s="182">
        <f t="shared" si="14"/>
        <v>93.916666666666671</v>
      </c>
      <c r="AD37" s="182">
        <f t="shared" si="15"/>
        <v>175.63636363636363</v>
      </c>
      <c r="AE37" s="180">
        <f t="shared" si="16"/>
        <v>14.050909090909091</v>
      </c>
      <c r="AF37" s="150">
        <f t="shared" si="17"/>
        <v>158.07272727272729</v>
      </c>
      <c r="AG37" s="150"/>
      <c r="AH37" s="150">
        <f t="shared" si="18"/>
        <v>600</v>
      </c>
      <c r="AI37" s="150">
        <f t="shared" si="26"/>
        <v>3558.2257575757576</v>
      </c>
      <c r="AJ37" s="154">
        <f t="shared" si="19"/>
        <v>2261.3577871212124</v>
      </c>
      <c r="AK37" s="70">
        <f t="shared" si="20"/>
        <v>2256.0431977272729</v>
      </c>
      <c r="AL37" s="155">
        <f t="shared" si="21"/>
        <v>0.22945945945945945</v>
      </c>
      <c r="AM37" s="155">
        <f t="shared" si="22"/>
        <v>0.29799929799929803</v>
      </c>
    </row>
    <row r="38" spans="2:39" ht="14.25" hidden="1" customHeight="1" x14ac:dyDescent="0.25">
      <c r="B38" s="174" t="s">
        <v>268</v>
      </c>
      <c r="C38" s="171" t="s">
        <v>109</v>
      </c>
      <c r="D38" s="103">
        <v>168</v>
      </c>
      <c r="E38" s="104" t="s">
        <v>76</v>
      </c>
      <c r="F38" s="92">
        <v>0</v>
      </c>
      <c r="G38" s="219">
        <f>IF(F38&gt;0,F38,
IF(B38&lt;&gt;"",
IF(C38="CLT",VLOOKUP(B38,'Lista Profissionais'!$C$11:$H$348,3,0),
VLOOKUP(B38,'Lista Profissionais'!$C$11:$H$348,6,0)), 0))</f>
        <v>2720</v>
      </c>
      <c r="H38" s="219">
        <f>IF(B38&lt;&gt;"",
IF(C38="CLT",
       22*$M$5 + (G38*'Lista Profissionais'!$G$9),0),0)</f>
        <v>1644</v>
      </c>
      <c r="I38" s="66">
        <f t="shared" si="0"/>
        <v>2596.3636363636365</v>
      </c>
      <c r="J38" s="66">
        <f t="shared" si="1"/>
        <v>7043.3060606060608</v>
      </c>
      <c r="K38" s="66">
        <f t="shared" si="2"/>
        <v>10040.23278939394</v>
      </c>
      <c r="L38" s="93">
        <f t="shared" si="23"/>
        <v>41.924440836940839</v>
      </c>
      <c r="M38" s="151"/>
      <c r="N38" s="152">
        <v>0</v>
      </c>
      <c r="O38" s="69">
        <f t="shared" si="3"/>
        <v>0</v>
      </c>
      <c r="P38" s="69">
        <f t="shared" si="4"/>
        <v>13030.116212121213</v>
      </c>
      <c r="Q38" s="70">
        <f t="shared" si="5"/>
        <v>13030.116212121213</v>
      </c>
      <c r="R38" s="153">
        <f t="shared" si="24"/>
        <v>0</v>
      </c>
      <c r="S38" s="70">
        <v>0</v>
      </c>
      <c r="T38" s="165">
        <f t="shared" si="6"/>
        <v>13030.116212121213</v>
      </c>
      <c r="U38" s="163">
        <f t="shared" si="7"/>
        <v>77.560215548340551</v>
      </c>
      <c r="V38" s="164">
        <f t="shared" si="25"/>
        <v>207.70909090909092</v>
      </c>
      <c r="W38" s="164">
        <f t="shared" si="8"/>
        <v>83.083636363636373</v>
      </c>
      <c r="X38" s="144">
        <f t="shared" si="9"/>
        <v>216.36363636363637</v>
      </c>
      <c r="Y38" s="150">
        <f t="shared" si="10"/>
        <v>72.121212121212125</v>
      </c>
      <c r="Z38" s="150">
        <f t="shared" si="11"/>
        <v>216.36363636363637</v>
      </c>
      <c r="AA38" s="150">
        <f t="shared" si="12"/>
        <v>714.00000000000011</v>
      </c>
      <c r="AB38" s="182">
        <f t="shared" si="13"/>
        <v>40.38787878787879</v>
      </c>
      <c r="AC38" s="182">
        <f t="shared" si="14"/>
        <v>138.83333333333334</v>
      </c>
      <c r="AD38" s="182">
        <f t="shared" si="15"/>
        <v>259.63636363636363</v>
      </c>
      <c r="AE38" s="180">
        <f t="shared" si="16"/>
        <v>20.77090909090909</v>
      </c>
      <c r="AF38" s="150">
        <f t="shared" si="17"/>
        <v>233.67272727272729</v>
      </c>
      <c r="AG38" s="150"/>
      <c r="AH38" s="150">
        <f t="shared" si="18"/>
        <v>600</v>
      </c>
      <c r="AI38" s="150">
        <f t="shared" si="26"/>
        <v>4446.9424242424247</v>
      </c>
      <c r="AJ38" s="154">
        <f t="shared" si="19"/>
        <v>2996.9267287878793</v>
      </c>
      <c r="AK38" s="70">
        <f t="shared" si="20"/>
        <v>2989.8834227272728</v>
      </c>
      <c r="AL38" s="155">
        <f t="shared" si="21"/>
        <v>0.22945945945945945</v>
      </c>
      <c r="AM38" s="155">
        <f t="shared" si="22"/>
        <v>0.29799929799929797</v>
      </c>
    </row>
    <row r="39" spans="2:39" ht="14.25" hidden="1" customHeight="1" x14ac:dyDescent="0.25">
      <c r="B39" s="174" t="s">
        <v>269</v>
      </c>
      <c r="C39" s="171" t="s">
        <v>109</v>
      </c>
      <c r="D39" s="103">
        <v>168</v>
      </c>
      <c r="E39" s="104" t="s">
        <v>76</v>
      </c>
      <c r="F39" s="92">
        <v>0</v>
      </c>
      <c r="G39" s="219">
        <f>IF(F39&gt;0,F39,
IF(B39&lt;&gt;"",
IF(C39="CLT",VLOOKUP(B39,'Lista Profissionais'!$C$11:$H$348,3,0),
VLOOKUP(B39,'Lista Profissionais'!$C$11:$H$348,6,0)), 0))</f>
        <v>4200</v>
      </c>
      <c r="H39" s="219">
        <f>IF(B39&lt;&gt;"",
IF(C39="CLT",
       22*$M$5 + (G39*'Lista Profissionais'!$G$9),0),0)</f>
        <v>1940</v>
      </c>
      <c r="I39" s="66">
        <f t="shared" si="0"/>
        <v>4009.090909090909</v>
      </c>
      <c r="J39" s="66">
        <f t="shared" si="1"/>
        <v>9950.693181818182</v>
      </c>
      <c r="K39" s="66">
        <f t="shared" si="2"/>
        <v>14184.713130681819</v>
      </c>
      <c r="L39" s="93">
        <f t="shared" si="23"/>
        <v>59.230316558441558</v>
      </c>
      <c r="M39" s="151"/>
      <c r="N39" s="152">
        <v>0</v>
      </c>
      <c r="O39" s="69">
        <f t="shared" si="3"/>
        <v>0</v>
      </c>
      <c r="P39" s="69">
        <f t="shared" si="4"/>
        <v>18408.782386363637</v>
      </c>
      <c r="Q39" s="70">
        <f t="shared" si="5"/>
        <v>18408.782386363637</v>
      </c>
      <c r="R39" s="153">
        <f t="shared" si="24"/>
        <v>0</v>
      </c>
      <c r="S39" s="70">
        <v>0</v>
      </c>
      <c r="T39" s="165">
        <f t="shared" si="6"/>
        <v>18408.782386363637</v>
      </c>
      <c r="U39" s="163">
        <f t="shared" si="7"/>
        <v>109.57608563311689</v>
      </c>
      <c r="V39" s="164">
        <f t="shared" si="25"/>
        <v>320.72727272727275</v>
      </c>
      <c r="W39" s="164">
        <f t="shared" si="8"/>
        <v>128.29090909090911</v>
      </c>
      <c r="X39" s="144">
        <f t="shared" si="9"/>
        <v>334.09090909090907</v>
      </c>
      <c r="Y39" s="150">
        <f t="shared" si="10"/>
        <v>111.36363636363636</v>
      </c>
      <c r="Z39" s="150">
        <f t="shared" si="11"/>
        <v>334.09090909090907</v>
      </c>
      <c r="AA39" s="150">
        <f t="shared" si="12"/>
        <v>1102.5</v>
      </c>
      <c r="AB39" s="182">
        <f t="shared" si="13"/>
        <v>62.36363636363636</v>
      </c>
      <c r="AC39" s="182">
        <f t="shared" si="14"/>
        <v>214.375</v>
      </c>
      <c r="AD39" s="182">
        <f t="shared" si="15"/>
        <v>400.90909090909088</v>
      </c>
      <c r="AE39" s="180">
        <f t="shared" si="16"/>
        <v>32.072727272727271</v>
      </c>
      <c r="AF39" s="150">
        <f t="shared" si="17"/>
        <v>360.81818181818181</v>
      </c>
      <c r="AG39" s="150"/>
      <c r="AH39" s="150">
        <f t="shared" si="18"/>
        <v>600</v>
      </c>
      <c r="AI39" s="150">
        <f t="shared" si="26"/>
        <v>5941.602272727273</v>
      </c>
      <c r="AJ39" s="154">
        <f t="shared" si="19"/>
        <v>4234.0199488636363</v>
      </c>
      <c r="AK39" s="70">
        <f t="shared" si="20"/>
        <v>4224.0692556818194</v>
      </c>
      <c r="AL39" s="155">
        <f t="shared" si="21"/>
        <v>0.22945945945945953</v>
      </c>
      <c r="AM39" s="155">
        <f t="shared" si="22"/>
        <v>0.29799929799929803</v>
      </c>
    </row>
    <row r="40" spans="2:39" ht="14.25" hidden="1" customHeight="1" x14ac:dyDescent="0.25">
      <c r="B40" s="174" t="s">
        <v>270</v>
      </c>
      <c r="C40" s="171" t="s">
        <v>109</v>
      </c>
      <c r="D40" s="103">
        <v>168</v>
      </c>
      <c r="E40" s="104" t="s">
        <v>76</v>
      </c>
      <c r="F40" s="92">
        <v>0</v>
      </c>
      <c r="G40" s="219">
        <f>IF(F40&gt;0,F40,
IF(B40&lt;&gt;"",
IF(C40="CLT",VLOOKUP(B40,'Lista Profissionais'!$C$11:$H$348,3,0),
VLOOKUP(B40,'Lista Profissionais'!$C$11:$H$348,6,0)), 0))</f>
        <v>2400</v>
      </c>
      <c r="H40" s="219">
        <f>IF(B40&lt;&gt;"",
IF(C40="CLT",
       22*$M$5 + (G40*'Lista Profissionais'!$G$9),0),0)</f>
        <v>1580</v>
      </c>
      <c r="I40" s="66">
        <f t="shared" si="0"/>
        <v>2290.909090909091</v>
      </c>
      <c r="J40" s="66">
        <f t="shared" si="1"/>
        <v>6414.681818181818</v>
      </c>
      <c r="K40" s="66">
        <f t="shared" si="2"/>
        <v>9144.1289318181807</v>
      </c>
      <c r="L40" s="93">
        <f t="shared" si="23"/>
        <v>38.182629870129873</v>
      </c>
      <c r="M40" s="151"/>
      <c r="N40" s="152">
        <v>0</v>
      </c>
      <c r="O40" s="69">
        <f t="shared" si="3"/>
        <v>0</v>
      </c>
      <c r="P40" s="69">
        <f t="shared" si="4"/>
        <v>11867.161363636364</v>
      </c>
      <c r="Q40" s="70">
        <f t="shared" si="5"/>
        <v>11867.161363636364</v>
      </c>
      <c r="R40" s="153">
        <f t="shared" si="24"/>
        <v>0</v>
      </c>
      <c r="S40" s="70">
        <v>0</v>
      </c>
      <c r="T40" s="165">
        <f t="shared" si="6"/>
        <v>11867.161363636364</v>
      </c>
      <c r="U40" s="163">
        <f t="shared" si="7"/>
        <v>70.637865259740266</v>
      </c>
      <c r="V40" s="164">
        <f t="shared" si="25"/>
        <v>183.27272727272728</v>
      </c>
      <c r="W40" s="164">
        <f t="shared" si="8"/>
        <v>73.309090909090912</v>
      </c>
      <c r="X40" s="144">
        <f t="shared" si="9"/>
        <v>190.90909090909091</v>
      </c>
      <c r="Y40" s="150">
        <f t="shared" si="10"/>
        <v>63.636363636363633</v>
      </c>
      <c r="Z40" s="150">
        <f t="shared" si="11"/>
        <v>190.90909090909091</v>
      </c>
      <c r="AA40" s="150">
        <f t="shared" si="12"/>
        <v>630.00000000000011</v>
      </c>
      <c r="AB40" s="182">
        <f t="shared" si="13"/>
        <v>35.636363636363633</v>
      </c>
      <c r="AC40" s="182">
        <f t="shared" si="14"/>
        <v>122.5</v>
      </c>
      <c r="AD40" s="182">
        <f t="shared" si="15"/>
        <v>229.09090909090907</v>
      </c>
      <c r="AE40" s="180">
        <f t="shared" si="16"/>
        <v>18.327272727272724</v>
      </c>
      <c r="AF40" s="150">
        <f t="shared" si="17"/>
        <v>206.18181818181819</v>
      </c>
      <c r="AG40" s="150"/>
      <c r="AH40" s="150">
        <f t="shared" si="18"/>
        <v>600</v>
      </c>
      <c r="AI40" s="150">
        <f t="shared" si="26"/>
        <v>4123.772727272727</v>
      </c>
      <c r="AJ40" s="154">
        <f t="shared" si="19"/>
        <v>2729.4471136363636</v>
      </c>
      <c r="AK40" s="70">
        <f t="shared" si="20"/>
        <v>2723.0324318181829</v>
      </c>
      <c r="AL40" s="155">
        <f t="shared" si="21"/>
        <v>0.22945945945945956</v>
      </c>
      <c r="AM40" s="155">
        <f t="shared" si="22"/>
        <v>0.29799929799929809</v>
      </c>
    </row>
    <row r="41" spans="2:39" ht="14.25" hidden="1" customHeight="1" x14ac:dyDescent="0.25">
      <c r="B41" s="174" t="s">
        <v>271</v>
      </c>
      <c r="C41" s="171" t="s">
        <v>109</v>
      </c>
      <c r="D41" s="103">
        <v>168</v>
      </c>
      <c r="E41" s="104" t="s">
        <v>76</v>
      </c>
      <c r="F41" s="92">
        <v>0</v>
      </c>
      <c r="G41" s="219">
        <f>IF(F41&gt;0,F41,
IF(B41&lt;&gt;"",
IF(C41="CLT",VLOOKUP(B41,'Lista Profissionais'!$C$11:$H$348,3,0),
VLOOKUP(B41,'Lista Profissionais'!$C$11:$H$348,6,0)), 0))</f>
        <v>3200</v>
      </c>
      <c r="H41" s="219">
        <f>IF(B41&lt;&gt;"",
IF(C41="CLT",
       22*$M$5 + (G41*'Lista Profissionais'!$G$9),0),0)</f>
        <v>1740</v>
      </c>
      <c r="I41" s="66">
        <f t="shared" si="0"/>
        <v>3054.545454545455</v>
      </c>
      <c r="J41" s="66">
        <f t="shared" si="1"/>
        <v>7986.2424242424249</v>
      </c>
      <c r="K41" s="66">
        <f t="shared" si="2"/>
        <v>11384.388575757577</v>
      </c>
      <c r="L41" s="93">
        <f t="shared" si="23"/>
        <v>47.537157287157292</v>
      </c>
      <c r="M41" s="151"/>
      <c r="N41" s="152">
        <v>0</v>
      </c>
      <c r="O41" s="69">
        <f t="shared" si="3"/>
        <v>0</v>
      </c>
      <c r="P41" s="69">
        <f t="shared" si="4"/>
        <v>14774.548484848487</v>
      </c>
      <c r="Q41" s="70">
        <f t="shared" si="5"/>
        <v>14774.548484848487</v>
      </c>
      <c r="R41" s="153">
        <f t="shared" si="24"/>
        <v>0</v>
      </c>
      <c r="S41" s="70">
        <v>0</v>
      </c>
      <c r="T41" s="165">
        <f t="shared" si="6"/>
        <v>14774.548484848487</v>
      </c>
      <c r="U41" s="163">
        <f t="shared" si="7"/>
        <v>87.943740981240992</v>
      </c>
      <c r="V41" s="164">
        <f t="shared" si="25"/>
        <v>244.3636363636364</v>
      </c>
      <c r="W41" s="164">
        <f t="shared" si="8"/>
        <v>97.745454545454564</v>
      </c>
      <c r="X41" s="144">
        <f t="shared" si="9"/>
        <v>254.54545454545459</v>
      </c>
      <c r="Y41" s="150">
        <f t="shared" si="10"/>
        <v>84.848484848484858</v>
      </c>
      <c r="Z41" s="150">
        <f t="shared" si="11"/>
        <v>254.54545454545459</v>
      </c>
      <c r="AA41" s="150">
        <f t="shared" si="12"/>
        <v>840.00000000000023</v>
      </c>
      <c r="AB41" s="182">
        <f t="shared" si="13"/>
        <v>47.515151515151523</v>
      </c>
      <c r="AC41" s="182">
        <f t="shared" si="14"/>
        <v>163.33333333333337</v>
      </c>
      <c r="AD41" s="182">
        <f t="shared" si="15"/>
        <v>305.4545454545455</v>
      </c>
      <c r="AE41" s="180">
        <f t="shared" si="16"/>
        <v>24.436363636363641</v>
      </c>
      <c r="AF41" s="150">
        <f t="shared" si="17"/>
        <v>274.90909090909093</v>
      </c>
      <c r="AG41" s="150"/>
      <c r="AH41" s="150">
        <f t="shared" si="18"/>
        <v>600</v>
      </c>
      <c r="AI41" s="150">
        <f t="shared" si="26"/>
        <v>4931.69696969697</v>
      </c>
      <c r="AJ41" s="154">
        <f t="shared" si="19"/>
        <v>3398.1461515151523</v>
      </c>
      <c r="AK41" s="70">
        <f t="shared" si="20"/>
        <v>3390.1599090909103</v>
      </c>
      <c r="AL41" s="155">
        <f t="shared" si="21"/>
        <v>0.2294594594594595</v>
      </c>
      <c r="AM41" s="155">
        <f t="shared" si="22"/>
        <v>0.29799929799929809</v>
      </c>
    </row>
    <row r="42" spans="2:39" ht="14.25" hidden="1" customHeight="1" x14ac:dyDescent="0.25">
      <c r="B42" s="174" t="s">
        <v>272</v>
      </c>
      <c r="C42" s="171" t="s">
        <v>109</v>
      </c>
      <c r="D42" s="103">
        <v>168</v>
      </c>
      <c r="E42" s="104" t="s">
        <v>76</v>
      </c>
      <c r="F42" s="92">
        <v>0</v>
      </c>
      <c r="G42" s="219">
        <f>IF(F42&gt;0,F42,
IF(B42&lt;&gt;"",
IF(C42="CLT",VLOOKUP(B42,'Lista Profissionais'!$C$11:$H$348,3,0),
VLOOKUP(B42,'Lista Profissionais'!$C$11:$H$348,6,0)), 0))</f>
        <v>4400</v>
      </c>
      <c r="H42" s="219">
        <f>IF(B42&lt;&gt;"",
IF(C42="CLT",
       22*$M$5 + (G42*'Lista Profissionais'!$G$9),0),0)</f>
        <v>1980</v>
      </c>
      <c r="I42" s="66">
        <f t="shared" si="0"/>
        <v>4200</v>
      </c>
      <c r="J42" s="66">
        <f t="shared" si="1"/>
        <v>10343.583333333334</v>
      </c>
      <c r="K42" s="66">
        <f t="shared" si="2"/>
        <v>14744.778041666668</v>
      </c>
      <c r="L42" s="93">
        <f t="shared" si="23"/>
        <v>61.568948412698418</v>
      </c>
      <c r="M42" s="151"/>
      <c r="N42" s="152">
        <v>0</v>
      </c>
      <c r="O42" s="69">
        <f t="shared" si="3"/>
        <v>0</v>
      </c>
      <c r="P42" s="69">
        <f t="shared" si="4"/>
        <v>19135.629166666669</v>
      </c>
      <c r="Q42" s="70">
        <f t="shared" si="5"/>
        <v>19135.629166666669</v>
      </c>
      <c r="R42" s="153">
        <f t="shared" si="24"/>
        <v>0</v>
      </c>
      <c r="S42" s="70">
        <v>0</v>
      </c>
      <c r="T42" s="165">
        <f t="shared" si="6"/>
        <v>19135.629166666669</v>
      </c>
      <c r="U42" s="163">
        <f t="shared" si="7"/>
        <v>113.90255456349207</v>
      </c>
      <c r="V42" s="164">
        <f t="shared" si="25"/>
        <v>336</v>
      </c>
      <c r="W42" s="164">
        <f t="shared" si="8"/>
        <v>134.4</v>
      </c>
      <c r="X42" s="144">
        <f t="shared" si="9"/>
        <v>350</v>
      </c>
      <c r="Y42" s="150">
        <f t="shared" si="10"/>
        <v>116.66666666666667</v>
      </c>
      <c r="Z42" s="150">
        <f t="shared" si="11"/>
        <v>350</v>
      </c>
      <c r="AA42" s="150">
        <f t="shared" si="12"/>
        <v>1155</v>
      </c>
      <c r="AB42" s="182">
        <f t="shared" si="13"/>
        <v>65.333333333333343</v>
      </c>
      <c r="AC42" s="182">
        <f t="shared" si="14"/>
        <v>224.58333333333337</v>
      </c>
      <c r="AD42" s="182">
        <f t="shared" si="15"/>
        <v>420</v>
      </c>
      <c r="AE42" s="180">
        <f t="shared" si="16"/>
        <v>33.6</v>
      </c>
      <c r="AF42" s="150">
        <f t="shared" si="17"/>
        <v>378</v>
      </c>
      <c r="AG42" s="150"/>
      <c r="AH42" s="150">
        <f t="shared" si="18"/>
        <v>600</v>
      </c>
      <c r="AI42" s="150">
        <f t="shared" si="26"/>
        <v>6143.5833333333339</v>
      </c>
      <c r="AJ42" s="154">
        <f t="shared" si="19"/>
        <v>4401.1947083333343</v>
      </c>
      <c r="AK42" s="70">
        <f t="shared" si="20"/>
        <v>4390.851125000001</v>
      </c>
      <c r="AL42" s="155">
        <f t="shared" si="21"/>
        <v>0.22945945945945947</v>
      </c>
      <c r="AM42" s="155">
        <f t="shared" si="22"/>
        <v>0.29799929799929803</v>
      </c>
    </row>
    <row r="43" spans="2:39" ht="14.25" hidden="1" customHeight="1" x14ac:dyDescent="0.25">
      <c r="B43" s="174" t="s">
        <v>273</v>
      </c>
      <c r="C43" s="171" t="s">
        <v>109</v>
      </c>
      <c r="D43" s="103">
        <v>168</v>
      </c>
      <c r="E43" s="104" t="s">
        <v>76</v>
      </c>
      <c r="F43" s="92">
        <v>0</v>
      </c>
      <c r="G43" s="219">
        <f>IF(F43&gt;0,F43,
IF(B43&lt;&gt;"",
IF(C43="CLT",VLOOKUP(B43,'Lista Profissionais'!$C$11:$H$348,3,0),
VLOOKUP(B43,'Lista Profissionais'!$C$11:$H$348,6,0)), 0))</f>
        <v>7600</v>
      </c>
      <c r="H43" s="219">
        <f>IF(B43&lt;&gt;"",
IF(C43="CLT",
       22*$M$5 + (G43*'Lista Profissionais'!$G$9),0),0)</f>
        <v>2620</v>
      </c>
      <c r="I43" s="66">
        <f t="shared" si="0"/>
        <v>7254.545454545454</v>
      </c>
      <c r="J43" s="66">
        <f t="shared" si="1"/>
        <v>16629.82575757576</v>
      </c>
      <c r="K43" s="66">
        <f t="shared" si="2"/>
        <v>23705.816617424247</v>
      </c>
      <c r="L43" s="93">
        <f t="shared" si="23"/>
        <v>98.987058080808097</v>
      </c>
      <c r="M43" s="151"/>
      <c r="N43" s="152">
        <v>0</v>
      </c>
      <c r="O43" s="69">
        <f t="shared" si="3"/>
        <v>0</v>
      </c>
      <c r="P43" s="69">
        <f t="shared" si="4"/>
        <v>30765.177651515158</v>
      </c>
      <c r="Q43" s="70">
        <f t="shared" si="5"/>
        <v>30765.177651515158</v>
      </c>
      <c r="R43" s="153">
        <f t="shared" si="24"/>
        <v>0</v>
      </c>
      <c r="S43" s="70">
        <v>0</v>
      </c>
      <c r="T43" s="165">
        <f t="shared" si="6"/>
        <v>30765.177651515158</v>
      </c>
      <c r="U43" s="163">
        <f t="shared" si="7"/>
        <v>183.12605744949499</v>
      </c>
      <c r="V43" s="164">
        <f t="shared" si="25"/>
        <v>580.36363636363637</v>
      </c>
      <c r="W43" s="164">
        <f t="shared" si="8"/>
        <v>232.14545454545456</v>
      </c>
      <c r="X43" s="144">
        <f t="shared" si="9"/>
        <v>604.5454545454545</v>
      </c>
      <c r="Y43" s="150">
        <f t="shared" si="10"/>
        <v>201.5151515151515</v>
      </c>
      <c r="Z43" s="150">
        <f t="shared" si="11"/>
        <v>604.5454545454545</v>
      </c>
      <c r="AA43" s="150">
        <f t="shared" si="12"/>
        <v>1995</v>
      </c>
      <c r="AB43" s="182">
        <f t="shared" si="13"/>
        <v>112.84848484848484</v>
      </c>
      <c r="AC43" s="182">
        <f t="shared" si="14"/>
        <v>387.91666666666669</v>
      </c>
      <c r="AD43" s="182">
        <f t="shared" si="15"/>
        <v>725.4545454545455</v>
      </c>
      <c r="AE43" s="180">
        <f t="shared" si="16"/>
        <v>58.036363636363639</v>
      </c>
      <c r="AF43" s="150">
        <f t="shared" si="17"/>
        <v>652.90909090909088</v>
      </c>
      <c r="AG43" s="150"/>
      <c r="AH43" s="150">
        <f t="shared" si="18"/>
        <v>600</v>
      </c>
      <c r="AI43" s="150">
        <f t="shared" si="26"/>
        <v>9375.2803030303039</v>
      </c>
      <c r="AJ43" s="154">
        <f t="shared" si="19"/>
        <v>7075.9908598484863</v>
      </c>
      <c r="AK43" s="70">
        <f t="shared" si="20"/>
        <v>7059.3610340909108</v>
      </c>
      <c r="AL43" s="155">
        <f t="shared" si="21"/>
        <v>0.22945945945945947</v>
      </c>
      <c r="AM43" s="155">
        <f t="shared" si="22"/>
        <v>0.29799929799929803</v>
      </c>
    </row>
    <row r="44" spans="2:39" ht="14.25" hidden="1" customHeight="1" x14ac:dyDescent="0.25">
      <c r="B44" s="174" t="s">
        <v>274</v>
      </c>
      <c r="C44" s="171" t="s">
        <v>109</v>
      </c>
      <c r="D44" s="103">
        <v>168</v>
      </c>
      <c r="E44" s="104" t="s">
        <v>76</v>
      </c>
      <c r="F44" s="92">
        <v>0</v>
      </c>
      <c r="G44" s="219">
        <f>IF(F44&gt;0,F44,
IF(B44&lt;&gt;"",
IF(C44="CLT",VLOOKUP(B44,'Lista Profissionais'!$C$11:$H$348,3,0),
VLOOKUP(B44,'Lista Profissionais'!$C$11:$H$348,6,0)), 0))</f>
        <v>3200</v>
      </c>
      <c r="H44" s="219">
        <f>IF(B44&lt;&gt;"",
IF(C44="CLT",
       22*$M$5 + (G44*'Lista Profissionais'!$G$9),0),0)</f>
        <v>1740</v>
      </c>
      <c r="I44" s="66">
        <f t="shared" si="0"/>
        <v>3054.545454545455</v>
      </c>
      <c r="J44" s="66">
        <f t="shared" si="1"/>
        <v>7986.2424242424249</v>
      </c>
      <c r="K44" s="66">
        <f t="shared" si="2"/>
        <v>11384.388575757577</v>
      </c>
      <c r="L44" s="93">
        <f t="shared" si="23"/>
        <v>47.537157287157292</v>
      </c>
      <c r="M44" s="151"/>
      <c r="N44" s="152">
        <v>0</v>
      </c>
      <c r="O44" s="69">
        <f t="shared" si="3"/>
        <v>0</v>
      </c>
      <c r="P44" s="69">
        <f t="shared" si="4"/>
        <v>14774.548484848487</v>
      </c>
      <c r="Q44" s="70">
        <f t="shared" si="5"/>
        <v>14774.548484848487</v>
      </c>
      <c r="R44" s="153">
        <f t="shared" si="24"/>
        <v>0</v>
      </c>
      <c r="S44" s="70">
        <v>0</v>
      </c>
      <c r="T44" s="165">
        <f t="shared" si="6"/>
        <v>14774.548484848487</v>
      </c>
      <c r="U44" s="163">
        <f t="shared" si="7"/>
        <v>87.943740981240992</v>
      </c>
      <c r="V44" s="164">
        <f t="shared" si="25"/>
        <v>244.3636363636364</v>
      </c>
      <c r="W44" s="164">
        <f t="shared" si="8"/>
        <v>97.745454545454564</v>
      </c>
      <c r="X44" s="144">
        <f t="shared" si="9"/>
        <v>254.54545454545459</v>
      </c>
      <c r="Y44" s="150">
        <f t="shared" si="10"/>
        <v>84.848484848484858</v>
      </c>
      <c r="Z44" s="150">
        <f t="shared" si="11"/>
        <v>254.54545454545459</v>
      </c>
      <c r="AA44" s="150">
        <f t="shared" si="12"/>
        <v>840.00000000000023</v>
      </c>
      <c r="AB44" s="182">
        <f t="shared" si="13"/>
        <v>47.515151515151523</v>
      </c>
      <c r="AC44" s="182">
        <f t="shared" si="14"/>
        <v>163.33333333333337</v>
      </c>
      <c r="AD44" s="182">
        <f t="shared" si="15"/>
        <v>305.4545454545455</v>
      </c>
      <c r="AE44" s="180">
        <f t="shared" si="16"/>
        <v>24.436363636363641</v>
      </c>
      <c r="AF44" s="150">
        <f t="shared" si="17"/>
        <v>274.90909090909093</v>
      </c>
      <c r="AG44" s="150"/>
      <c r="AH44" s="150">
        <f t="shared" si="18"/>
        <v>600</v>
      </c>
      <c r="AI44" s="150">
        <f t="shared" si="26"/>
        <v>4931.69696969697</v>
      </c>
      <c r="AJ44" s="154">
        <f t="shared" si="19"/>
        <v>3398.1461515151523</v>
      </c>
      <c r="AK44" s="70">
        <f t="shared" si="20"/>
        <v>3390.1599090909103</v>
      </c>
      <c r="AL44" s="155">
        <f t="shared" si="21"/>
        <v>0.2294594594594595</v>
      </c>
      <c r="AM44" s="155">
        <f t="shared" si="22"/>
        <v>0.29799929799929809</v>
      </c>
    </row>
    <row r="45" spans="2:39" ht="14.25" hidden="1" customHeight="1" x14ac:dyDescent="0.25">
      <c r="B45" s="174" t="s">
        <v>275</v>
      </c>
      <c r="C45" s="171" t="s">
        <v>109</v>
      </c>
      <c r="D45" s="103">
        <v>168</v>
      </c>
      <c r="E45" s="104" t="s">
        <v>76</v>
      </c>
      <c r="F45" s="92">
        <v>0</v>
      </c>
      <c r="G45" s="219">
        <f>IF(F45&gt;0,F45,
IF(B45&lt;&gt;"",
IF(C45="CLT",VLOOKUP(B45,'Lista Profissionais'!$C$11:$H$348,3,0),
VLOOKUP(B45,'Lista Profissionais'!$C$11:$H$348,6,0)), 0))</f>
        <v>4400</v>
      </c>
      <c r="H45" s="219">
        <f>IF(B45&lt;&gt;"",
IF(C45="CLT",
       22*$M$5 + (G45*'Lista Profissionais'!$G$9),0),0)</f>
        <v>1980</v>
      </c>
      <c r="I45" s="66">
        <f t="shared" si="0"/>
        <v>4200</v>
      </c>
      <c r="J45" s="66">
        <f t="shared" si="1"/>
        <v>10343.583333333334</v>
      </c>
      <c r="K45" s="66">
        <f t="shared" si="2"/>
        <v>14744.778041666668</v>
      </c>
      <c r="L45" s="93">
        <f t="shared" si="23"/>
        <v>61.568948412698418</v>
      </c>
      <c r="M45" s="151"/>
      <c r="N45" s="152">
        <v>0</v>
      </c>
      <c r="O45" s="69">
        <f t="shared" si="3"/>
        <v>0</v>
      </c>
      <c r="P45" s="69">
        <f t="shared" si="4"/>
        <v>19135.629166666669</v>
      </c>
      <c r="Q45" s="70">
        <f t="shared" si="5"/>
        <v>19135.629166666669</v>
      </c>
      <c r="R45" s="153">
        <f t="shared" si="24"/>
        <v>0</v>
      </c>
      <c r="S45" s="70">
        <v>0</v>
      </c>
      <c r="T45" s="165">
        <f t="shared" si="6"/>
        <v>19135.629166666669</v>
      </c>
      <c r="U45" s="163">
        <f t="shared" si="7"/>
        <v>113.90255456349207</v>
      </c>
      <c r="V45" s="164">
        <f t="shared" si="25"/>
        <v>336</v>
      </c>
      <c r="W45" s="164">
        <f t="shared" si="8"/>
        <v>134.4</v>
      </c>
      <c r="X45" s="144">
        <f t="shared" si="9"/>
        <v>350</v>
      </c>
      <c r="Y45" s="150">
        <f t="shared" si="10"/>
        <v>116.66666666666667</v>
      </c>
      <c r="Z45" s="150">
        <f t="shared" si="11"/>
        <v>350</v>
      </c>
      <c r="AA45" s="150">
        <f t="shared" si="12"/>
        <v>1155</v>
      </c>
      <c r="AB45" s="182">
        <f t="shared" si="13"/>
        <v>65.333333333333343</v>
      </c>
      <c r="AC45" s="182">
        <f t="shared" si="14"/>
        <v>224.58333333333337</v>
      </c>
      <c r="AD45" s="182">
        <f t="shared" si="15"/>
        <v>420</v>
      </c>
      <c r="AE45" s="180">
        <f t="shared" si="16"/>
        <v>33.6</v>
      </c>
      <c r="AF45" s="150">
        <f t="shared" si="17"/>
        <v>378</v>
      </c>
      <c r="AG45" s="150"/>
      <c r="AH45" s="150">
        <f t="shared" si="18"/>
        <v>600</v>
      </c>
      <c r="AI45" s="150">
        <f t="shared" si="26"/>
        <v>6143.5833333333339</v>
      </c>
      <c r="AJ45" s="154">
        <f t="shared" si="19"/>
        <v>4401.1947083333343</v>
      </c>
      <c r="AK45" s="70">
        <f t="shared" si="20"/>
        <v>4390.851125000001</v>
      </c>
      <c r="AL45" s="155">
        <f t="shared" si="21"/>
        <v>0.22945945945945947</v>
      </c>
      <c r="AM45" s="155">
        <f t="shared" si="22"/>
        <v>0.29799929799929803</v>
      </c>
    </row>
    <row r="46" spans="2:39" ht="14.25" hidden="1" customHeight="1" x14ac:dyDescent="0.25">
      <c r="B46" s="174" t="s">
        <v>276</v>
      </c>
      <c r="C46" s="171" t="s">
        <v>109</v>
      </c>
      <c r="D46" s="103">
        <v>168</v>
      </c>
      <c r="E46" s="104" t="s">
        <v>76</v>
      </c>
      <c r="F46" s="92">
        <v>0</v>
      </c>
      <c r="G46" s="219">
        <f>IF(F46&gt;0,F46,
IF(B46&lt;&gt;"",
IF(C46="CLT",VLOOKUP(B46,'Lista Profissionais'!$C$11:$H$348,3,0),
VLOOKUP(B46,'Lista Profissionais'!$C$11:$H$348,6,0)), 0))</f>
        <v>5760</v>
      </c>
      <c r="H46" s="219">
        <f>IF(B46&lt;&gt;"",
IF(C46="CLT",
       22*$M$5 + (G46*'Lista Profissionais'!$G$9),0),0)</f>
        <v>2252</v>
      </c>
      <c r="I46" s="66">
        <f t="shared" si="0"/>
        <v>5498.181818181818</v>
      </c>
      <c r="J46" s="66">
        <f t="shared" si="1"/>
        <v>13015.236363636363</v>
      </c>
      <c r="K46" s="66">
        <f t="shared" si="2"/>
        <v>18553.219436363637</v>
      </c>
      <c r="L46" s="93">
        <f t="shared" si="23"/>
        <v>77.471645021645017</v>
      </c>
      <c r="M46" s="151"/>
      <c r="N46" s="152">
        <v>0</v>
      </c>
      <c r="O46" s="69">
        <f t="shared" si="3"/>
        <v>0</v>
      </c>
      <c r="P46" s="69">
        <f t="shared" si="4"/>
        <v>24078.187272727271</v>
      </c>
      <c r="Q46" s="70">
        <f t="shared" si="5"/>
        <v>24078.187272727271</v>
      </c>
      <c r="R46" s="153">
        <f t="shared" si="24"/>
        <v>0</v>
      </c>
      <c r="S46" s="70">
        <v>0</v>
      </c>
      <c r="T46" s="165">
        <f t="shared" si="6"/>
        <v>24078.187272727271</v>
      </c>
      <c r="U46" s="163">
        <f t="shared" si="7"/>
        <v>143.32254329004328</v>
      </c>
      <c r="V46" s="164">
        <f t="shared" si="25"/>
        <v>439.85454545454547</v>
      </c>
      <c r="W46" s="164">
        <f t="shared" si="8"/>
        <v>175.94181818181821</v>
      </c>
      <c r="X46" s="144">
        <f t="shared" si="9"/>
        <v>458.18181818181819</v>
      </c>
      <c r="Y46" s="150">
        <f t="shared" si="10"/>
        <v>152.72727272727272</v>
      </c>
      <c r="Z46" s="150">
        <f t="shared" si="11"/>
        <v>458.18181818181819</v>
      </c>
      <c r="AA46" s="150">
        <f t="shared" si="12"/>
        <v>1512</v>
      </c>
      <c r="AB46" s="182">
        <f t="shared" si="13"/>
        <v>85.527272727272717</v>
      </c>
      <c r="AC46" s="182">
        <f t="shared" si="14"/>
        <v>294</v>
      </c>
      <c r="AD46" s="182">
        <f t="shared" si="15"/>
        <v>549.81818181818187</v>
      </c>
      <c r="AE46" s="180">
        <f t="shared" si="16"/>
        <v>43.985454545454552</v>
      </c>
      <c r="AF46" s="150">
        <f t="shared" si="17"/>
        <v>494.83636363636361</v>
      </c>
      <c r="AG46" s="150"/>
      <c r="AH46" s="150">
        <f t="shared" si="18"/>
        <v>600</v>
      </c>
      <c r="AI46" s="150">
        <f t="shared" si="26"/>
        <v>7517.0545454545454</v>
      </c>
      <c r="AJ46" s="154">
        <f t="shared" si="19"/>
        <v>5537.9830727272729</v>
      </c>
      <c r="AK46" s="70">
        <f t="shared" si="20"/>
        <v>5524.9678363636376</v>
      </c>
      <c r="AL46" s="155">
        <f t="shared" si="21"/>
        <v>0.22945945945945953</v>
      </c>
      <c r="AM46" s="155">
        <f t="shared" si="22"/>
        <v>0.29799929799929809</v>
      </c>
    </row>
    <row r="47" spans="2:39" ht="14.25" hidden="1" customHeight="1" x14ac:dyDescent="0.25">
      <c r="B47" s="174" t="s">
        <v>277</v>
      </c>
      <c r="C47" s="171" t="s">
        <v>109</v>
      </c>
      <c r="D47" s="103">
        <v>168</v>
      </c>
      <c r="E47" s="104" t="s">
        <v>76</v>
      </c>
      <c r="F47" s="92">
        <v>0</v>
      </c>
      <c r="G47" s="219">
        <f>IF(F47&gt;0,F47,
IF(B47&lt;&gt;"",
IF(C47="CLT",VLOOKUP(B47,'Lista Profissionais'!$C$11:$H$348,3,0),
VLOOKUP(B47,'Lista Profissionais'!$C$11:$H$348,6,0)), 0))</f>
        <v>11600</v>
      </c>
      <c r="H47" s="219">
        <f>IF(B47&lt;&gt;"",
IF(C47="CLT",
       22*$M$5 + (G47*'Lista Profissionais'!$G$9),0),0)</f>
        <v>3420</v>
      </c>
      <c r="I47" s="66">
        <f t="shared" si="0"/>
        <v>11072.727272727272</v>
      </c>
      <c r="J47" s="66">
        <f t="shared" si="1"/>
        <v>24487.628787878784</v>
      </c>
      <c r="K47" s="66">
        <f t="shared" si="2"/>
        <v>34907.114837121204</v>
      </c>
      <c r="L47" s="93">
        <f t="shared" si="23"/>
        <v>145.75969516594515</v>
      </c>
      <c r="M47" s="151"/>
      <c r="N47" s="152">
        <v>0</v>
      </c>
      <c r="O47" s="69">
        <f t="shared" si="3"/>
        <v>0</v>
      </c>
      <c r="P47" s="69">
        <f t="shared" si="4"/>
        <v>45302.113257575751</v>
      </c>
      <c r="Q47" s="70">
        <f t="shared" si="5"/>
        <v>45302.113257575751</v>
      </c>
      <c r="R47" s="153">
        <f t="shared" si="24"/>
        <v>0</v>
      </c>
      <c r="S47" s="70">
        <v>0</v>
      </c>
      <c r="T47" s="165">
        <f t="shared" si="6"/>
        <v>45302.113257575751</v>
      </c>
      <c r="U47" s="163">
        <f t="shared" si="7"/>
        <v>269.6554360569985</v>
      </c>
      <c r="V47" s="164">
        <f t="shared" si="25"/>
        <v>885.81818181818176</v>
      </c>
      <c r="W47" s="164">
        <f t="shared" si="8"/>
        <v>354.32727272727271</v>
      </c>
      <c r="X47" s="144">
        <f t="shared" si="9"/>
        <v>922.72727272727263</v>
      </c>
      <c r="Y47" s="150">
        <f t="shared" si="10"/>
        <v>307.57575757575756</v>
      </c>
      <c r="Z47" s="150">
        <f t="shared" si="11"/>
        <v>922.72727272727263</v>
      </c>
      <c r="AA47" s="150">
        <f t="shared" si="12"/>
        <v>3045</v>
      </c>
      <c r="AB47" s="182">
        <f t="shared" si="13"/>
        <v>172.24242424242425</v>
      </c>
      <c r="AC47" s="182">
        <f t="shared" si="14"/>
        <v>592.08333333333337</v>
      </c>
      <c r="AD47" s="182">
        <f t="shared" si="15"/>
        <v>1107.2727272727273</v>
      </c>
      <c r="AE47" s="180">
        <f t="shared" si="16"/>
        <v>88.581818181818178</v>
      </c>
      <c r="AF47" s="150">
        <f t="shared" si="17"/>
        <v>996.5454545454545</v>
      </c>
      <c r="AG47" s="150"/>
      <c r="AH47" s="150">
        <f t="shared" si="18"/>
        <v>600</v>
      </c>
      <c r="AI47" s="150">
        <f t="shared" si="26"/>
        <v>13414.901515151512</v>
      </c>
      <c r="AJ47" s="154">
        <f t="shared" si="19"/>
        <v>10419.486049242423</v>
      </c>
      <c r="AK47" s="70">
        <f t="shared" si="20"/>
        <v>10394.998420454547</v>
      </c>
      <c r="AL47" s="155">
        <f t="shared" si="21"/>
        <v>0.22945945945945953</v>
      </c>
      <c r="AM47" s="155">
        <f t="shared" si="22"/>
        <v>0.29799929799929809</v>
      </c>
    </row>
    <row r="48" spans="2:39" ht="14.25" hidden="1" customHeight="1" x14ac:dyDescent="0.25">
      <c r="B48" s="174" t="s">
        <v>278</v>
      </c>
      <c r="C48" s="171" t="s">
        <v>109</v>
      </c>
      <c r="D48" s="103">
        <v>168</v>
      </c>
      <c r="E48" s="104" t="s">
        <v>76</v>
      </c>
      <c r="F48" s="92">
        <v>0</v>
      </c>
      <c r="G48" s="219">
        <f>IF(F48&gt;0,F48,
IF(B48&lt;&gt;"",
IF(C48="CLT",VLOOKUP(B48,'Lista Profissionais'!$C$11:$H$348,3,0),
VLOOKUP(B48,'Lista Profissionais'!$C$11:$H$348,6,0)), 0))</f>
        <v>7200</v>
      </c>
      <c r="H48" s="219">
        <f>IF(B48&lt;&gt;"",
IF(C48="CLT",
       22*$M$5 + (G48*'Lista Profissionais'!$G$9),0),0)</f>
        <v>2540</v>
      </c>
      <c r="I48" s="66">
        <f t="shared" si="0"/>
        <v>6872.7272727272721</v>
      </c>
      <c r="J48" s="66">
        <f t="shared" si="1"/>
        <v>15844.045454545452</v>
      </c>
      <c r="K48" s="66">
        <f t="shared" si="2"/>
        <v>22585.686795454545</v>
      </c>
      <c r="L48" s="93">
        <f t="shared" si="23"/>
        <v>94.309794372294363</v>
      </c>
      <c r="M48" s="151"/>
      <c r="N48" s="152">
        <v>0</v>
      </c>
      <c r="O48" s="69">
        <f t="shared" si="3"/>
        <v>0</v>
      </c>
      <c r="P48" s="69">
        <f t="shared" si="4"/>
        <v>29311.484090909089</v>
      </c>
      <c r="Q48" s="70">
        <f t="shared" si="5"/>
        <v>29311.484090909089</v>
      </c>
      <c r="R48" s="153">
        <f t="shared" si="24"/>
        <v>0</v>
      </c>
      <c r="S48" s="70">
        <v>0</v>
      </c>
      <c r="T48" s="165">
        <f t="shared" si="6"/>
        <v>29311.484090909089</v>
      </c>
      <c r="U48" s="163">
        <f t="shared" si="7"/>
        <v>174.47311958874457</v>
      </c>
      <c r="V48" s="164">
        <f t="shared" si="25"/>
        <v>549.81818181818176</v>
      </c>
      <c r="W48" s="164">
        <f t="shared" si="8"/>
        <v>219.92727272727271</v>
      </c>
      <c r="X48" s="144">
        <f t="shared" si="9"/>
        <v>572.72727272727263</v>
      </c>
      <c r="Y48" s="150">
        <f t="shared" si="10"/>
        <v>190.90909090909088</v>
      </c>
      <c r="Z48" s="150">
        <f t="shared" si="11"/>
        <v>572.72727272727263</v>
      </c>
      <c r="AA48" s="150">
        <f t="shared" si="12"/>
        <v>1890</v>
      </c>
      <c r="AB48" s="182">
        <f t="shared" si="13"/>
        <v>106.90909090909088</v>
      </c>
      <c r="AC48" s="182">
        <f t="shared" si="14"/>
        <v>367.49999999999994</v>
      </c>
      <c r="AD48" s="182">
        <f t="shared" si="15"/>
        <v>687.27272727272725</v>
      </c>
      <c r="AE48" s="180">
        <f t="shared" si="16"/>
        <v>54.981818181818184</v>
      </c>
      <c r="AF48" s="150">
        <f t="shared" si="17"/>
        <v>618.5454545454545</v>
      </c>
      <c r="AG48" s="150"/>
      <c r="AH48" s="150">
        <f t="shared" si="18"/>
        <v>600</v>
      </c>
      <c r="AI48" s="150">
        <f t="shared" si="26"/>
        <v>8971.3181818181802</v>
      </c>
      <c r="AJ48" s="154">
        <f t="shared" si="19"/>
        <v>6741.641340909091</v>
      </c>
      <c r="AK48" s="70">
        <f t="shared" si="20"/>
        <v>6725.7972954545439</v>
      </c>
      <c r="AL48" s="155">
        <f t="shared" si="21"/>
        <v>0.22945945945945942</v>
      </c>
      <c r="AM48" s="155">
        <f t="shared" si="22"/>
        <v>0.29799929799929797</v>
      </c>
    </row>
    <row r="49" spans="2:39" ht="14.25" hidden="1" customHeight="1" x14ac:dyDescent="0.25">
      <c r="B49" s="174" t="s">
        <v>279</v>
      </c>
      <c r="C49" s="171" t="s">
        <v>109</v>
      </c>
      <c r="D49" s="103">
        <v>168</v>
      </c>
      <c r="E49" s="104" t="s">
        <v>76</v>
      </c>
      <c r="F49" s="92">
        <v>0</v>
      </c>
      <c r="G49" s="219">
        <f>IF(F49&gt;0,F49,
IF(B49&lt;&gt;"",
IF(C49="CLT",VLOOKUP(B49,'Lista Profissionais'!$C$11:$H$348,3,0),
VLOOKUP(B49,'Lista Profissionais'!$C$11:$H$348,6,0)), 0))</f>
        <v>10080</v>
      </c>
      <c r="H49" s="219">
        <f>IF(B49&lt;&gt;"",
IF(C49="CLT",
       22*$M$5 + (G49*'Lista Profissionais'!$G$9),0),0)</f>
        <v>3116</v>
      </c>
      <c r="I49" s="66">
        <f t="shared" si="0"/>
        <v>9621.818181818182</v>
      </c>
      <c r="J49" s="66">
        <f t="shared" si="1"/>
        <v>21501.663636363635</v>
      </c>
      <c r="K49" s="66">
        <f t="shared" si="2"/>
        <v>30650.621513636361</v>
      </c>
      <c r="L49" s="93">
        <f t="shared" si="23"/>
        <v>127.98609307359307</v>
      </c>
      <c r="M49" s="151"/>
      <c r="N49" s="152">
        <v>0</v>
      </c>
      <c r="O49" s="69">
        <f t="shared" si="3"/>
        <v>0</v>
      </c>
      <c r="P49" s="69">
        <f t="shared" si="4"/>
        <v>39778.077727272728</v>
      </c>
      <c r="Q49" s="70">
        <f t="shared" si="5"/>
        <v>39778.077727272728</v>
      </c>
      <c r="R49" s="153">
        <f t="shared" si="24"/>
        <v>0</v>
      </c>
      <c r="S49" s="70">
        <v>0</v>
      </c>
      <c r="T49" s="165">
        <f t="shared" si="6"/>
        <v>39778.077727272728</v>
      </c>
      <c r="U49" s="163">
        <f t="shared" si="7"/>
        <v>236.77427218614719</v>
      </c>
      <c r="V49" s="164">
        <f t="shared" si="25"/>
        <v>769.74545454545455</v>
      </c>
      <c r="W49" s="164">
        <f t="shared" si="8"/>
        <v>307.89818181818185</v>
      </c>
      <c r="X49" s="144">
        <f t="shared" si="9"/>
        <v>801.81818181818187</v>
      </c>
      <c r="Y49" s="150">
        <f t="shared" si="10"/>
        <v>267.27272727272731</v>
      </c>
      <c r="Z49" s="150">
        <f t="shared" si="11"/>
        <v>801.81818181818187</v>
      </c>
      <c r="AA49" s="150">
        <f t="shared" si="12"/>
        <v>2646.0000000000005</v>
      </c>
      <c r="AB49" s="182">
        <f t="shared" si="13"/>
        <v>149.67272727272729</v>
      </c>
      <c r="AC49" s="182">
        <f t="shared" si="14"/>
        <v>514.50000000000011</v>
      </c>
      <c r="AD49" s="182">
        <f t="shared" si="15"/>
        <v>962.18181818181824</v>
      </c>
      <c r="AE49" s="180">
        <f t="shared" si="16"/>
        <v>76.974545454545463</v>
      </c>
      <c r="AF49" s="150">
        <f t="shared" si="17"/>
        <v>865.9636363636364</v>
      </c>
      <c r="AG49" s="150"/>
      <c r="AH49" s="150">
        <f t="shared" si="18"/>
        <v>600</v>
      </c>
      <c r="AI49" s="150">
        <f t="shared" si="26"/>
        <v>11879.845454545455</v>
      </c>
      <c r="AJ49" s="154">
        <f t="shared" si="19"/>
        <v>9148.9578772727273</v>
      </c>
      <c r="AK49" s="70">
        <f t="shared" si="20"/>
        <v>9127.4562136363675</v>
      </c>
      <c r="AL49" s="155">
        <f t="shared" si="21"/>
        <v>0.22945945945945956</v>
      </c>
      <c r="AM49" s="155">
        <f t="shared" si="22"/>
        <v>0.29799929799929809</v>
      </c>
    </row>
    <row r="50" spans="2:39" ht="14.25" hidden="1" customHeight="1" x14ac:dyDescent="0.25">
      <c r="B50" s="174" t="s">
        <v>280</v>
      </c>
      <c r="C50" s="171" t="s">
        <v>109</v>
      </c>
      <c r="D50" s="103">
        <v>168</v>
      </c>
      <c r="E50" s="104" t="s">
        <v>76</v>
      </c>
      <c r="F50" s="92">
        <v>0</v>
      </c>
      <c r="G50" s="219">
        <f>IF(F50&gt;0,F50,
IF(B50&lt;&gt;"",
IF(C50="CLT",VLOOKUP(B50,'Lista Profissionais'!$C$11:$H$348,3,0),
VLOOKUP(B50,'Lista Profissionais'!$C$11:$H$348,6,0)), 0))</f>
        <v>11600</v>
      </c>
      <c r="H50" s="219">
        <f>IF(B50&lt;&gt;"",
IF(C50="CLT",
       22*$M$5 + (G50*'Lista Profissionais'!$G$9),0),0)</f>
        <v>3420</v>
      </c>
      <c r="I50" s="66">
        <f t="shared" si="0"/>
        <v>11072.727272727272</v>
      </c>
      <c r="J50" s="66">
        <f t="shared" si="1"/>
        <v>24487.628787878784</v>
      </c>
      <c r="K50" s="66">
        <f t="shared" si="2"/>
        <v>34907.114837121204</v>
      </c>
      <c r="L50" s="93">
        <f t="shared" si="23"/>
        <v>145.75969516594515</v>
      </c>
      <c r="M50" s="151"/>
      <c r="N50" s="152">
        <v>0</v>
      </c>
      <c r="O50" s="69">
        <f t="shared" si="3"/>
        <v>0</v>
      </c>
      <c r="P50" s="69">
        <f t="shared" si="4"/>
        <v>45302.113257575751</v>
      </c>
      <c r="Q50" s="70">
        <f t="shared" si="5"/>
        <v>45302.113257575751</v>
      </c>
      <c r="R50" s="153">
        <f t="shared" si="24"/>
        <v>0</v>
      </c>
      <c r="S50" s="70">
        <v>0</v>
      </c>
      <c r="T50" s="165">
        <f t="shared" si="6"/>
        <v>45302.113257575751</v>
      </c>
      <c r="U50" s="163">
        <f t="shared" si="7"/>
        <v>269.6554360569985</v>
      </c>
      <c r="V50" s="164">
        <f t="shared" si="25"/>
        <v>885.81818181818176</v>
      </c>
      <c r="W50" s="164">
        <f t="shared" si="8"/>
        <v>354.32727272727271</v>
      </c>
      <c r="X50" s="144">
        <f t="shared" si="9"/>
        <v>922.72727272727263</v>
      </c>
      <c r="Y50" s="150">
        <f t="shared" si="10"/>
        <v>307.57575757575756</v>
      </c>
      <c r="Z50" s="150">
        <f t="shared" si="11"/>
        <v>922.72727272727263</v>
      </c>
      <c r="AA50" s="150">
        <f t="shared" si="12"/>
        <v>3045</v>
      </c>
      <c r="AB50" s="182">
        <f t="shared" si="13"/>
        <v>172.24242424242425</v>
      </c>
      <c r="AC50" s="182">
        <f t="shared" si="14"/>
        <v>592.08333333333337</v>
      </c>
      <c r="AD50" s="182">
        <f t="shared" si="15"/>
        <v>1107.2727272727273</v>
      </c>
      <c r="AE50" s="180">
        <f t="shared" si="16"/>
        <v>88.581818181818178</v>
      </c>
      <c r="AF50" s="150">
        <f t="shared" si="17"/>
        <v>996.5454545454545</v>
      </c>
      <c r="AG50" s="150"/>
      <c r="AH50" s="150">
        <f t="shared" si="18"/>
        <v>600</v>
      </c>
      <c r="AI50" s="150">
        <f t="shared" si="26"/>
        <v>13414.901515151512</v>
      </c>
      <c r="AJ50" s="154">
        <f t="shared" si="19"/>
        <v>10419.486049242423</v>
      </c>
      <c r="AK50" s="70">
        <f t="shared" si="20"/>
        <v>10394.998420454547</v>
      </c>
      <c r="AL50" s="155">
        <f t="shared" si="21"/>
        <v>0.22945945945945953</v>
      </c>
      <c r="AM50" s="155">
        <f t="shared" si="22"/>
        <v>0.29799929799929809</v>
      </c>
    </row>
    <row r="51" spans="2:39" ht="14.25" hidden="1" customHeight="1" x14ac:dyDescent="0.25">
      <c r="B51" s="174" t="s">
        <v>281</v>
      </c>
      <c r="C51" s="171" t="s">
        <v>109</v>
      </c>
      <c r="D51" s="103">
        <v>168</v>
      </c>
      <c r="E51" s="104" t="s">
        <v>76</v>
      </c>
      <c r="F51" s="92">
        <v>0</v>
      </c>
      <c r="G51" s="219">
        <f>IF(F51&gt;0,F51,
IF(B51&lt;&gt;"",
IF(C51="CLT",VLOOKUP(B51,'Lista Profissionais'!$C$11:$H$348,3,0),
VLOOKUP(B51,'Lista Profissionais'!$C$11:$H$348,6,0)), 0))</f>
        <v>7200</v>
      </c>
      <c r="H51" s="219">
        <f>IF(B51&lt;&gt;"",
IF(C51="CLT",
       22*$M$5 + (G51*'Lista Profissionais'!$G$9),0),0)</f>
        <v>2540</v>
      </c>
      <c r="I51" s="66">
        <f t="shared" si="0"/>
        <v>6872.7272727272721</v>
      </c>
      <c r="J51" s="66">
        <f t="shared" si="1"/>
        <v>15844.045454545452</v>
      </c>
      <c r="K51" s="66">
        <f t="shared" si="2"/>
        <v>22585.686795454545</v>
      </c>
      <c r="L51" s="93">
        <f t="shared" si="23"/>
        <v>94.309794372294363</v>
      </c>
      <c r="M51" s="151"/>
      <c r="N51" s="152">
        <v>0</v>
      </c>
      <c r="O51" s="69">
        <f t="shared" si="3"/>
        <v>0</v>
      </c>
      <c r="P51" s="69">
        <f t="shared" si="4"/>
        <v>29311.484090909089</v>
      </c>
      <c r="Q51" s="70">
        <f t="shared" si="5"/>
        <v>29311.484090909089</v>
      </c>
      <c r="R51" s="153">
        <f t="shared" si="24"/>
        <v>0</v>
      </c>
      <c r="S51" s="70">
        <v>0</v>
      </c>
      <c r="T51" s="165">
        <f t="shared" si="6"/>
        <v>29311.484090909089</v>
      </c>
      <c r="U51" s="163">
        <f t="shared" si="7"/>
        <v>174.47311958874457</v>
      </c>
      <c r="V51" s="164">
        <f t="shared" si="25"/>
        <v>549.81818181818176</v>
      </c>
      <c r="W51" s="164">
        <f t="shared" si="8"/>
        <v>219.92727272727271</v>
      </c>
      <c r="X51" s="144">
        <f t="shared" si="9"/>
        <v>572.72727272727263</v>
      </c>
      <c r="Y51" s="150">
        <f t="shared" si="10"/>
        <v>190.90909090909088</v>
      </c>
      <c r="Z51" s="150">
        <f t="shared" si="11"/>
        <v>572.72727272727263</v>
      </c>
      <c r="AA51" s="150">
        <f t="shared" si="12"/>
        <v>1890</v>
      </c>
      <c r="AB51" s="182">
        <f t="shared" si="13"/>
        <v>106.90909090909088</v>
      </c>
      <c r="AC51" s="182">
        <f t="shared" si="14"/>
        <v>367.49999999999994</v>
      </c>
      <c r="AD51" s="182">
        <f t="shared" si="15"/>
        <v>687.27272727272725</v>
      </c>
      <c r="AE51" s="180">
        <f t="shared" si="16"/>
        <v>54.981818181818184</v>
      </c>
      <c r="AF51" s="150">
        <f t="shared" si="17"/>
        <v>618.5454545454545</v>
      </c>
      <c r="AG51" s="150"/>
      <c r="AH51" s="150">
        <f t="shared" si="18"/>
        <v>600</v>
      </c>
      <c r="AI51" s="150">
        <f t="shared" si="26"/>
        <v>8971.3181818181802</v>
      </c>
      <c r="AJ51" s="154">
        <f t="shared" si="19"/>
        <v>6741.641340909091</v>
      </c>
      <c r="AK51" s="70">
        <f t="shared" si="20"/>
        <v>6725.7972954545439</v>
      </c>
      <c r="AL51" s="155">
        <f t="shared" si="21"/>
        <v>0.22945945945945942</v>
      </c>
      <c r="AM51" s="155">
        <f t="shared" si="22"/>
        <v>0.29799929799929797</v>
      </c>
    </row>
    <row r="52" spans="2:39" ht="14.25" hidden="1" customHeight="1" x14ac:dyDescent="0.25">
      <c r="B52" s="174" t="s">
        <v>282</v>
      </c>
      <c r="C52" s="171" t="s">
        <v>109</v>
      </c>
      <c r="D52" s="103">
        <v>168</v>
      </c>
      <c r="E52" s="104" t="s">
        <v>76</v>
      </c>
      <c r="F52" s="92">
        <v>0</v>
      </c>
      <c r="G52" s="219">
        <f>IF(F52&gt;0,F52,
IF(B52&lt;&gt;"",
IF(C52="CLT",VLOOKUP(B52,'Lista Profissionais'!$C$11:$H$348,3,0),
VLOOKUP(B52,'Lista Profissionais'!$C$11:$H$348,6,0)), 0))</f>
        <v>10080</v>
      </c>
      <c r="H52" s="219">
        <f>IF(B52&lt;&gt;"",
IF(C52="CLT",
       22*$M$5 + (G52*'Lista Profissionais'!$G$9),0),0)</f>
        <v>3116</v>
      </c>
      <c r="I52" s="66">
        <f t="shared" si="0"/>
        <v>9621.818181818182</v>
      </c>
      <c r="J52" s="66">
        <f t="shared" si="1"/>
        <v>21501.663636363635</v>
      </c>
      <c r="K52" s="66">
        <f t="shared" si="2"/>
        <v>30650.621513636361</v>
      </c>
      <c r="L52" s="93">
        <f t="shared" si="23"/>
        <v>127.98609307359307</v>
      </c>
      <c r="M52" s="151"/>
      <c r="N52" s="152">
        <v>0</v>
      </c>
      <c r="O52" s="69">
        <f t="shared" si="3"/>
        <v>0</v>
      </c>
      <c r="P52" s="69">
        <f t="shared" si="4"/>
        <v>39778.077727272728</v>
      </c>
      <c r="Q52" s="70">
        <f t="shared" si="5"/>
        <v>39778.077727272728</v>
      </c>
      <c r="R52" s="153">
        <f t="shared" si="24"/>
        <v>0</v>
      </c>
      <c r="S52" s="70">
        <v>0</v>
      </c>
      <c r="T52" s="165">
        <f t="shared" si="6"/>
        <v>39778.077727272728</v>
      </c>
      <c r="U52" s="163">
        <f t="shared" si="7"/>
        <v>236.77427218614719</v>
      </c>
      <c r="V52" s="164">
        <f t="shared" si="25"/>
        <v>769.74545454545455</v>
      </c>
      <c r="W52" s="164">
        <f t="shared" si="8"/>
        <v>307.89818181818185</v>
      </c>
      <c r="X52" s="144">
        <f t="shared" si="9"/>
        <v>801.81818181818187</v>
      </c>
      <c r="Y52" s="150">
        <f t="shared" si="10"/>
        <v>267.27272727272731</v>
      </c>
      <c r="Z52" s="150">
        <f t="shared" si="11"/>
        <v>801.81818181818187</v>
      </c>
      <c r="AA52" s="150">
        <f t="shared" si="12"/>
        <v>2646.0000000000005</v>
      </c>
      <c r="AB52" s="182">
        <f t="shared" si="13"/>
        <v>149.67272727272729</v>
      </c>
      <c r="AC52" s="182">
        <f t="shared" si="14"/>
        <v>514.50000000000011</v>
      </c>
      <c r="AD52" s="182">
        <f t="shared" si="15"/>
        <v>962.18181818181824</v>
      </c>
      <c r="AE52" s="180">
        <f t="shared" si="16"/>
        <v>76.974545454545463</v>
      </c>
      <c r="AF52" s="150">
        <f t="shared" si="17"/>
        <v>865.9636363636364</v>
      </c>
      <c r="AG52" s="150"/>
      <c r="AH52" s="150">
        <f t="shared" si="18"/>
        <v>600</v>
      </c>
      <c r="AI52" s="150">
        <f t="shared" si="26"/>
        <v>11879.845454545455</v>
      </c>
      <c r="AJ52" s="154">
        <f t="shared" si="19"/>
        <v>9148.9578772727273</v>
      </c>
      <c r="AK52" s="70">
        <f t="shared" si="20"/>
        <v>9127.4562136363675</v>
      </c>
      <c r="AL52" s="155">
        <f t="shared" si="21"/>
        <v>0.22945945945945956</v>
      </c>
      <c r="AM52" s="155">
        <f t="shared" si="22"/>
        <v>0.29799929799929809</v>
      </c>
    </row>
    <row r="53" spans="2:39" ht="14.25" hidden="1" customHeight="1" x14ac:dyDescent="0.25">
      <c r="B53" s="174" t="s">
        <v>283</v>
      </c>
      <c r="C53" s="171" t="s">
        <v>109</v>
      </c>
      <c r="D53" s="103">
        <v>168</v>
      </c>
      <c r="E53" s="104" t="s">
        <v>76</v>
      </c>
      <c r="F53" s="92">
        <v>0</v>
      </c>
      <c r="G53" s="219">
        <f>IF(F53&gt;0,F53,
IF(B53&lt;&gt;"",
IF(C53="CLT",VLOOKUP(B53,'Lista Profissionais'!$C$11:$H$348,3,0),
VLOOKUP(B53,'Lista Profissionais'!$C$11:$H$348,6,0)), 0))</f>
        <v>11360</v>
      </c>
      <c r="H53" s="219">
        <f>IF(B53&lt;&gt;"",
IF(C53="CLT",
       22*$M$5 + (G53*'Lista Profissionais'!$G$9),0),0)</f>
        <v>3372</v>
      </c>
      <c r="I53" s="66">
        <f t="shared" si="0"/>
        <v>10843.636363636364</v>
      </c>
      <c r="J53" s="66">
        <f t="shared" si="1"/>
        <v>24016.160606060606</v>
      </c>
      <c r="K53" s="66">
        <f t="shared" si="2"/>
        <v>34235.036943939398</v>
      </c>
      <c r="L53" s="93">
        <f t="shared" si="23"/>
        <v>142.95333694083695</v>
      </c>
      <c r="M53" s="151"/>
      <c r="N53" s="152">
        <v>0</v>
      </c>
      <c r="O53" s="69">
        <f t="shared" si="3"/>
        <v>0</v>
      </c>
      <c r="P53" s="69">
        <f t="shared" si="4"/>
        <v>44429.897121212125</v>
      </c>
      <c r="Q53" s="70">
        <f t="shared" si="5"/>
        <v>44429.897121212125</v>
      </c>
      <c r="R53" s="153">
        <f t="shared" si="24"/>
        <v>0</v>
      </c>
      <c r="S53" s="70">
        <v>0</v>
      </c>
      <c r="T53" s="165">
        <f t="shared" si="6"/>
        <v>44429.897121212125</v>
      </c>
      <c r="U53" s="163">
        <f t="shared" si="7"/>
        <v>264.46367334054838</v>
      </c>
      <c r="V53" s="164">
        <f t="shared" si="25"/>
        <v>867.4909090909091</v>
      </c>
      <c r="W53" s="164">
        <f t="shared" si="8"/>
        <v>346.99636363636364</v>
      </c>
      <c r="X53" s="144">
        <f t="shared" si="9"/>
        <v>903.63636363636363</v>
      </c>
      <c r="Y53" s="150">
        <f t="shared" si="10"/>
        <v>301.21212121212119</v>
      </c>
      <c r="Z53" s="150">
        <f t="shared" si="11"/>
        <v>903.63636363636363</v>
      </c>
      <c r="AA53" s="150">
        <f t="shared" si="12"/>
        <v>2982.0000000000005</v>
      </c>
      <c r="AB53" s="182">
        <f t="shared" si="13"/>
        <v>168.67878787878789</v>
      </c>
      <c r="AC53" s="182">
        <f t="shared" si="14"/>
        <v>579.83333333333337</v>
      </c>
      <c r="AD53" s="182">
        <f t="shared" si="15"/>
        <v>1084.3636363636363</v>
      </c>
      <c r="AE53" s="180">
        <f t="shared" si="16"/>
        <v>86.749090909090896</v>
      </c>
      <c r="AF53" s="150">
        <f t="shared" si="17"/>
        <v>975.92727272727268</v>
      </c>
      <c r="AG53" s="150"/>
      <c r="AH53" s="150">
        <f t="shared" si="18"/>
        <v>600</v>
      </c>
      <c r="AI53" s="150">
        <f t="shared" si="26"/>
        <v>13172.524242424242</v>
      </c>
      <c r="AJ53" s="154">
        <f t="shared" si="19"/>
        <v>10218.87633787879</v>
      </c>
      <c r="AK53" s="70">
        <f t="shared" si="20"/>
        <v>10194.860177272727</v>
      </c>
      <c r="AL53" s="155">
        <f t="shared" si="21"/>
        <v>0.22945945945945945</v>
      </c>
      <c r="AM53" s="155">
        <f t="shared" si="22"/>
        <v>0.29799929799929797</v>
      </c>
    </row>
    <row r="54" spans="2:39" ht="14.25" hidden="1" customHeight="1" x14ac:dyDescent="0.25">
      <c r="B54" s="174" t="s">
        <v>284</v>
      </c>
      <c r="C54" s="171" t="s">
        <v>109</v>
      </c>
      <c r="D54" s="103">
        <v>168</v>
      </c>
      <c r="E54" s="104" t="s">
        <v>76</v>
      </c>
      <c r="F54" s="92">
        <v>0</v>
      </c>
      <c r="G54" s="219">
        <f>IF(F54&gt;0,F54,
IF(B54&lt;&gt;"",
IF(C54="CLT",VLOOKUP(B54,'Lista Profissionais'!$C$11:$H$348,3,0),
VLOOKUP(B54,'Lista Profissionais'!$C$11:$H$348,6,0)), 0))</f>
        <v>4160</v>
      </c>
      <c r="H54" s="219">
        <f>IF(B54&lt;&gt;"",
IF(C54="CLT",
       22*$M$5 + (G54*'Lista Profissionais'!$G$9),0),0)</f>
        <v>1932</v>
      </c>
      <c r="I54" s="66">
        <f t="shared" si="0"/>
        <v>3970.909090909091</v>
      </c>
      <c r="J54" s="66">
        <f t="shared" si="1"/>
        <v>9872.1151515151523</v>
      </c>
      <c r="K54" s="66">
        <f t="shared" si="2"/>
        <v>14072.70014848485</v>
      </c>
      <c r="L54" s="93">
        <f t="shared" si="23"/>
        <v>58.762590187590192</v>
      </c>
      <c r="M54" s="151"/>
      <c r="N54" s="152">
        <v>0</v>
      </c>
      <c r="O54" s="69">
        <f t="shared" si="3"/>
        <v>0</v>
      </c>
      <c r="P54" s="69">
        <f t="shared" si="4"/>
        <v>18263.413030303032</v>
      </c>
      <c r="Q54" s="70">
        <f t="shared" si="5"/>
        <v>18263.413030303032</v>
      </c>
      <c r="R54" s="153">
        <f t="shared" si="24"/>
        <v>0</v>
      </c>
      <c r="S54" s="70">
        <v>0</v>
      </c>
      <c r="T54" s="165">
        <f t="shared" si="6"/>
        <v>18263.413030303032</v>
      </c>
      <c r="U54" s="163">
        <f t="shared" si="7"/>
        <v>108.71079184704186</v>
      </c>
      <c r="V54" s="164">
        <f t="shared" si="25"/>
        <v>317.67272727272729</v>
      </c>
      <c r="W54" s="164">
        <f t="shared" si="8"/>
        <v>127.06909090909092</v>
      </c>
      <c r="X54" s="144">
        <f t="shared" si="9"/>
        <v>330.90909090909093</v>
      </c>
      <c r="Y54" s="150">
        <f t="shared" si="10"/>
        <v>110.30303030303031</v>
      </c>
      <c r="Z54" s="150">
        <f t="shared" si="11"/>
        <v>330.90909090909093</v>
      </c>
      <c r="AA54" s="150">
        <f t="shared" si="12"/>
        <v>1092</v>
      </c>
      <c r="AB54" s="182">
        <f t="shared" si="13"/>
        <v>61.76969696969698</v>
      </c>
      <c r="AC54" s="182">
        <f t="shared" si="14"/>
        <v>212.33333333333337</v>
      </c>
      <c r="AD54" s="182">
        <f t="shared" si="15"/>
        <v>397.09090909090912</v>
      </c>
      <c r="AE54" s="180">
        <f t="shared" si="16"/>
        <v>31.767272727272729</v>
      </c>
      <c r="AF54" s="150">
        <f t="shared" si="17"/>
        <v>357.38181818181818</v>
      </c>
      <c r="AG54" s="150"/>
      <c r="AH54" s="150">
        <f t="shared" si="18"/>
        <v>600</v>
      </c>
      <c r="AI54" s="150">
        <f t="shared" si="26"/>
        <v>5901.2060606060613</v>
      </c>
      <c r="AJ54" s="154">
        <f t="shared" si="19"/>
        <v>4200.5849969696974</v>
      </c>
      <c r="AK54" s="70">
        <f t="shared" si="20"/>
        <v>4190.7128818181827</v>
      </c>
      <c r="AL54" s="155">
        <f t="shared" si="21"/>
        <v>0.22945945945945947</v>
      </c>
      <c r="AM54" s="155">
        <f t="shared" si="22"/>
        <v>0.29799929799929803</v>
      </c>
    </row>
    <row r="55" spans="2:39" ht="14.25" hidden="1" customHeight="1" x14ac:dyDescent="0.25">
      <c r="B55" s="174" t="s">
        <v>285</v>
      </c>
      <c r="C55" s="171" t="s">
        <v>109</v>
      </c>
      <c r="D55" s="103">
        <v>168</v>
      </c>
      <c r="E55" s="104" t="s">
        <v>76</v>
      </c>
      <c r="F55" s="92">
        <v>0</v>
      </c>
      <c r="G55" s="219">
        <f>IF(F55&gt;0,F55,
IF(B55&lt;&gt;"",
IF(C55="CLT",VLOOKUP(B55,'Lista Profissionais'!$C$11:$H$348,3,0),
VLOOKUP(B55,'Lista Profissionais'!$C$11:$H$348,6,0)), 0))</f>
        <v>6560</v>
      </c>
      <c r="H55" s="219">
        <f>IF(B55&lt;&gt;"",
IF(C55="CLT",
       22*$M$5 + (G55*'Lista Profissionais'!$G$9),0),0)</f>
        <v>2412</v>
      </c>
      <c r="I55" s="66">
        <f t="shared" si="0"/>
        <v>6261.818181818182</v>
      </c>
      <c r="J55" s="66">
        <f t="shared" si="1"/>
        <v>14586.79696969697</v>
      </c>
      <c r="K55" s="66">
        <f t="shared" si="2"/>
        <v>20793.479080303034</v>
      </c>
      <c r="L55" s="93">
        <f t="shared" si="23"/>
        <v>86.826172438672444</v>
      </c>
      <c r="M55" s="151"/>
      <c r="N55" s="152">
        <v>0</v>
      </c>
      <c r="O55" s="69">
        <f t="shared" si="3"/>
        <v>0</v>
      </c>
      <c r="P55" s="69">
        <f t="shared" si="4"/>
        <v>26985.574393939398</v>
      </c>
      <c r="Q55" s="70">
        <f t="shared" si="5"/>
        <v>26985.574393939398</v>
      </c>
      <c r="R55" s="153">
        <f t="shared" si="24"/>
        <v>0</v>
      </c>
      <c r="S55" s="70">
        <v>0</v>
      </c>
      <c r="T55" s="165">
        <f t="shared" si="6"/>
        <v>26985.574393939398</v>
      </c>
      <c r="U55" s="163">
        <f t="shared" si="7"/>
        <v>160.62841901154403</v>
      </c>
      <c r="V55" s="164">
        <f t="shared" si="25"/>
        <v>500.9454545454546</v>
      </c>
      <c r="W55" s="164">
        <f t="shared" si="8"/>
        <v>200.37818181818184</v>
      </c>
      <c r="X55" s="144">
        <f t="shared" si="9"/>
        <v>521.81818181818187</v>
      </c>
      <c r="Y55" s="150">
        <f t="shared" si="10"/>
        <v>173.93939393939397</v>
      </c>
      <c r="Z55" s="150">
        <f t="shared" si="11"/>
        <v>521.81818181818187</v>
      </c>
      <c r="AA55" s="150">
        <f t="shared" si="12"/>
        <v>1722.0000000000002</v>
      </c>
      <c r="AB55" s="182">
        <f t="shared" si="13"/>
        <v>97.40606060606062</v>
      </c>
      <c r="AC55" s="182">
        <f t="shared" si="14"/>
        <v>334.83333333333343</v>
      </c>
      <c r="AD55" s="182">
        <f t="shared" si="15"/>
        <v>626.18181818181813</v>
      </c>
      <c r="AE55" s="180">
        <f t="shared" si="16"/>
        <v>50.094545454545454</v>
      </c>
      <c r="AF55" s="150">
        <f t="shared" si="17"/>
        <v>563.56363636363631</v>
      </c>
      <c r="AG55" s="150"/>
      <c r="AH55" s="150">
        <f t="shared" si="18"/>
        <v>600</v>
      </c>
      <c r="AI55" s="150">
        <f t="shared" si="26"/>
        <v>8324.9787878787884</v>
      </c>
      <c r="AJ55" s="154">
        <f t="shared" si="19"/>
        <v>6206.6821106060615</v>
      </c>
      <c r="AK55" s="70">
        <f t="shared" si="20"/>
        <v>6192.0953136363642</v>
      </c>
      <c r="AL55" s="155">
        <f t="shared" si="21"/>
        <v>0.22945945945945945</v>
      </c>
      <c r="AM55" s="155">
        <f t="shared" si="22"/>
        <v>0.29799929799929803</v>
      </c>
    </row>
    <row r="56" spans="2:39" ht="14.25" hidden="1" customHeight="1" x14ac:dyDescent="0.25">
      <c r="B56" s="174" t="s">
        <v>286</v>
      </c>
      <c r="C56" s="171" t="s">
        <v>109</v>
      </c>
      <c r="D56" s="103">
        <v>168</v>
      </c>
      <c r="E56" s="104" t="s">
        <v>76</v>
      </c>
      <c r="F56" s="92">
        <v>0</v>
      </c>
      <c r="G56" s="219">
        <f>IF(F56&gt;0,F56,
IF(B56&lt;&gt;"",
IF(C56="CLT",VLOOKUP(B56,'Lista Profissionais'!$C$11:$H$348,3,0),
VLOOKUP(B56,'Lista Profissionais'!$C$11:$H$348,6,0)), 0))</f>
        <v>10000</v>
      </c>
      <c r="H56" s="219">
        <f>IF(B56&lt;&gt;"",
IF(C56="CLT",
       22*$M$5 + (G56*'Lista Profissionais'!$G$9),0),0)</f>
        <v>3100</v>
      </c>
      <c r="I56" s="66">
        <f t="shared" si="0"/>
        <v>9545.454545454546</v>
      </c>
      <c r="J56" s="66">
        <f t="shared" si="1"/>
        <v>21344.507575757576</v>
      </c>
      <c r="K56" s="66">
        <f t="shared" si="2"/>
        <v>30426.595549242425</v>
      </c>
      <c r="L56" s="93">
        <f t="shared" si="23"/>
        <v>127.05064033189034</v>
      </c>
      <c r="M56" s="151"/>
      <c r="N56" s="152">
        <v>0</v>
      </c>
      <c r="O56" s="69">
        <f t="shared" si="3"/>
        <v>0</v>
      </c>
      <c r="P56" s="69">
        <f t="shared" si="4"/>
        <v>39487.33901515152</v>
      </c>
      <c r="Q56" s="70">
        <f t="shared" si="5"/>
        <v>39487.33901515152</v>
      </c>
      <c r="R56" s="153">
        <f t="shared" si="24"/>
        <v>0</v>
      </c>
      <c r="S56" s="70">
        <v>0</v>
      </c>
      <c r="T56" s="165">
        <f t="shared" si="6"/>
        <v>39487.33901515152</v>
      </c>
      <c r="U56" s="163">
        <f t="shared" si="7"/>
        <v>235.04368461399713</v>
      </c>
      <c r="V56" s="164">
        <f t="shared" si="25"/>
        <v>763.63636363636374</v>
      </c>
      <c r="W56" s="164">
        <f t="shared" si="8"/>
        <v>305.4545454545455</v>
      </c>
      <c r="X56" s="144">
        <f t="shared" si="9"/>
        <v>795.4545454545455</v>
      </c>
      <c r="Y56" s="150">
        <f t="shared" si="10"/>
        <v>265.15151515151518</v>
      </c>
      <c r="Z56" s="150">
        <f t="shared" si="11"/>
        <v>795.4545454545455</v>
      </c>
      <c r="AA56" s="150">
        <f t="shared" si="12"/>
        <v>2625.0000000000005</v>
      </c>
      <c r="AB56" s="182">
        <f t="shared" si="13"/>
        <v>148.4848484848485</v>
      </c>
      <c r="AC56" s="182">
        <f t="shared" si="14"/>
        <v>510.41666666666674</v>
      </c>
      <c r="AD56" s="182">
        <f t="shared" si="15"/>
        <v>954.5454545454545</v>
      </c>
      <c r="AE56" s="180">
        <f t="shared" si="16"/>
        <v>76.36363636363636</v>
      </c>
      <c r="AF56" s="150">
        <f t="shared" si="17"/>
        <v>859.09090909090912</v>
      </c>
      <c r="AG56" s="150"/>
      <c r="AH56" s="150">
        <f t="shared" si="18"/>
        <v>600</v>
      </c>
      <c r="AI56" s="150">
        <f t="shared" si="26"/>
        <v>11799.053030303032</v>
      </c>
      <c r="AJ56" s="154">
        <f t="shared" si="19"/>
        <v>9082.0879734848495</v>
      </c>
      <c r="AK56" s="70">
        <f t="shared" si="20"/>
        <v>9060.7434659090941</v>
      </c>
      <c r="AL56" s="155">
        <f t="shared" si="21"/>
        <v>0.2294594594594595</v>
      </c>
      <c r="AM56" s="155">
        <f t="shared" si="22"/>
        <v>0.29799929799929809</v>
      </c>
    </row>
    <row r="57" spans="2:39" ht="14.25" hidden="1" customHeight="1" x14ac:dyDescent="0.25">
      <c r="B57" s="174" t="s">
        <v>365</v>
      </c>
      <c r="C57" s="171" t="s">
        <v>109</v>
      </c>
      <c r="D57" s="103">
        <v>168</v>
      </c>
      <c r="E57" s="104" t="s">
        <v>76</v>
      </c>
      <c r="F57" s="92">
        <v>0</v>
      </c>
      <c r="G57" s="219">
        <f>IF(F57&gt;0,F57,
IF(B57&lt;&gt;"",
IF(C57="CLT",VLOOKUP(B57,'Lista Profissionais'!$C$11:$H$348,3,0),
VLOOKUP(B57,'Lista Profissionais'!$C$11:$H$348,6,0)), 0))</f>
        <v>11200</v>
      </c>
      <c r="H57" s="219">
        <f>IF(B57&lt;&gt;"",
IF(C57="CLT",
       22*$M$5 + (G57*'Lista Profissionais'!$G$9),0),0)</f>
        <v>3340</v>
      </c>
      <c r="I57" s="66">
        <f t="shared" si="0"/>
        <v>10690.90909090909</v>
      </c>
      <c r="J57" s="66">
        <f t="shared" si="1"/>
        <v>23701.848484848484</v>
      </c>
      <c r="K57" s="66">
        <f t="shared" si="2"/>
        <v>33786.985015151513</v>
      </c>
      <c r="L57" s="93">
        <f t="shared" si="23"/>
        <v>141.08243145743145</v>
      </c>
      <c r="M57" s="151"/>
      <c r="N57" s="152">
        <v>0</v>
      </c>
      <c r="O57" s="69">
        <f t="shared" si="3"/>
        <v>0</v>
      </c>
      <c r="P57" s="69">
        <f t="shared" si="4"/>
        <v>43848.4196969697</v>
      </c>
      <c r="Q57" s="70">
        <f t="shared" si="5"/>
        <v>43848.4196969697</v>
      </c>
      <c r="R57" s="153">
        <f t="shared" si="24"/>
        <v>0</v>
      </c>
      <c r="S57" s="70">
        <v>0</v>
      </c>
      <c r="T57" s="165">
        <f t="shared" si="6"/>
        <v>43848.4196969697</v>
      </c>
      <c r="U57" s="163">
        <f t="shared" si="7"/>
        <v>261.00249819624821</v>
      </c>
      <c r="V57" s="164">
        <f t="shared" si="25"/>
        <v>855.27272727272725</v>
      </c>
      <c r="W57" s="164">
        <f t="shared" si="8"/>
        <v>342.10909090909092</v>
      </c>
      <c r="X57" s="144">
        <f t="shared" si="9"/>
        <v>890.90909090909088</v>
      </c>
      <c r="Y57" s="150">
        <f t="shared" si="10"/>
        <v>296.96969696969694</v>
      </c>
      <c r="Z57" s="150">
        <f t="shared" si="11"/>
        <v>890.90909090909088</v>
      </c>
      <c r="AA57" s="150">
        <f t="shared" si="12"/>
        <v>2940</v>
      </c>
      <c r="AB57" s="182">
        <f t="shared" si="13"/>
        <v>166.30303030303028</v>
      </c>
      <c r="AC57" s="182">
        <f t="shared" si="14"/>
        <v>571.66666666666663</v>
      </c>
      <c r="AD57" s="182">
        <f t="shared" si="15"/>
        <v>1069.090909090909</v>
      </c>
      <c r="AE57" s="180">
        <f t="shared" si="16"/>
        <v>85.527272727272717</v>
      </c>
      <c r="AF57" s="150">
        <f t="shared" si="17"/>
        <v>962.18181818181802</v>
      </c>
      <c r="AG57" s="150"/>
      <c r="AH57" s="150">
        <f t="shared" si="18"/>
        <v>600</v>
      </c>
      <c r="AI57" s="150">
        <f t="shared" si="26"/>
        <v>13010.939393939394</v>
      </c>
      <c r="AJ57" s="154">
        <f t="shared" si="19"/>
        <v>10085.136530303031</v>
      </c>
      <c r="AK57" s="70">
        <f t="shared" si="20"/>
        <v>10061.434681818184</v>
      </c>
      <c r="AL57" s="155">
        <f t="shared" si="21"/>
        <v>0.22945945945945947</v>
      </c>
      <c r="AM57" s="155">
        <f t="shared" si="22"/>
        <v>0.29799929799929803</v>
      </c>
    </row>
    <row r="58" spans="2:39" ht="14.25" hidden="1" customHeight="1" x14ac:dyDescent="0.25">
      <c r="B58" s="174" t="s">
        <v>366</v>
      </c>
      <c r="C58" s="171" t="s">
        <v>109</v>
      </c>
      <c r="D58" s="103">
        <v>168</v>
      </c>
      <c r="E58" s="104" t="s">
        <v>76</v>
      </c>
      <c r="F58" s="92">
        <v>0</v>
      </c>
      <c r="G58" s="219">
        <f>IF(F58&gt;0,F58,
IF(B58&lt;&gt;"",
IF(C58="CLT",VLOOKUP(B58,'Lista Profissionais'!$C$11:$H$348,3,0),
VLOOKUP(B58,'Lista Profissionais'!$C$11:$H$348,6,0)), 0))</f>
        <v>3200</v>
      </c>
      <c r="H58" s="219">
        <f>IF(B58&lt;&gt;"",
IF(C58="CLT",
       22*$M$5 + (G58*'Lista Profissionais'!$G$9),0),0)</f>
        <v>1740</v>
      </c>
      <c r="I58" s="66">
        <f t="shared" si="0"/>
        <v>3054.545454545455</v>
      </c>
      <c r="J58" s="66">
        <f t="shared" si="1"/>
        <v>7986.2424242424249</v>
      </c>
      <c r="K58" s="66">
        <f t="shared" si="2"/>
        <v>11384.388575757577</v>
      </c>
      <c r="L58" s="93">
        <f t="shared" si="23"/>
        <v>47.537157287157292</v>
      </c>
      <c r="M58" s="151"/>
      <c r="N58" s="152">
        <v>0</v>
      </c>
      <c r="O58" s="69">
        <f t="shared" si="3"/>
        <v>0</v>
      </c>
      <c r="P58" s="69">
        <f t="shared" si="4"/>
        <v>14774.548484848487</v>
      </c>
      <c r="Q58" s="70">
        <f t="shared" si="5"/>
        <v>14774.548484848487</v>
      </c>
      <c r="R58" s="153">
        <f t="shared" si="24"/>
        <v>0</v>
      </c>
      <c r="S58" s="70">
        <v>0</v>
      </c>
      <c r="T58" s="165">
        <f t="shared" si="6"/>
        <v>14774.548484848487</v>
      </c>
      <c r="U58" s="163">
        <f t="shared" si="7"/>
        <v>87.943740981240992</v>
      </c>
      <c r="V58" s="164">
        <f t="shared" si="25"/>
        <v>244.3636363636364</v>
      </c>
      <c r="W58" s="164">
        <f t="shared" si="8"/>
        <v>97.745454545454564</v>
      </c>
      <c r="X58" s="144">
        <f t="shared" si="9"/>
        <v>254.54545454545459</v>
      </c>
      <c r="Y58" s="150">
        <f t="shared" si="10"/>
        <v>84.848484848484858</v>
      </c>
      <c r="Z58" s="150">
        <f t="shared" si="11"/>
        <v>254.54545454545459</v>
      </c>
      <c r="AA58" s="150">
        <f t="shared" si="12"/>
        <v>840.00000000000023</v>
      </c>
      <c r="AB58" s="182">
        <f t="shared" si="13"/>
        <v>47.515151515151523</v>
      </c>
      <c r="AC58" s="182">
        <f t="shared" si="14"/>
        <v>163.33333333333337</v>
      </c>
      <c r="AD58" s="182">
        <f t="shared" si="15"/>
        <v>305.4545454545455</v>
      </c>
      <c r="AE58" s="180">
        <f t="shared" si="16"/>
        <v>24.436363636363641</v>
      </c>
      <c r="AF58" s="150">
        <f t="shared" si="17"/>
        <v>274.90909090909093</v>
      </c>
      <c r="AG58" s="150"/>
      <c r="AH58" s="150">
        <f t="shared" si="18"/>
        <v>600</v>
      </c>
      <c r="AI58" s="150">
        <f t="shared" si="26"/>
        <v>4931.69696969697</v>
      </c>
      <c r="AJ58" s="154">
        <f t="shared" si="19"/>
        <v>3398.1461515151523</v>
      </c>
      <c r="AK58" s="70">
        <f t="shared" si="20"/>
        <v>3390.1599090909103</v>
      </c>
      <c r="AL58" s="155">
        <f t="shared" si="21"/>
        <v>0.2294594594594595</v>
      </c>
      <c r="AM58" s="155">
        <f t="shared" si="22"/>
        <v>0.29799929799929809</v>
      </c>
    </row>
    <row r="59" spans="2:39" ht="14.25" hidden="1" customHeight="1" x14ac:dyDescent="0.25">
      <c r="B59" s="174" t="s">
        <v>367</v>
      </c>
      <c r="C59" s="171" t="s">
        <v>109</v>
      </c>
      <c r="D59" s="103">
        <v>168</v>
      </c>
      <c r="E59" s="104" t="s">
        <v>76</v>
      </c>
      <c r="F59" s="92">
        <v>0</v>
      </c>
      <c r="G59" s="219">
        <f>IF(F59&gt;0,F59,
IF(B59&lt;&gt;"",
IF(C59="CLT",VLOOKUP(B59,'Lista Profissionais'!$C$11:$H$348,3,0),
VLOOKUP(B59,'Lista Profissionais'!$C$11:$H$348,6,0)), 0))</f>
        <v>5200</v>
      </c>
      <c r="H59" s="219">
        <f>IF(B59&lt;&gt;"",
IF(C59="CLT",
       22*$M$5 + (G59*'Lista Profissionais'!$G$9),0),0)</f>
        <v>2140</v>
      </c>
      <c r="I59" s="66">
        <f t="shared" si="0"/>
        <v>4963.636363636364</v>
      </c>
      <c r="J59" s="66">
        <f t="shared" si="1"/>
        <v>11915.14393939394</v>
      </c>
      <c r="K59" s="66">
        <f t="shared" si="2"/>
        <v>16985.037685606061</v>
      </c>
      <c r="L59" s="93">
        <f t="shared" si="23"/>
        <v>70.923475829725831</v>
      </c>
      <c r="M59" s="151"/>
      <c r="N59" s="152">
        <v>0</v>
      </c>
      <c r="O59" s="69">
        <f t="shared" si="3"/>
        <v>0</v>
      </c>
      <c r="P59" s="69">
        <f t="shared" si="4"/>
        <v>22043.016287878789</v>
      </c>
      <c r="Q59" s="70">
        <f t="shared" si="5"/>
        <v>22043.016287878789</v>
      </c>
      <c r="R59" s="153">
        <f t="shared" si="24"/>
        <v>0</v>
      </c>
      <c r="S59" s="70">
        <v>0</v>
      </c>
      <c r="T59" s="165">
        <f t="shared" si="6"/>
        <v>22043.016287878789</v>
      </c>
      <c r="U59" s="163">
        <f t="shared" si="7"/>
        <v>131.2084302849928</v>
      </c>
      <c r="V59" s="164">
        <f t="shared" si="25"/>
        <v>397.09090909090912</v>
      </c>
      <c r="W59" s="164">
        <f t="shared" si="8"/>
        <v>158.83636363636367</v>
      </c>
      <c r="X59" s="144">
        <f t="shared" si="9"/>
        <v>413.63636363636368</v>
      </c>
      <c r="Y59" s="150">
        <f t="shared" si="10"/>
        <v>137.8787878787879</v>
      </c>
      <c r="Z59" s="150">
        <f t="shared" si="11"/>
        <v>413.63636363636368</v>
      </c>
      <c r="AA59" s="150">
        <f t="shared" si="12"/>
        <v>1365.0000000000002</v>
      </c>
      <c r="AB59" s="182">
        <f t="shared" si="13"/>
        <v>77.212121212121218</v>
      </c>
      <c r="AC59" s="182">
        <f t="shared" si="14"/>
        <v>265.41666666666669</v>
      </c>
      <c r="AD59" s="182">
        <f t="shared" si="15"/>
        <v>496.36363636363637</v>
      </c>
      <c r="AE59" s="180">
        <f t="shared" si="16"/>
        <v>39.709090909090911</v>
      </c>
      <c r="AF59" s="150">
        <f t="shared" si="17"/>
        <v>446.72727272727275</v>
      </c>
      <c r="AG59" s="150"/>
      <c r="AH59" s="150">
        <f t="shared" si="18"/>
        <v>600</v>
      </c>
      <c r="AI59" s="150">
        <f t="shared" si="26"/>
        <v>6951.507575757576</v>
      </c>
      <c r="AJ59" s="154">
        <f t="shared" si="19"/>
        <v>5069.8937462121212</v>
      </c>
      <c r="AK59" s="70">
        <f t="shared" si="20"/>
        <v>5057.9786022727276</v>
      </c>
      <c r="AL59" s="155">
        <f t="shared" si="21"/>
        <v>0.22945945945945947</v>
      </c>
      <c r="AM59" s="155">
        <f t="shared" si="22"/>
        <v>0.29799929799929803</v>
      </c>
    </row>
    <row r="60" spans="2:39" ht="14.25" hidden="1" customHeight="1" x14ac:dyDescent="0.25">
      <c r="B60" s="174" t="s">
        <v>368</v>
      </c>
      <c r="C60" s="171" t="s">
        <v>109</v>
      </c>
      <c r="D60" s="103">
        <v>168</v>
      </c>
      <c r="E60" s="104" t="s">
        <v>76</v>
      </c>
      <c r="F60" s="92">
        <v>0</v>
      </c>
      <c r="G60" s="219">
        <f>IF(F60&gt;0,F60,
IF(B60&lt;&gt;"",
IF(C60="CLT",VLOOKUP(B60,'Lista Profissionais'!$C$11:$H$348,3,0),
VLOOKUP(B60,'Lista Profissionais'!$C$11:$H$348,6,0)), 0))</f>
        <v>7200</v>
      </c>
      <c r="H60" s="219">
        <f>IF(B60&lt;&gt;"",
IF(C60="CLT",
       22*$M$5 + (G60*'Lista Profissionais'!$G$9),0),0)</f>
        <v>2540</v>
      </c>
      <c r="I60" s="66">
        <f t="shared" si="0"/>
        <v>6872.7272727272721</v>
      </c>
      <c r="J60" s="66">
        <f t="shared" si="1"/>
        <v>15844.045454545452</v>
      </c>
      <c r="K60" s="66">
        <f t="shared" si="2"/>
        <v>22585.686795454545</v>
      </c>
      <c r="L60" s="93">
        <f t="shared" si="23"/>
        <v>94.309794372294363</v>
      </c>
      <c r="M60" s="151"/>
      <c r="N60" s="152">
        <v>0</v>
      </c>
      <c r="O60" s="69">
        <f t="shared" si="3"/>
        <v>0</v>
      </c>
      <c r="P60" s="69">
        <f t="shared" si="4"/>
        <v>29311.484090909089</v>
      </c>
      <c r="Q60" s="70">
        <f t="shared" si="5"/>
        <v>29311.484090909089</v>
      </c>
      <c r="R60" s="153">
        <f t="shared" si="24"/>
        <v>0</v>
      </c>
      <c r="S60" s="70">
        <v>0</v>
      </c>
      <c r="T60" s="165">
        <f t="shared" si="6"/>
        <v>29311.484090909089</v>
      </c>
      <c r="U60" s="163">
        <f t="shared" si="7"/>
        <v>174.47311958874457</v>
      </c>
      <c r="V60" s="164">
        <f t="shared" si="25"/>
        <v>549.81818181818176</v>
      </c>
      <c r="W60" s="164">
        <f t="shared" si="8"/>
        <v>219.92727272727271</v>
      </c>
      <c r="X60" s="144">
        <f t="shared" si="9"/>
        <v>572.72727272727263</v>
      </c>
      <c r="Y60" s="150">
        <f t="shared" si="10"/>
        <v>190.90909090909088</v>
      </c>
      <c r="Z60" s="150">
        <f t="shared" si="11"/>
        <v>572.72727272727263</v>
      </c>
      <c r="AA60" s="150">
        <f t="shared" si="12"/>
        <v>1890</v>
      </c>
      <c r="AB60" s="182">
        <f t="shared" si="13"/>
        <v>106.90909090909088</v>
      </c>
      <c r="AC60" s="182">
        <f t="shared" si="14"/>
        <v>367.49999999999994</v>
      </c>
      <c r="AD60" s="182">
        <f t="shared" si="15"/>
        <v>687.27272727272725</v>
      </c>
      <c r="AE60" s="180">
        <f t="shared" si="16"/>
        <v>54.981818181818184</v>
      </c>
      <c r="AF60" s="150">
        <f t="shared" si="17"/>
        <v>618.5454545454545</v>
      </c>
      <c r="AG60" s="150"/>
      <c r="AH60" s="150">
        <f t="shared" si="18"/>
        <v>600</v>
      </c>
      <c r="AI60" s="150">
        <f t="shared" si="26"/>
        <v>8971.3181818181802</v>
      </c>
      <c r="AJ60" s="154">
        <f t="shared" si="19"/>
        <v>6741.641340909091</v>
      </c>
      <c r="AK60" s="70">
        <f t="shared" si="20"/>
        <v>6725.7972954545439</v>
      </c>
      <c r="AL60" s="155">
        <f t="shared" si="21"/>
        <v>0.22945945945945942</v>
      </c>
      <c r="AM60" s="155">
        <f t="shared" si="22"/>
        <v>0.29799929799929797</v>
      </c>
    </row>
    <row r="61" spans="2:39" ht="14.25" hidden="1" customHeight="1" x14ac:dyDescent="0.25">
      <c r="B61" s="174" t="s">
        <v>287</v>
      </c>
      <c r="C61" s="171" t="s">
        <v>109</v>
      </c>
      <c r="D61" s="103">
        <v>168</v>
      </c>
      <c r="E61" s="104" t="s">
        <v>76</v>
      </c>
      <c r="F61" s="92">
        <v>0</v>
      </c>
      <c r="G61" s="219">
        <f>IF(F61&gt;0,F61,
IF(B61&lt;&gt;"",
IF(C61="CLT",VLOOKUP(B61,'Lista Profissionais'!$C$11:$H$348,3,0),
VLOOKUP(B61,'Lista Profissionais'!$C$11:$H$348,6,0)), 0))</f>
        <v>10400</v>
      </c>
      <c r="H61" s="219">
        <f>IF(B61&lt;&gt;"",
IF(C61="CLT",
       22*$M$5 + (G61*'Lista Profissionais'!$G$9),0),0)</f>
        <v>3180</v>
      </c>
      <c r="I61" s="66">
        <f t="shared" si="0"/>
        <v>9927.2727272727279</v>
      </c>
      <c r="J61" s="66">
        <f t="shared" si="1"/>
        <v>22130.28787878788</v>
      </c>
      <c r="K61" s="66">
        <f t="shared" si="2"/>
        <v>31546.725371212124</v>
      </c>
      <c r="L61" s="93">
        <f t="shared" si="23"/>
        <v>131.72790404040404</v>
      </c>
      <c r="M61" s="151"/>
      <c r="N61" s="152">
        <v>0</v>
      </c>
      <c r="O61" s="69">
        <f t="shared" si="3"/>
        <v>0</v>
      </c>
      <c r="P61" s="69">
        <f t="shared" si="4"/>
        <v>40941.032575757577</v>
      </c>
      <c r="Q61" s="70">
        <f t="shared" si="5"/>
        <v>40941.032575757577</v>
      </c>
      <c r="R61" s="153">
        <f t="shared" si="24"/>
        <v>0</v>
      </c>
      <c r="S61" s="70">
        <v>0</v>
      </c>
      <c r="T61" s="165">
        <f t="shared" si="6"/>
        <v>40941.032575757577</v>
      </c>
      <c r="U61" s="163">
        <f t="shared" si="7"/>
        <v>243.69662247474747</v>
      </c>
      <c r="V61" s="164">
        <f t="shared" si="25"/>
        <v>794.18181818181824</v>
      </c>
      <c r="W61" s="164">
        <f t="shared" si="8"/>
        <v>317.67272727272734</v>
      </c>
      <c r="X61" s="144">
        <f t="shared" si="9"/>
        <v>827.27272727272737</v>
      </c>
      <c r="Y61" s="150">
        <f t="shared" si="10"/>
        <v>275.75757575757581</v>
      </c>
      <c r="Z61" s="150">
        <f t="shared" si="11"/>
        <v>827.27272727272737</v>
      </c>
      <c r="AA61" s="150">
        <f t="shared" si="12"/>
        <v>2730.0000000000005</v>
      </c>
      <c r="AB61" s="182">
        <f t="shared" si="13"/>
        <v>154.42424242424244</v>
      </c>
      <c r="AC61" s="182">
        <f t="shared" si="14"/>
        <v>530.83333333333337</v>
      </c>
      <c r="AD61" s="182">
        <f t="shared" si="15"/>
        <v>992.72727272727275</v>
      </c>
      <c r="AE61" s="180">
        <f t="shared" si="16"/>
        <v>79.418181818181822</v>
      </c>
      <c r="AF61" s="150">
        <f t="shared" si="17"/>
        <v>893.4545454545455</v>
      </c>
      <c r="AG61" s="150"/>
      <c r="AH61" s="150">
        <f t="shared" si="18"/>
        <v>600</v>
      </c>
      <c r="AI61" s="150">
        <f t="shared" si="26"/>
        <v>12203.015151515152</v>
      </c>
      <c r="AJ61" s="154">
        <f t="shared" si="19"/>
        <v>9416.4374924242438</v>
      </c>
      <c r="AK61" s="70">
        <f t="shared" si="20"/>
        <v>9394.3072045454537</v>
      </c>
      <c r="AL61" s="155">
        <f t="shared" si="21"/>
        <v>0.22945945945945942</v>
      </c>
      <c r="AM61" s="155">
        <f t="shared" si="22"/>
        <v>0.29799929799929797</v>
      </c>
    </row>
    <row r="62" spans="2:39" ht="14.25" hidden="1" customHeight="1" x14ac:dyDescent="0.25">
      <c r="B62" s="174" t="s">
        <v>288</v>
      </c>
      <c r="C62" s="171" t="s">
        <v>109</v>
      </c>
      <c r="D62" s="103">
        <v>168</v>
      </c>
      <c r="E62" s="104" t="s">
        <v>76</v>
      </c>
      <c r="F62" s="92">
        <v>0</v>
      </c>
      <c r="G62" s="219">
        <f>IF(F62&gt;0,F62,
IF(B62&lt;&gt;"",
IF(C62="CLT",VLOOKUP(B62,'Lista Profissionais'!$C$11:$H$348,3,0),
VLOOKUP(B62,'Lista Profissionais'!$C$11:$H$348,6,0)), 0))</f>
        <v>3920</v>
      </c>
      <c r="H62" s="219">
        <f>IF(B62&lt;&gt;"",
IF(C62="CLT",
       22*$M$5 + (G62*'Lista Profissionais'!$G$9),0),0)</f>
        <v>1884</v>
      </c>
      <c r="I62" s="66">
        <f t="shared" si="0"/>
        <v>3741.818181818182</v>
      </c>
      <c r="J62" s="66">
        <f t="shared" si="1"/>
        <v>9400.6469696969689</v>
      </c>
      <c r="K62" s="66">
        <f t="shared" si="2"/>
        <v>13400.622255303029</v>
      </c>
      <c r="L62" s="93">
        <f t="shared" si="23"/>
        <v>55.956231962481958</v>
      </c>
      <c r="M62" s="151"/>
      <c r="N62" s="152">
        <v>0</v>
      </c>
      <c r="O62" s="69">
        <f t="shared" si="3"/>
        <v>0</v>
      </c>
      <c r="P62" s="69">
        <f t="shared" si="4"/>
        <v>17391.196893939392</v>
      </c>
      <c r="Q62" s="70">
        <f t="shared" si="5"/>
        <v>17391.196893939392</v>
      </c>
      <c r="R62" s="153">
        <f t="shared" si="24"/>
        <v>0</v>
      </c>
      <c r="S62" s="70">
        <v>0</v>
      </c>
      <c r="T62" s="165">
        <f t="shared" si="6"/>
        <v>17391.196893939392</v>
      </c>
      <c r="U62" s="163">
        <f t="shared" si="7"/>
        <v>103.51902913059162</v>
      </c>
      <c r="V62" s="164">
        <f t="shared" si="25"/>
        <v>299.34545454545457</v>
      </c>
      <c r="W62" s="164">
        <f t="shared" si="8"/>
        <v>119.73818181818183</v>
      </c>
      <c r="X62" s="144">
        <f t="shared" si="9"/>
        <v>311.81818181818181</v>
      </c>
      <c r="Y62" s="150">
        <f t="shared" si="10"/>
        <v>103.93939393939394</v>
      </c>
      <c r="Z62" s="150">
        <f t="shared" si="11"/>
        <v>311.81818181818181</v>
      </c>
      <c r="AA62" s="150">
        <f t="shared" si="12"/>
        <v>1029.0000000000002</v>
      </c>
      <c r="AB62" s="182">
        <f t="shared" si="13"/>
        <v>58.206060606060603</v>
      </c>
      <c r="AC62" s="182">
        <f t="shared" si="14"/>
        <v>200.08333333333334</v>
      </c>
      <c r="AD62" s="182">
        <f t="shared" si="15"/>
        <v>374.18181818181819</v>
      </c>
      <c r="AE62" s="180">
        <f t="shared" si="16"/>
        <v>29.934545454545457</v>
      </c>
      <c r="AF62" s="150">
        <f t="shared" si="17"/>
        <v>336.76363636363635</v>
      </c>
      <c r="AG62" s="150"/>
      <c r="AH62" s="150">
        <f t="shared" si="18"/>
        <v>600</v>
      </c>
      <c r="AI62" s="150">
        <f t="shared" si="26"/>
        <v>5658.8287878787878</v>
      </c>
      <c r="AJ62" s="154">
        <f t="shared" si="19"/>
        <v>3999.9752856060604</v>
      </c>
      <c r="AK62" s="70">
        <f t="shared" si="20"/>
        <v>3990.5746386363626</v>
      </c>
      <c r="AL62" s="155">
        <f t="shared" si="21"/>
        <v>0.22945945945945942</v>
      </c>
      <c r="AM62" s="155">
        <f t="shared" si="22"/>
        <v>0.29799929799929797</v>
      </c>
    </row>
    <row r="63" spans="2:39" ht="14.25" hidden="1" customHeight="1" x14ac:dyDescent="0.25">
      <c r="B63" s="174" t="s">
        <v>289</v>
      </c>
      <c r="C63" s="171" t="s">
        <v>109</v>
      </c>
      <c r="D63" s="103">
        <v>168</v>
      </c>
      <c r="E63" s="104" t="s">
        <v>76</v>
      </c>
      <c r="F63" s="92">
        <v>0</v>
      </c>
      <c r="G63" s="219">
        <f>IF(F63&gt;0,F63,
IF(B63&lt;&gt;"",
IF(C63="CLT",VLOOKUP(B63,'Lista Profissionais'!$C$11:$H$348,3,0),
VLOOKUP(B63,'Lista Profissionais'!$C$11:$H$348,6,0)), 0))</f>
        <v>7200</v>
      </c>
      <c r="H63" s="219">
        <f>IF(B63&lt;&gt;"",
IF(C63="CLT",
       22*$M$5 + (G63*'Lista Profissionais'!$G$9),0),0)</f>
        <v>2540</v>
      </c>
      <c r="I63" s="66">
        <f t="shared" si="0"/>
        <v>6872.7272727272721</v>
      </c>
      <c r="J63" s="66">
        <f t="shared" si="1"/>
        <v>15844.045454545452</v>
      </c>
      <c r="K63" s="66">
        <f t="shared" si="2"/>
        <v>22585.686795454545</v>
      </c>
      <c r="L63" s="93">
        <f t="shared" si="23"/>
        <v>94.309794372294363</v>
      </c>
      <c r="M63" s="151"/>
      <c r="N63" s="152">
        <v>0</v>
      </c>
      <c r="O63" s="69">
        <f t="shared" si="3"/>
        <v>0</v>
      </c>
      <c r="P63" s="69">
        <f t="shared" si="4"/>
        <v>29311.484090909089</v>
      </c>
      <c r="Q63" s="70">
        <f t="shared" si="5"/>
        <v>29311.484090909089</v>
      </c>
      <c r="R63" s="153">
        <f t="shared" si="24"/>
        <v>0</v>
      </c>
      <c r="S63" s="70">
        <v>0</v>
      </c>
      <c r="T63" s="165">
        <f t="shared" si="6"/>
        <v>29311.484090909089</v>
      </c>
      <c r="U63" s="163">
        <f t="shared" si="7"/>
        <v>174.47311958874457</v>
      </c>
      <c r="V63" s="164">
        <f t="shared" si="25"/>
        <v>549.81818181818176</v>
      </c>
      <c r="W63" s="164">
        <f t="shared" si="8"/>
        <v>219.92727272727271</v>
      </c>
      <c r="X63" s="144">
        <f t="shared" si="9"/>
        <v>572.72727272727263</v>
      </c>
      <c r="Y63" s="150">
        <f t="shared" si="10"/>
        <v>190.90909090909088</v>
      </c>
      <c r="Z63" s="150">
        <f t="shared" si="11"/>
        <v>572.72727272727263</v>
      </c>
      <c r="AA63" s="150">
        <f t="shared" si="12"/>
        <v>1890</v>
      </c>
      <c r="AB63" s="182">
        <f t="shared" si="13"/>
        <v>106.90909090909088</v>
      </c>
      <c r="AC63" s="182">
        <f t="shared" si="14"/>
        <v>367.49999999999994</v>
      </c>
      <c r="AD63" s="182">
        <f t="shared" si="15"/>
        <v>687.27272727272725</v>
      </c>
      <c r="AE63" s="180">
        <f t="shared" si="16"/>
        <v>54.981818181818184</v>
      </c>
      <c r="AF63" s="150">
        <f t="shared" si="17"/>
        <v>618.5454545454545</v>
      </c>
      <c r="AG63" s="150"/>
      <c r="AH63" s="150">
        <f t="shared" si="18"/>
        <v>600</v>
      </c>
      <c r="AI63" s="150">
        <f t="shared" si="26"/>
        <v>8971.3181818181802</v>
      </c>
      <c r="AJ63" s="154">
        <f t="shared" si="19"/>
        <v>6741.641340909091</v>
      </c>
      <c r="AK63" s="70">
        <f t="shared" si="20"/>
        <v>6725.7972954545439</v>
      </c>
      <c r="AL63" s="155">
        <f t="shared" si="21"/>
        <v>0.22945945945945942</v>
      </c>
      <c r="AM63" s="155">
        <f t="shared" si="22"/>
        <v>0.29799929799929797</v>
      </c>
    </row>
    <row r="64" spans="2:39" ht="14.25" hidden="1" customHeight="1" x14ac:dyDescent="0.25">
      <c r="B64" s="174" t="s">
        <v>290</v>
      </c>
      <c r="C64" s="171" t="s">
        <v>109</v>
      </c>
      <c r="D64" s="103">
        <v>168</v>
      </c>
      <c r="E64" s="104" t="s">
        <v>76</v>
      </c>
      <c r="F64" s="92">
        <v>0</v>
      </c>
      <c r="G64" s="219">
        <f>IF(F64&gt;0,F64,
IF(B64&lt;&gt;"",
IF(C64="CLT",VLOOKUP(B64,'Lista Profissionais'!$C$11:$H$348,3,0),
VLOOKUP(B64,'Lista Profissionais'!$C$11:$H$348,6,0)), 0))</f>
        <v>8800</v>
      </c>
      <c r="H64" s="219">
        <f>IF(B64&lt;&gt;"",
IF(C64="CLT",
       22*$M$5 + (G64*'Lista Profissionais'!$G$9),0),0)</f>
        <v>2860</v>
      </c>
      <c r="I64" s="66">
        <f t="shared" si="0"/>
        <v>8400</v>
      </c>
      <c r="J64" s="66">
        <f t="shared" si="1"/>
        <v>18987.166666666668</v>
      </c>
      <c r="K64" s="66">
        <f t="shared" si="2"/>
        <v>27066.206083333338</v>
      </c>
      <c r="L64" s="93">
        <f t="shared" si="23"/>
        <v>113.01884920634922</v>
      </c>
      <c r="M64" s="151"/>
      <c r="N64" s="152">
        <v>0</v>
      </c>
      <c r="O64" s="69">
        <f t="shared" si="3"/>
        <v>0</v>
      </c>
      <c r="P64" s="69">
        <f t="shared" si="4"/>
        <v>35126.258333333339</v>
      </c>
      <c r="Q64" s="70">
        <f t="shared" si="5"/>
        <v>35126.258333333339</v>
      </c>
      <c r="R64" s="153">
        <f t="shared" si="24"/>
        <v>0</v>
      </c>
      <c r="S64" s="70">
        <v>0</v>
      </c>
      <c r="T64" s="165">
        <f t="shared" si="6"/>
        <v>35126.258333333339</v>
      </c>
      <c r="U64" s="163">
        <f t="shared" si="7"/>
        <v>209.08487103174608</v>
      </c>
      <c r="V64" s="164">
        <f t="shared" si="25"/>
        <v>672</v>
      </c>
      <c r="W64" s="164">
        <f t="shared" si="8"/>
        <v>268.8</v>
      </c>
      <c r="X64" s="144">
        <f t="shared" si="9"/>
        <v>700</v>
      </c>
      <c r="Y64" s="150">
        <f t="shared" si="10"/>
        <v>233.33333333333334</v>
      </c>
      <c r="Z64" s="150">
        <f t="shared" si="11"/>
        <v>700</v>
      </c>
      <c r="AA64" s="150">
        <f t="shared" si="12"/>
        <v>2310</v>
      </c>
      <c r="AB64" s="182">
        <f t="shared" si="13"/>
        <v>130.66666666666669</v>
      </c>
      <c r="AC64" s="182">
        <f t="shared" si="14"/>
        <v>449.16666666666674</v>
      </c>
      <c r="AD64" s="182">
        <f t="shared" si="15"/>
        <v>840</v>
      </c>
      <c r="AE64" s="180">
        <f t="shared" si="16"/>
        <v>67.2</v>
      </c>
      <c r="AF64" s="150">
        <f t="shared" si="17"/>
        <v>756</v>
      </c>
      <c r="AG64" s="150"/>
      <c r="AH64" s="150">
        <f t="shared" si="18"/>
        <v>600</v>
      </c>
      <c r="AI64" s="150">
        <f t="shared" si="26"/>
        <v>10587.166666666668</v>
      </c>
      <c r="AJ64" s="154">
        <f t="shared" si="19"/>
        <v>8079.0394166666683</v>
      </c>
      <c r="AK64" s="70">
        <f t="shared" si="20"/>
        <v>8060.0522500000043</v>
      </c>
      <c r="AL64" s="155">
        <f t="shared" si="21"/>
        <v>0.22945945945945956</v>
      </c>
      <c r="AM64" s="155">
        <f t="shared" si="22"/>
        <v>0.29799929799929809</v>
      </c>
    </row>
    <row r="65" spans="2:39" ht="14.25" hidden="1" customHeight="1" x14ac:dyDescent="0.25">
      <c r="B65" s="174" t="s">
        <v>291</v>
      </c>
      <c r="C65" s="171" t="s">
        <v>109</v>
      </c>
      <c r="D65" s="103">
        <v>168</v>
      </c>
      <c r="E65" s="104" t="s">
        <v>76</v>
      </c>
      <c r="F65" s="92">
        <v>0</v>
      </c>
      <c r="G65" s="219">
        <f>IF(F65&gt;0,F65,
IF(B65&lt;&gt;"",
IF(C65="CLT",VLOOKUP(B65,'Lista Profissionais'!$C$11:$H$348,3,0),
VLOOKUP(B65,'Lista Profissionais'!$C$11:$H$348,6,0)), 0))</f>
        <v>10400</v>
      </c>
      <c r="H65" s="219">
        <f>IF(B65&lt;&gt;"",
IF(C65="CLT",
       22*$M$5 + (G65*'Lista Profissionais'!$G$9),0),0)</f>
        <v>3180</v>
      </c>
      <c r="I65" s="66">
        <f t="shared" si="0"/>
        <v>9927.2727272727279</v>
      </c>
      <c r="J65" s="66">
        <f t="shared" si="1"/>
        <v>22130.28787878788</v>
      </c>
      <c r="K65" s="66">
        <f t="shared" si="2"/>
        <v>31546.725371212124</v>
      </c>
      <c r="L65" s="93">
        <f t="shared" si="23"/>
        <v>131.72790404040404</v>
      </c>
      <c r="M65" s="151"/>
      <c r="N65" s="152">
        <v>0</v>
      </c>
      <c r="O65" s="69">
        <f t="shared" si="3"/>
        <v>0</v>
      </c>
      <c r="P65" s="69">
        <f t="shared" si="4"/>
        <v>40941.032575757577</v>
      </c>
      <c r="Q65" s="70">
        <f t="shared" si="5"/>
        <v>40941.032575757577</v>
      </c>
      <c r="R65" s="153">
        <f t="shared" si="24"/>
        <v>0</v>
      </c>
      <c r="S65" s="70">
        <v>0</v>
      </c>
      <c r="T65" s="165">
        <f t="shared" si="6"/>
        <v>40941.032575757577</v>
      </c>
      <c r="U65" s="163">
        <f t="shared" si="7"/>
        <v>243.69662247474747</v>
      </c>
      <c r="V65" s="164">
        <f t="shared" si="25"/>
        <v>794.18181818181824</v>
      </c>
      <c r="W65" s="164">
        <f t="shared" si="8"/>
        <v>317.67272727272734</v>
      </c>
      <c r="X65" s="144">
        <f t="shared" si="9"/>
        <v>827.27272727272737</v>
      </c>
      <c r="Y65" s="150">
        <f t="shared" si="10"/>
        <v>275.75757575757581</v>
      </c>
      <c r="Z65" s="150">
        <f t="shared" si="11"/>
        <v>827.27272727272737</v>
      </c>
      <c r="AA65" s="150">
        <f t="shared" si="12"/>
        <v>2730.0000000000005</v>
      </c>
      <c r="AB65" s="182">
        <f t="shared" si="13"/>
        <v>154.42424242424244</v>
      </c>
      <c r="AC65" s="182">
        <f t="shared" si="14"/>
        <v>530.83333333333337</v>
      </c>
      <c r="AD65" s="182">
        <f t="shared" si="15"/>
        <v>992.72727272727275</v>
      </c>
      <c r="AE65" s="180">
        <f t="shared" si="16"/>
        <v>79.418181818181822</v>
      </c>
      <c r="AF65" s="150">
        <f t="shared" si="17"/>
        <v>893.4545454545455</v>
      </c>
      <c r="AG65" s="150"/>
      <c r="AH65" s="150">
        <f t="shared" si="18"/>
        <v>600</v>
      </c>
      <c r="AI65" s="150">
        <f t="shared" si="26"/>
        <v>12203.015151515152</v>
      </c>
      <c r="AJ65" s="154">
        <f t="shared" si="19"/>
        <v>9416.4374924242438</v>
      </c>
      <c r="AK65" s="70">
        <f t="shared" si="20"/>
        <v>9394.3072045454537</v>
      </c>
      <c r="AL65" s="155">
        <f t="shared" si="21"/>
        <v>0.22945945945945942</v>
      </c>
      <c r="AM65" s="155">
        <f t="shared" si="22"/>
        <v>0.29799929799929797</v>
      </c>
    </row>
    <row r="66" spans="2:39" ht="14.25" hidden="1" customHeight="1" x14ac:dyDescent="0.25">
      <c r="B66" s="174" t="s">
        <v>292</v>
      </c>
      <c r="C66" s="171" t="s">
        <v>109</v>
      </c>
      <c r="D66" s="103">
        <v>168</v>
      </c>
      <c r="E66" s="104" t="s">
        <v>76</v>
      </c>
      <c r="F66" s="92">
        <v>0</v>
      </c>
      <c r="G66" s="219">
        <f>IF(F66&gt;0,F66,
IF(B66&lt;&gt;"",
IF(C66="CLT",VLOOKUP(B66,'Lista Profissionais'!$C$11:$H$348,3,0),
VLOOKUP(B66,'Lista Profissionais'!$C$11:$H$348,6,0)), 0))</f>
        <v>3920</v>
      </c>
      <c r="H66" s="219">
        <f>IF(B66&lt;&gt;"",
IF(C66="CLT",
       22*$M$5 + (G66*'Lista Profissionais'!$G$9),0),0)</f>
        <v>1884</v>
      </c>
      <c r="I66" s="66">
        <f t="shared" si="0"/>
        <v>3741.818181818182</v>
      </c>
      <c r="J66" s="66">
        <f t="shared" si="1"/>
        <v>9400.6469696969689</v>
      </c>
      <c r="K66" s="66">
        <f t="shared" si="2"/>
        <v>13400.622255303029</v>
      </c>
      <c r="L66" s="93">
        <f t="shared" si="23"/>
        <v>55.956231962481958</v>
      </c>
      <c r="M66" s="151"/>
      <c r="N66" s="152">
        <v>0</v>
      </c>
      <c r="O66" s="69">
        <f t="shared" si="3"/>
        <v>0</v>
      </c>
      <c r="P66" s="69">
        <f t="shared" si="4"/>
        <v>17391.196893939392</v>
      </c>
      <c r="Q66" s="70">
        <f t="shared" si="5"/>
        <v>17391.196893939392</v>
      </c>
      <c r="R66" s="153">
        <f t="shared" si="24"/>
        <v>0</v>
      </c>
      <c r="S66" s="70">
        <v>0</v>
      </c>
      <c r="T66" s="165">
        <f t="shared" si="6"/>
        <v>17391.196893939392</v>
      </c>
      <c r="U66" s="163">
        <f t="shared" si="7"/>
        <v>103.51902913059162</v>
      </c>
      <c r="V66" s="164">
        <f t="shared" si="25"/>
        <v>299.34545454545457</v>
      </c>
      <c r="W66" s="164">
        <f t="shared" si="8"/>
        <v>119.73818181818183</v>
      </c>
      <c r="X66" s="144">
        <f t="shared" si="9"/>
        <v>311.81818181818181</v>
      </c>
      <c r="Y66" s="150">
        <f t="shared" si="10"/>
        <v>103.93939393939394</v>
      </c>
      <c r="Z66" s="150">
        <f t="shared" si="11"/>
        <v>311.81818181818181</v>
      </c>
      <c r="AA66" s="150">
        <f t="shared" si="12"/>
        <v>1029.0000000000002</v>
      </c>
      <c r="AB66" s="182">
        <f t="shared" si="13"/>
        <v>58.206060606060603</v>
      </c>
      <c r="AC66" s="182">
        <f t="shared" si="14"/>
        <v>200.08333333333334</v>
      </c>
      <c r="AD66" s="182">
        <f t="shared" si="15"/>
        <v>374.18181818181819</v>
      </c>
      <c r="AE66" s="180">
        <f t="shared" si="16"/>
        <v>29.934545454545457</v>
      </c>
      <c r="AF66" s="150">
        <f t="shared" si="17"/>
        <v>336.76363636363635</v>
      </c>
      <c r="AG66" s="150"/>
      <c r="AH66" s="150">
        <f t="shared" si="18"/>
        <v>600</v>
      </c>
      <c r="AI66" s="150">
        <f t="shared" si="26"/>
        <v>5658.8287878787878</v>
      </c>
      <c r="AJ66" s="154">
        <f t="shared" si="19"/>
        <v>3999.9752856060604</v>
      </c>
      <c r="AK66" s="70">
        <f t="shared" si="20"/>
        <v>3990.5746386363626</v>
      </c>
      <c r="AL66" s="155">
        <f t="shared" si="21"/>
        <v>0.22945945945945942</v>
      </c>
      <c r="AM66" s="155">
        <f t="shared" si="22"/>
        <v>0.29799929799929797</v>
      </c>
    </row>
    <row r="67" spans="2:39" ht="14.25" hidden="1" customHeight="1" x14ac:dyDescent="0.25">
      <c r="B67" s="174" t="s">
        <v>293</v>
      </c>
      <c r="C67" s="171" t="s">
        <v>109</v>
      </c>
      <c r="D67" s="103">
        <v>168</v>
      </c>
      <c r="E67" s="104" t="s">
        <v>76</v>
      </c>
      <c r="F67" s="92">
        <v>0</v>
      </c>
      <c r="G67" s="219">
        <f>IF(F67&gt;0,F67,
IF(B67&lt;&gt;"",
IF(C67="CLT",VLOOKUP(B67,'Lista Profissionais'!$C$11:$H$348,3,0),
VLOOKUP(B67,'Lista Profissionais'!$C$11:$H$348,6,0)), 0))</f>
        <v>7200</v>
      </c>
      <c r="H67" s="219">
        <f>IF(B67&lt;&gt;"",
IF(C67="CLT",
       22*$M$5 + (G67*'Lista Profissionais'!$G$9),0),0)</f>
        <v>2540</v>
      </c>
      <c r="I67" s="66">
        <f t="shared" si="0"/>
        <v>6872.7272727272721</v>
      </c>
      <c r="J67" s="66">
        <f t="shared" si="1"/>
        <v>15844.045454545452</v>
      </c>
      <c r="K67" s="66">
        <f t="shared" si="2"/>
        <v>22585.686795454545</v>
      </c>
      <c r="L67" s="93">
        <f t="shared" si="23"/>
        <v>94.309794372294363</v>
      </c>
      <c r="M67" s="151"/>
      <c r="N67" s="152">
        <v>0</v>
      </c>
      <c r="O67" s="69">
        <f t="shared" si="3"/>
        <v>0</v>
      </c>
      <c r="P67" s="69">
        <f t="shared" si="4"/>
        <v>29311.484090909089</v>
      </c>
      <c r="Q67" s="70">
        <f t="shared" si="5"/>
        <v>29311.484090909089</v>
      </c>
      <c r="R67" s="153">
        <f t="shared" si="24"/>
        <v>0</v>
      </c>
      <c r="S67" s="70">
        <v>0</v>
      </c>
      <c r="T67" s="165">
        <f t="shared" si="6"/>
        <v>29311.484090909089</v>
      </c>
      <c r="U67" s="163">
        <f t="shared" si="7"/>
        <v>174.47311958874457</v>
      </c>
      <c r="V67" s="164">
        <f t="shared" si="25"/>
        <v>549.81818181818176</v>
      </c>
      <c r="W67" s="164">
        <f t="shared" si="8"/>
        <v>219.92727272727271</v>
      </c>
      <c r="X67" s="144">
        <f t="shared" si="9"/>
        <v>572.72727272727263</v>
      </c>
      <c r="Y67" s="150">
        <f t="shared" si="10"/>
        <v>190.90909090909088</v>
      </c>
      <c r="Z67" s="150">
        <f t="shared" si="11"/>
        <v>572.72727272727263</v>
      </c>
      <c r="AA67" s="150">
        <f t="shared" si="12"/>
        <v>1890</v>
      </c>
      <c r="AB67" s="182">
        <f t="shared" si="13"/>
        <v>106.90909090909088</v>
      </c>
      <c r="AC67" s="182">
        <f t="shared" si="14"/>
        <v>367.49999999999994</v>
      </c>
      <c r="AD67" s="182">
        <f t="shared" si="15"/>
        <v>687.27272727272725</v>
      </c>
      <c r="AE67" s="180">
        <f t="shared" si="16"/>
        <v>54.981818181818184</v>
      </c>
      <c r="AF67" s="150">
        <f t="shared" si="17"/>
        <v>618.5454545454545</v>
      </c>
      <c r="AG67" s="150"/>
      <c r="AH67" s="150">
        <f t="shared" si="18"/>
        <v>600</v>
      </c>
      <c r="AI67" s="150">
        <f t="shared" si="26"/>
        <v>8971.3181818181802</v>
      </c>
      <c r="AJ67" s="154">
        <f t="shared" si="19"/>
        <v>6741.641340909091</v>
      </c>
      <c r="AK67" s="70">
        <f t="shared" si="20"/>
        <v>6725.7972954545439</v>
      </c>
      <c r="AL67" s="155">
        <f t="shared" si="21"/>
        <v>0.22945945945945942</v>
      </c>
      <c r="AM67" s="155">
        <f t="shared" si="22"/>
        <v>0.29799929799929797</v>
      </c>
    </row>
    <row r="68" spans="2:39" ht="15.75" hidden="1" customHeight="1" x14ac:dyDescent="0.25">
      <c r="B68" s="174" t="s">
        <v>294</v>
      </c>
      <c r="C68" s="171" t="s">
        <v>109</v>
      </c>
      <c r="D68" s="103">
        <v>168</v>
      </c>
      <c r="E68" s="104" t="s">
        <v>76</v>
      </c>
      <c r="F68" s="92">
        <v>0</v>
      </c>
      <c r="G68" s="219">
        <f>IF(F68&gt;0,F68,
IF(B68&lt;&gt;"",
IF(C68="CLT",VLOOKUP(B68,'Lista Profissionais'!$C$11:$H$348,3,0),
VLOOKUP(B68,'Lista Profissionais'!$C$11:$H$348,6,0)), 0))</f>
        <v>8800</v>
      </c>
      <c r="H68" s="219">
        <f>IF(B68&lt;&gt;"",
IF(C68="CLT",
       22*$M$5 + (G68*'Lista Profissionais'!$G$9),0),0)</f>
        <v>2860</v>
      </c>
      <c r="I68" s="66">
        <f t="shared" si="0"/>
        <v>8400</v>
      </c>
      <c r="J68" s="66">
        <f t="shared" si="1"/>
        <v>18987.166666666668</v>
      </c>
      <c r="K68" s="66">
        <f t="shared" si="2"/>
        <v>27066.206083333338</v>
      </c>
      <c r="L68" s="93">
        <f t="shared" si="23"/>
        <v>113.01884920634922</v>
      </c>
      <c r="M68" s="151"/>
      <c r="N68" s="152">
        <v>0</v>
      </c>
      <c r="O68" s="69">
        <f t="shared" si="3"/>
        <v>0</v>
      </c>
      <c r="P68" s="69">
        <f t="shared" si="4"/>
        <v>35126.258333333339</v>
      </c>
      <c r="Q68" s="70">
        <f t="shared" si="5"/>
        <v>35126.258333333339</v>
      </c>
      <c r="R68" s="153">
        <f t="shared" si="24"/>
        <v>0</v>
      </c>
      <c r="S68" s="70">
        <v>0</v>
      </c>
      <c r="T68" s="165">
        <f t="shared" si="6"/>
        <v>35126.258333333339</v>
      </c>
      <c r="U68" s="163">
        <f t="shared" si="7"/>
        <v>209.08487103174608</v>
      </c>
      <c r="V68" s="164">
        <f t="shared" si="25"/>
        <v>672</v>
      </c>
      <c r="W68" s="164">
        <f t="shared" si="8"/>
        <v>268.8</v>
      </c>
      <c r="X68" s="144">
        <f t="shared" si="9"/>
        <v>700</v>
      </c>
      <c r="Y68" s="150">
        <f t="shared" si="10"/>
        <v>233.33333333333334</v>
      </c>
      <c r="Z68" s="150">
        <f t="shared" si="11"/>
        <v>700</v>
      </c>
      <c r="AA68" s="150">
        <f t="shared" si="12"/>
        <v>2310</v>
      </c>
      <c r="AB68" s="182">
        <f t="shared" si="13"/>
        <v>130.66666666666669</v>
      </c>
      <c r="AC68" s="182">
        <f t="shared" si="14"/>
        <v>449.16666666666674</v>
      </c>
      <c r="AD68" s="182">
        <f t="shared" si="15"/>
        <v>840</v>
      </c>
      <c r="AE68" s="180">
        <f t="shared" si="16"/>
        <v>67.2</v>
      </c>
      <c r="AF68" s="150">
        <f t="shared" si="17"/>
        <v>756</v>
      </c>
      <c r="AG68" s="150"/>
      <c r="AH68" s="150">
        <f t="shared" si="18"/>
        <v>600</v>
      </c>
      <c r="AI68" s="150">
        <f t="shared" si="26"/>
        <v>10587.166666666668</v>
      </c>
      <c r="AJ68" s="154">
        <f t="shared" si="19"/>
        <v>8079.0394166666683</v>
      </c>
      <c r="AK68" s="70">
        <f t="shared" si="20"/>
        <v>8060.0522500000043</v>
      </c>
      <c r="AL68" s="155">
        <f t="shared" si="21"/>
        <v>0.22945945945945956</v>
      </c>
      <c r="AM68" s="155">
        <f t="shared" si="22"/>
        <v>0.29799929799929809</v>
      </c>
    </row>
    <row r="69" spans="2:39" ht="15.75" hidden="1" customHeight="1" x14ac:dyDescent="0.25">
      <c r="B69" s="174" t="s">
        <v>295</v>
      </c>
      <c r="C69" s="171" t="s">
        <v>109</v>
      </c>
      <c r="D69" s="103">
        <v>168</v>
      </c>
      <c r="E69" s="104" t="s">
        <v>76</v>
      </c>
      <c r="F69" s="92">
        <v>0</v>
      </c>
      <c r="G69" s="219">
        <f>IF(F69&gt;0,F69,
IF(B69&lt;&gt;"",
IF(C69="CLT",VLOOKUP(B69,'Lista Profissionais'!$C$11:$H$348,3,0),
VLOOKUP(B69,'Lista Profissionais'!$C$11:$H$348,6,0)), 0))</f>
        <v>10880</v>
      </c>
      <c r="H69" s="219">
        <f>IF(B69&lt;&gt;"",
IF(C69="CLT",
       22*$M$5 + (G69*'Lista Profissionais'!$G$9),0),0)</f>
        <v>3276</v>
      </c>
      <c r="I69" s="66">
        <f t="shared" si="0"/>
        <v>10385.454545454546</v>
      </c>
      <c r="J69" s="66">
        <f t="shared" si="1"/>
        <v>23073.224242424243</v>
      </c>
      <c r="K69" s="66">
        <f t="shared" si="2"/>
        <v>32890.881157575757</v>
      </c>
      <c r="L69" s="93">
        <f t="shared" si="23"/>
        <v>137.34062049062049</v>
      </c>
      <c r="M69" s="151"/>
      <c r="N69" s="152">
        <v>0</v>
      </c>
      <c r="O69" s="69">
        <f t="shared" si="3"/>
        <v>0</v>
      </c>
      <c r="P69" s="69">
        <f t="shared" si="4"/>
        <v>42685.464848484851</v>
      </c>
      <c r="Q69" s="70">
        <f t="shared" si="5"/>
        <v>42685.464848484851</v>
      </c>
      <c r="R69" s="153">
        <f t="shared" si="24"/>
        <v>0</v>
      </c>
      <c r="S69" s="70">
        <v>0</v>
      </c>
      <c r="T69" s="165">
        <f t="shared" si="6"/>
        <v>42685.464848484851</v>
      </c>
      <c r="U69" s="163">
        <f t="shared" si="7"/>
        <v>254.08014790764793</v>
      </c>
      <c r="V69" s="164">
        <f t="shared" si="25"/>
        <v>830.83636363636367</v>
      </c>
      <c r="W69" s="164">
        <f t="shared" si="8"/>
        <v>332.33454545454549</v>
      </c>
      <c r="X69" s="144">
        <f t="shared" si="9"/>
        <v>865.4545454545455</v>
      </c>
      <c r="Y69" s="150">
        <f t="shared" si="10"/>
        <v>288.4848484848485</v>
      </c>
      <c r="Z69" s="150">
        <f t="shared" si="11"/>
        <v>865.4545454545455</v>
      </c>
      <c r="AA69" s="150">
        <f t="shared" si="12"/>
        <v>2856.0000000000005</v>
      </c>
      <c r="AB69" s="182">
        <f t="shared" si="13"/>
        <v>161.55151515151516</v>
      </c>
      <c r="AC69" s="182">
        <f t="shared" si="14"/>
        <v>555.33333333333337</v>
      </c>
      <c r="AD69" s="182">
        <f t="shared" si="15"/>
        <v>1038.5454545454545</v>
      </c>
      <c r="AE69" s="180">
        <f t="shared" si="16"/>
        <v>83.083636363636359</v>
      </c>
      <c r="AF69" s="150">
        <f t="shared" si="17"/>
        <v>934.69090909090914</v>
      </c>
      <c r="AG69" s="150"/>
      <c r="AH69" s="150">
        <f t="shared" si="18"/>
        <v>600</v>
      </c>
      <c r="AI69" s="150">
        <f t="shared" si="26"/>
        <v>12687.769696969697</v>
      </c>
      <c r="AJ69" s="154">
        <f t="shared" si="19"/>
        <v>9817.6569151515159</v>
      </c>
      <c r="AK69" s="70">
        <f t="shared" si="20"/>
        <v>9794.583690909094</v>
      </c>
      <c r="AL69" s="155">
        <f t="shared" si="21"/>
        <v>0.22945945945945953</v>
      </c>
      <c r="AM69" s="155">
        <f t="shared" si="22"/>
        <v>0.29799929799929809</v>
      </c>
    </row>
    <row r="70" spans="2:39" ht="15.75" hidden="1" customHeight="1" x14ac:dyDescent="0.25">
      <c r="B70" s="174" t="s">
        <v>296</v>
      </c>
      <c r="C70" s="171" t="s">
        <v>109</v>
      </c>
      <c r="D70" s="103">
        <v>168</v>
      </c>
      <c r="E70" s="104" t="s">
        <v>76</v>
      </c>
      <c r="F70" s="92">
        <v>0</v>
      </c>
      <c r="G70" s="219">
        <f>IF(F70&gt;0,F70,
IF(B70&lt;&gt;"",
IF(C70="CLT",VLOOKUP(B70,'Lista Profissionais'!$C$11:$H$348,3,0),
VLOOKUP(B70,'Lista Profissionais'!$C$11:$H$348,6,0)), 0))</f>
        <v>3920</v>
      </c>
      <c r="H70" s="219">
        <f>IF(B70&lt;&gt;"",
IF(C70="CLT",
       22*$M$5 + (G70*'Lista Profissionais'!$G$9),0),0)</f>
        <v>1884</v>
      </c>
      <c r="I70" s="66">
        <f t="shared" si="0"/>
        <v>3741.818181818182</v>
      </c>
      <c r="J70" s="66">
        <f t="shared" si="1"/>
        <v>9400.6469696969689</v>
      </c>
      <c r="K70" s="66">
        <f t="shared" si="2"/>
        <v>13400.622255303029</v>
      </c>
      <c r="L70" s="93">
        <f t="shared" si="23"/>
        <v>55.956231962481958</v>
      </c>
      <c r="M70" s="151"/>
      <c r="N70" s="152">
        <v>0</v>
      </c>
      <c r="O70" s="69">
        <f t="shared" si="3"/>
        <v>0</v>
      </c>
      <c r="P70" s="69">
        <f t="shared" si="4"/>
        <v>17391.196893939392</v>
      </c>
      <c r="Q70" s="70">
        <f t="shared" si="5"/>
        <v>17391.196893939392</v>
      </c>
      <c r="R70" s="153">
        <f t="shared" si="24"/>
        <v>0</v>
      </c>
      <c r="S70" s="70">
        <v>0</v>
      </c>
      <c r="T70" s="165">
        <f t="shared" si="6"/>
        <v>17391.196893939392</v>
      </c>
      <c r="U70" s="163">
        <f t="shared" si="7"/>
        <v>103.51902913059162</v>
      </c>
      <c r="V70" s="164">
        <f t="shared" si="25"/>
        <v>299.34545454545457</v>
      </c>
      <c r="W70" s="164">
        <f t="shared" si="8"/>
        <v>119.73818181818183</v>
      </c>
      <c r="X70" s="144">
        <f t="shared" si="9"/>
        <v>311.81818181818181</v>
      </c>
      <c r="Y70" s="150">
        <f t="shared" si="10"/>
        <v>103.93939393939394</v>
      </c>
      <c r="Z70" s="150">
        <f t="shared" si="11"/>
        <v>311.81818181818181</v>
      </c>
      <c r="AA70" s="150">
        <f t="shared" si="12"/>
        <v>1029.0000000000002</v>
      </c>
      <c r="AB70" s="182">
        <f t="shared" si="13"/>
        <v>58.206060606060603</v>
      </c>
      <c r="AC70" s="182">
        <f t="shared" si="14"/>
        <v>200.08333333333334</v>
      </c>
      <c r="AD70" s="182">
        <f t="shared" si="15"/>
        <v>374.18181818181819</v>
      </c>
      <c r="AE70" s="180">
        <f t="shared" si="16"/>
        <v>29.934545454545457</v>
      </c>
      <c r="AF70" s="150">
        <f t="shared" si="17"/>
        <v>336.76363636363635</v>
      </c>
      <c r="AG70" s="150"/>
      <c r="AH70" s="150">
        <f t="shared" si="18"/>
        <v>600</v>
      </c>
      <c r="AI70" s="150">
        <f t="shared" si="26"/>
        <v>5658.8287878787878</v>
      </c>
      <c r="AJ70" s="154">
        <f t="shared" si="19"/>
        <v>3999.9752856060604</v>
      </c>
      <c r="AK70" s="70">
        <f t="shared" si="20"/>
        <v>3990.5746386363626</v>
      </c>
      <c r="AL70" s="155">
        <f t="shared" si="21"/>
        <v>0.22945945945945942</v>
      </c>
      <c r="AM70" s="155">
        <f t="shared" si="22"/>
        <v>0.29799929799929797</v>
      </c>
    </row>
    <row r="71" spans="2:39" ht="15.75" hidden="1" customHeight="1" x14ac:dyDescent="0.25">
      <c r="B71" s="174" t="s">
        <v>297</v>
      </c>
      <c r="C71" s="171" t="s">
        <v>109</v>
      </c>
      <c r="D71" s="103">
        <v>168</v>
      </c>
      <c r="E71" s="104" t="s">
        <v>76</v>
      </c>
      <c r="F71" s="92">
        <v>0</v>
      </c>
      <c r="G71" s="219">
        <f>IF(F71&gt;0,F71,
IF(B71&lt;&gt;"",
IF(C71="CLT",VLOOKUP(B71,'Lista Profissionais'!$C$11:$H$348,3,0),
VLOOKUP(B71,'Lista Profissionais'!$C$11:$H$348,6,0)), 0))</f>
        <v>7520</v>
      </c>
      <c r="H71" s="219">
        <f>IF(B71&lt;&gt;"",
IF(C71="CLT",
       22*$M$5 + (G71*'Lista Profissionais'!$G$9),0),0)</f>
        <v>2604</v>
      </c>
      <c r="I71" s="66">
        <f t="shared" si="0"/>
        <v>7178.181818181818</v>
      </c>
      <c r="J71" s="66">
        <f t="shared" si="1"/>
        <v>16472.669696969697</v>
      </c>
      <c r="K71" s="66">
        <f t="shared" si="2"/>
        <v>23481.790653030304</v>
      </c>
      <c r="L71" s="93">
        <f t="shared" si="23"/>
        <v>98.051605339105336</v>
      </c>
      <c r="M71" s="151"/>
      <c r="N71" s="152">
        <v>0</v>
      </c>
      <c r="O71" s="69">
        <f t="shared" si="3"/>
        <v>0</v>
      </c>
      <c r="P71" s="69">
        <f t="shared" si="4"/>
        <v>30474.438939393942</v>
      </c>
      <c r="Q71" s="70">
        <f t="shared" si="5"/>
        <v>30474.438939393942</v>
      </c>
      <c r="R71" s="153">
        <f t="shared" si="24"/>
        <v>0</v>
      </c>
      <c r="S71" s="70">
        <v>0</v>
      </c>
      <c r="T71" s="165">
        <f t="shared" si="6"/>
        <v>30474.438939393942</v>
      </c>
      <c r="U71" s="163">
        <f t="shared" si="7"/>
        <v>181.39546987734488</v>
      </c>
      <c r="V71" s="164">
        <f t="shared" si="25"/>
        <v>574.25454545454545</v>
      </c>
      <c r="W71" s="164">
        <f t="shared" si="8"/>
        <v>229.7018181818182</v>
      </c>
      <c r="X71" s="144">
        <f t="shared" si="9"/>
        <v>598.18181818181813</v>
      </c>
      <c r="Y71" s="150">
        <f t="shared" si="10"/>
        <v>199.39393939393938</v>
      </c>
      <c r="Z71" s="150">
        <f t="shared" si="11"/>
        <v>598.18181818181813</v>
      </c>
      <c r="AA71" s="150">
        <f t="shared" si="12"/>
        <v>1974.0000000000002</v>
      </c>
      <c r="AB71" s="182">
        <f t="shared" si="13"/>
        <v>111.66060606060604</v>
      </c>
      <c r="AC71" s="182">
        <f t="shared" si="14"/>
        <v>383.83333333333331</v>
      </c>
      <c r="AD71" s="182">
        <f t="shared" si="15"/>
        <v>717.81818181818187</v>
      </c>
      <c r="AE71" s="180">
        <f t="shared" si="16"/>
        <v>57.425454545454549</v>
      </c>
      <c r="AF71" s="150">
        <f t="shared" si="17"/>
        <v>646.0363636363636</v>
      </c>
      <c r="AG71" s="150"/>
      <c r="AH71" s="150">
        <f t="shared" si="18"/>
        <v>600</v>
      </c>
      <c r="AI71" s="150">
        <f t="shared" si="26"/>
        <v>9294.4878787878788</v>
      </c>
      <c r="AJ71" s="154">
        <f t="shared" si="19"/>
        <v>7009.1209560606067</v>
      </c>
      <c r="AK71" s="70">
        <f t="shared" si="20"/>
        <v>6992.6482863636375</v>
      </c>
      <c r="AL71" s="155">
        <f t="shared" si="21"/>
        <v>0.22945945945945947</v>
      </c>
      <c r="AM71" s="155">
        <f t="shared" si="22"/>
        <v>0.29799929799929803</v>
      </c>
    </row>
    <row r="72" spans="2:39" ht="15.75" customHeight="1" x14ac:dyDescent="0.25">
      <c r="B72" s="174" t="s">
        <v>298</v>
      </c>
      <c r="C72" s="171" t="s">
        <v>73</v>
      </c>
      <c r="D72" s="103">
        <v>176</v>
      </c>
      <c r="E72" s="104" t="s">
        <v>76</v>
      </c>
      <c r="F72" s="92">
        <v>17500</v>
      </c>
      <c r="G72" s="219">
        <f>IF(F72&gt;0,F72,
IF(B72&lt;&gt;"",
IF(C72="CLT",VLOOKUP(B72,'Lista Profissionais'!$C$11:$H$348,3,0),
VLOOKUP(B72,'Lista Profissionais'!$C$11:$H$348,6,0)), 0))</f>
        <v>17500</v>
      </c>
      <c r="H72" s="219">
        <f>IF(B72&lt;&gt;"",
IF(C72="CLT",
       22*$M$5 + (G72*'Lista Profissionais'!$G$9),0),0)</f>
        <v>0</v>
      </c>
      <c r="I72" s="66">
        <f t="shared" si="0"/>
        <v>17500</v>
      </c>
      <c r="J72" s="66">
        <f t="shared" si="1"/>
        <v>17500</v>
      </c>
      <c r="K72" s="66">
        <f t="shared" si="2"/>
        <v>25044</v>
      </c>
      <c r="L72" s="93">
        <f t="shared" si="23"/>
        <v>99.431818181818187</v>
      </c>
      <c r="M72" s="151">
        <v>32800</v>
      </c>
      <c r="N72" s="152">
        <v>0</v>
      </c>
      <c r="O72" s="69">
        <f t="shared" si="3"/>
        <v>0</v>
      </c>
      <c r="P72" s="69">
        <f t="shared" si="4"/>
        <v>32800</v>
      </c>
      <c r="Q72" s="70">
        <f t="shared" si="5"/>
        <v>32800</v>
      </c>
      <c r="R72" s="153">
        <f t="shared" si="24"/>
        <v>0</v>
      </c>
      <c r="S72" s="70">
        <v>0</v>
      </c>
      <c r="T72" s="165">
        <f t="shared" si="6"/>
        <v>32800</v>
      </c>
      <c r="U72" s="163">
        <f t="shared" si="7"/>
        <v>186.36363636363637</v>
      </c>
      <c r="V72" s="164">
        <f t="shared" si="25"/>
        <v>0</v>
      </c>
      <c r="W72" s="164">
        <f t="shared" si="8"/>
        <v>0</v>
      </c>
      <c r="X72" s="144">
        <f t="shared" si="9"/>
        <v>0</v>
      </c>
      <c r="Y72" s="150">
        <f t="shared" si="10"/>
        <v>0</v>
      </c>
      <c r="Z72" s="150">
        <f t="shared" si="11"/>
        <v>0</v>
      </c>
      <c r="AA72" s="150">
        <f t="shared" si="12"/>
        <v>0</v>
      </c>
      <c r="AB72" s="182">
        <f t="shared" si="13"/>
        <v>0</v>
      </c>
      <c r="AC72" s="182">
        <f t="shared" si="14"/>
        <v>0</v>
      </c>
      <c r="AD72" s="182">
        <f t="shared" si="15"/>
        <v>0</v>
      </c>
      <c r="AE72" s="180">
        <f t="shared" si="16"/>
        <v>0</v>
      </c>
      <c r="AF72" s="150">
        <f t="shared" si="17"/>
        <v>0</v>
      </c>
      <c r="AG72" s="150"/>
      <c r="AH72" s="150">
        <f t="shared" si="18"/>
        <v>0</v>
      </c>
      <c r="AI72" s="150">
        <f t="shared" si="26"/>
        <v>0</v>
      </c>
      <c r="AJ72" s="154">
        <f t="shared" si="19"/>
        <v>7544</v>
      </c>
      <c r="AK72" s="70">
        <f t="shared" si="20"/>
        <v>7756</v>
      </c>
      <c r="AL72" s="155">
        <f t="shared" si="21"/>
        <v>0.23646341463414633</v>
      </c>
      <c r="AM72" s="155">
        <f t="shared" si="22"/>
        <v>0.30709534368070951</v>
      </c>
    </row>
    <row r="73" spans="2:39" ht="15.75" hidden="1" customHeight="1" x14ac:dyDescent="0.25">
      <c r="B73" s="174" t="s">
        <v>299</v>
      </c>
      <c r="C73" s="171" t="s">
        <v>109</v>
      </c>
      <c r="D73" s="103">
        <v>168</v>
      </c>
      <c r="E73" s="104" t="s">
        <v>76</v>
      </c>
      <c r="F73" s="92">
        <v>0</v>
      </c>
      <c r="G73" s="219">
        <f>IF(F73&gt;0,F73,
IF(B73&lt;&gt;"",
IF(C73="CLT",VLOOKUP(B73,'Lista Profissionais'!$C$11:$H$348,3,0),
VLOOKUP(B73,'Lista Profissionais'!$C$11:$H$348,6,0)), 0))</f>
        <v>10880</v>
      </c>
      <c r="H73" s="219">
        <f>IF(B73&lt;&gt;"",
IF(C73="CLT",
       22*$M$5 + (G73*'Lista Profissionais'!$G$9),0),0)</f>
        <v>3276</v>
      </c>
      <c r="I73" s="66">
        <f t="shared" ref="I73:I128" si="27">(G73/$G$2)*D73</f>
        <v>10385.454545454546</v>
      </c>
      <c r="J73" s="66">
        <f t="shared" ref="J73:J128" si="28">I73+AI73</f>
        <v>23073.224242424243</v>
      </c>
      <c r="K73" s="66">
        <f t="shared" ref="K73:K128" si="29">J73+S73+AJ73</f>
        <v>32890.881157575757</v>
      </c>
      <c r="L73" s="93">
        <f t="shared" si="23"/>
        <v>137.34062049062049</v>
      </c>
      <c r="M73" s="151"/>
      <c r="N73" s="152">
        <v>0</v>
      </c>
      <c r="O73" s="69">
        <f t="shared" ref="O73:O128" si="30">J73*$G$6</f>
        <v>0</v>
      </c>
      <c r="P73" s="69">
        <f t="shared" ref="P73:P128" si="31">IF(M73&gt;0,M73,  J73*(1+$G$5))</f>
        <v>42685.464848484851</v>
      </c>
      <c r="Q73" s="70">
        <f t="shared" ref="Q73:Q128" si="32">(P73+O73)</f>
        <v>42685.464848484851</v>
      </c>
      <c r="R73" s="153">
        <f t="shared" si="24"/>
        <v>0</v>
      </c>
      <c r="S73" s="70">
        <v>0</v>
      </c>
      <c r="T73" s="165">
        <f t="shared" ref="T73:T128" si="33">IF($D$4="Sim",(IF(E73="Não",0,(Q73+(Q73*$O$4)+R73+S73)*$D$5)+Q73),
IF(E73="Não",0,Q73+(Q73*$O$4)+R73+S73
))</f>
        <v>42685.464848484851</v>
      </c>
      <c r="U73" s="163">
        <f t="shared" ref="U73:U128" si="34">IF(D73&gt;0,T73/D73,0)</f>
        <v>254.08014790764793</v>
      </c>
      <c r="V73" s="164">
        <f t="shared" si="25"/>
        <v>830.83636363636367</v>
      </c>
      <c r="W73" s="164">
        <f t="shared" ref="W73:W128" si="35">IF(C73="CLT",
       V73*$M$3, 0)</f>
        <v>332.33454545454549</v>
      </c>
      <c r="X73" s="144">
        <f t="shared" ref="X73:X128" si="36">IF(C73="CLT",
       I73/12, 0)</f>
        <v>865.4545454545455</v>
      </c>
      <c r="Y73" s="150">
        <f t="shared" ref="Y73:Y128" si="37">IF(C73="CLT",
       X73/3, 0)</f>
        <v>288.4848484848485</v>
      </c>
      <c r="Z73" s="150">
        <f t="shared" ref="Z73:Z128" si="38">IF(C73="CLT",
       I73/12, 0)</f>
        <v>865.4545454545455</v>
      </c>
      <c r="AA73" s="150">
        <f t="shared" ref="AA73:AA128" si="39">IF(C73="CLT", I73*$S$2,0)</f>
        <v>2856.0000000000005</v>
      </c>
      <c r="AB73" s="182">
        <f t="shared" ref="AB73:AB128" si="40">IF(C73="CLT", SUM(X73:Z73) * $M$2,0)</f>
        <v>161.55151515151516</v>
      </c>
      <c r="AC73" s="182">
        <f t="shared" ref="AC73:AC128" si="41">IF(C73="CLT", SUM(X73:Z73)*$S$2,0)</f>
        <v>555.33333333333337</v>
      </c>
      <c r="AD73" s="182">
        <f t="shared" ref="AD73:AD128" si="42">IF(C73="CLT",
       I73/30*3, 0)</f>
        <v>1038.5454545454545</v>
      </c>
      <c r="AE73" s="180">
        <f t="shared" ref="AE73:AE128" si="43">IF(C73="CLT",  AD73*$M$2, 0)</f>
        <v>83.083636363636359</v>
      </c>
      <c r="AF73" s="150">
        <f t="shared" ref="AF73:AF128" si="44">IF(C73="CLT",
       I73*$M$4, 0)</f>
        <v>934.69090909090914</v>
      </c>
      <c r="AG73" s="150"/>
      <c r="AH73" s="150">
        <f t="shared" ref="AH73:AH128" si="45">IF(B73&lt;&gt;"",
IF(C73="CLT",
       $Q$2, 0),0)</f>
        <v>600</v>
      </c>
      <c r="AI73" s="150">
        <f t="shared" si="26"/>
        <v>12687.769696969697</v>
      </c>
      <c r="AJ73" s="154">
        <f t="shared" ref="AJ73:AJ128" si="46">IF(E73="Sim", T73*$G$4, 0)</f>
        <v>9817.6569151515159</v>
      </c>
      <c r="AK73" s="70">
        <f t="shared" ref="AK73:AK128" si="47">T73-AJ73-J73-R73</f>
        <v>9794.583690909094</v>
      </c>
      <c r="AL73" s="155">
        <f t="shared" ref="AL73:AL128" si="48">(IF(AK73&gt;0,AK73/T73,0))</f>
        <v>0.22945945945945953</v>
      </c>
      <c r="AM73" s="155">
        <f t="shared" ref="AM73:AM128" si="49">(IF(AK73&gt;0,AK73/(T73-AJ73),0))</f>
        <v>0.29799929799929809</v>
      </c>
    </row>
    <row r="74" spans="2:39" ht="15.75" hidden="1" customHeight="1" x14ac:dyDescent="0.25">
      <c r="B74" s="174" t="s">
        <v>300</v>
      </c>
      <c r="C74" s="171" t="s">
        <v>109</v>
      </c>
      <c r="D74" s="103">
        <v>168</v>
      </c>
      <c r="E74" s="104" t="s">
        <v>76</v>
      </c>
      <c r="F74" s="92">
        <v>0</v>
      </c>
      <c r="G74" s="219">
        <f>IF(F74&gt;0,F74,
IF(B74&lt;&gt;"",
IF(C74="CLT",VLOOKUP(B74,'Lista Profissionais'!$C$11:$H$348,3,0),
VLOOKUP(B74,'Lista Profissionais'!$C$11:$H$348,6,0)), 0))</f>
        <v>3920</v>
      </c>
      <c r="H74" s="219">
        <f>IF(B74&lt;&gt;"",
IF(C74="CLT",
       22*$M$5 + (G74*'Lista Profissionais'!$G$9),0),0)</f>
        <v>1884</v>
      </c>
      <c r="I74" s="66">
        <f t="shared" si="27"/>
        <v>3741.818181818182</v>
      </c>
      <c r="J74" s="66">
        <f t="shared" si="28"/>
        <v>9400.6469696969689</v>
      </c>
      <c r="K74" s="66">
        <f t="shared" si="29"/>
        <v>13400.622255303029</v>
      </c>
      <c r="L74" s="93">
        <f t="shared" ref="L74:L128" si="50">IF(D74&gt;0,J74/D74,0)</f>
        <v>55.956231962481958</v>
      </c>
      <c r="M74" s="151"/>
      <c r="N74" s="152">
        <v>0</v>
      </c>
      <c r="O74" s="69">
        <f t="shared" si="30"/>
        <v>0</v>
      </c>
      <c r="P74" s="69">
        <f t="shared" si="31"/>
        <v>17391.196893939392</v>
      </c>
      <c r="Q74" s="70">
        <f t="shared" si="32"/>
        <v>17391.196893939392</v>
      </c>
      <c r="R74" s="153">
        <f t="shared" ref="R74:R128" si="51">IF(E74="Sim", Q74*$G$3,0)</f>
        <v>0</v>
      </c>
      <c r="S74" s="70">
        <v>0</v>
      </c>
      <c r="T74" s="165">
        <f t="shared" si="33"/>
        <v>17391.196893939392</v>
      </c>
      <c r="U74" s="163">
        <f t="shared" si="34"/>
        <v>103.51902913059162</v>
      </c>
      <c r="V74" s="164">
        <f t="shared" ref="V74:V128" si="52">IF(C74="CLT",
       I74*$M$2, 0)</f>
        <v>299.34545454545457</v>
      </c>
      <c r="W74" s="164">
        <f t="shared" si="35"/>
        <v>119.73818181818183</v>
      </c>
      <c r="X74" s="144">
        <f t="shared" si="36"/>
        <v>311.81818181818181</v>
      </c>
      <c r="Y74" s="150">
        <f t="shared" si="37"/>
        <v>103.93939393939394</v>
      </c>
      <c r="Z74" s="150">
        <f t="shared" si="38"/>
        <v>311.81818181818181</v>
      </c>
      <c r="AA74" s="150">
        <f t="shared" si="39"/>
        <v>1029.0000000000002</v>
      </c>
      <c r="AB74" s="182">
        <f t="shared" si="40"/>
        <v>58.206060606060603</v>
      </c>
      <c r="AC74" s="182">
        <f t="shared" si="41"/>
        <v>200.08333333333334</v>
      </c>
      <c r="AD74" s="182">
        <f t="shared" si="42"/>
        <v>374.18181818181819</v>
      </c>
      <c r="AE74" s="180">
        <f t="shared" si="43"/>
        <v>29.934545454545457</v>
      </c>
      <c r="AF74" s="150">
        <f t="shared" si="44"/>
        <v>336.76363636363635</v>
      </c>
      <c r="AG74" s="150"/>
      <c r="AH74" s="150">
        <f t="shared" si="45"/>
        <v>600</v>
      </c>
      <c r="AI74" s="150">
        <f t="shared" si="26"/>
        <v>5658.8287878787878</v>
      </c>
      <c r="AJ74" s="154">
        <f t="shared" si="46"/>
        <v>3999.9752856060604</v>
      </c>
      <c r="AK74" s="70">
        <f t="shared" si="47"/>
        <v>3990.5746386363626</v>
      </c>
      <c r="AL74" s="155">
        <f t="shared" si="48"/>
        <v>0.22945945945945942</v>
      </c>
      <c r="AM74" s="155">
        <f t="shared" si="49"/>
        <v>0.29799929799929797</v>
      </c>
    </row>
    <row r="75" spans="2:39" ht="15.75" hidden="1" customHeight="1" x14ac:dyDescent="0.25">
      <c r="B75" s="174" t="s">
        <v>301</v>
      </c>
      <c r="C75" s="171" t="s">
        <v>109</v>
      </c>
      <c r="D75" s="103">
        <v>168</v>
      </c>
      <c r="E75" s="104" t="s">
        <v>76</v>
      </c>
      <c r="F75" s="92">
        <v>0</v>
      </c>
      <c r="G75" s="219">
        <f>IF(F75&gt;0,F75,
IF(B75&lt;&gt;"",
IF(C75="CLT",VLOOKUP(B75,'Lista Profissionais'!$C$11:$H$348,3,0),
VLOOKUP(B75,'Lista Profissionais'!$C$11:$H$348,6,0)), 0))</f>
        <v>7520</v>
      </c>
      <c r="H75" s="219">
        <f>IF(B75&lt;&gt;"",
IF(C75="CLT",
       22*$M$5 + (G75*'Lista Profissionais'!$G$9),0),0)</f>
        <v>2604</v>
      </c>
      <c r="I75" s="66">
        <f t="shared" si="27"/>
        <v>7178.181818181818</v>
      </c>
      <c r="J75" s="66">
        <f t="shared" si="28"/>
        <v>16472.669696969697</v>
      </c>
      <c r="K75" s="66">
        <f t="shared" si="29"/>
        <v>23481.790653030304</v>
      </c>
      <c r="L75" s="93">
        <f t="shared" si="50"/>
        <v>98.051605339105336</v>
      </c>
      <c r="M75" s="151"/>
      <c r="N75" s="152">
        <v>0</v>
      </c>
      <c r="O75" s="69">
        <f t="shared" si="30"/>
        <v>0</v>
      </c>
      <c r="P75" s="69">
        <f t="shared" si="31"/>
        <v>30474.438939393942</v>
      </c>
      <c r="Q75" s="70">
        <f t="shared" si="32"/>
        <v>30474.438939393942</v>
      </c>
      <c r="R75" s="153">
        <f t="shared" si="51"/>
        <v>0</v>
      </c>
      <c r="S75" s="70">
        <v>0</v>
      </c>
      <c r="T75" s="165">
        <f t="shared" si="33"/>
        <v>30474.438939393942</v>
      </c>
      <c r="U75" s="163">
        <f t="shared" si="34"/>
        <v>181.39546987734488</v>
      </c>
      <c r="V75" s="164">
        <f t="shared" si="52"/>
        <v>574.25454545454545</v>
      </c>
      <c r="W75" s="164">
        <f t="shared" si="35"/>
        <v>229.7018181818182</v>
      </c>
      <c r="X75" s="144">
        <f t="shared" si="36"/>
        <v>598.18181818181813</v>
      </c>
      <c r="Y75" s="150">
        <f t="shared" si="37"/>
        <v>199.39393939393938</v>
      </c>
      <c r="Z75" s="150">
        <f t="shared" si="38"/>
        <v>598.18181818181813</v>
      </c>
      <c r="AA75" s="150">
        <f t="shared" si="39"/>
        <v>1974.0000000000002</v>
      </c>
      <c r="AB75" s="182">
        <f t="shared" si="40"/>
        <v>111.66060606060604</v>
      </c>
      <c r="AC75" s="182">
        <f t="shared" si="41"/>
        <v>383.83333333333331</v>
      </c>
      <c r="AD75" s="182">
        <f t="shared" si="42"/>
        <v>717.81818181818187</v>
      </c>
      <c r="AE75" s="180">
        <f t="shared" si="43"/>
        <v>57.425454545454549</v>
      </c>
      <c r="AF75" s="150">
        <f t="shared" si="44"/>
        <v>646.0363636363636</v>
      </c>
      <c r="AG75" s="150"/>
      <c r="AH75" s="150">
        <f t="shared" si="45"/>
        <v>600</v>
      </c>
      <c r="AI75" s="150">
        <f t="shared" si="26"/>
        <v>9294.4878787878788</v>
      </c>
      <c r="AJ75" s="154">
        <f t="shared" si="46"/>
        <v>7009.1209560606067</v>
      </c>
      <c r="AK75" s="70">
        <f t="shared" si="47"/>
        <v>6992.6482863636375</v>
      </c>
      <c r="AL75" s="155">
        <f t="shared" si="48"/>
        <v>0.22945945945945947</v>
      </c>
      <c r="AM75" s="155">
        <f t="shared" si="49"/>
        <v>0.29799929799929803</v>
      </c>
    </row>
    <row r="76" spans="2:39" ht="15.75" hidden="1" customHeight="1" x14ac:dyDescent="0.25">
      <c r="B76" s="174" t="s">
        <v>302</v>
      </c>
      <c r="C76" s="171" t="s">
        <v>109</v>
      </c>
      <c r="D76" s="103">
        <v>168</v>
      </c>
      <c r="E76" s="104" t="s">
        <v>76</v>
      </c>
      <c r="F76" s="92">
        <v>0</v>
      </c>
      <c r="G76" s="219">
        <f>IF(F76&gt;0,F76,
IF(B76&lt;&gt;"",
IF(C76="CLT",VLOOKUP(B76,'Lista Profissionais'!$C$11:$H$348,3,0),
VLOOKUP(B76,'Lista Profissionais'!$C$11:$H$348,6,0)), 0))</f>
        <v>9200</v>
      </c>
      <c r="H76" s="219">
        <f>IF(B76&lt;&gt;"",
IF(C76="CLT",
       22*$M$5 + (G76*'Lista Profissionais'!$G$9),0),0)</f>
        <v>2940</v>
      </c>
      <c r="I76" s="66">
        <f t="shared" si="27"/>
        <v>8781.818181818182</v>
      </c>
      <c r="J76" s="66">
        <f t="shared" si="28"/>
        <v>19772.946969696968</v>
      </c>
      <c r="K76" s="66">
        <f t="shared" si="29"/>
        <v>28186.335905303029</v>
      </c>
      <c r="L76" s="93">
        <f t="shared" si="50"/>
        <v>117.69611291486291</v>
      </c>
      <c r="M76" s="151"/>
      <c r="N76" s="152">
        <v>0</v>
      </c>
      <c r="O76" s="69">
        <f t="shared" si="30"/>
        <v>0</v>
      </c>
      <c r="P76" s="69">
        <f t="shared" si="31"/>
        <v>36579.951893939389</v>
      </c>
      <c r="Q76" s="70">
        <f t="shared" si="32"/>
        <v>36579.951893939389</v>
      </c>
      <c r="R76" s="153">
        <f t="shared" si="51"/>
        <v>0</v>
      </c>
      <c r="S76" s="70">
        <v>0</v>
      </c>
      <c r="T76" s="165">
        <f t="shared" si="33"/>
        <v>36579.951893939389</v>
      </c>
      <c r="U76" s="163">
        <f t="shared" si="34"/>
        <v>217.73780889249636</v>
      </c>
      <c r="V76" s="164">
        <f t="shared" si="52"/>
        <v>702.54545454545462</v>
      </c>
      <c r="W76" s="164">
        <f t="shared" si="35"/>
        <v>281.01818181818186</v>
      </c>
      <c r="X76" s="144">
        <f t="shared" si="36"/>
        <v>731.81818181818187</v>
      </c>
      <c r="Y76" s="150">
        <f t="shared" si="37"/>
        <v>243.93939393939397</v>
      </c>
      <c r="Z76" s="150">
        <f t="shared" si="38"/>
        <v>731.81818181818187</v>
      </c>
      <c r="AA76" s="150">
        <f t="shared" si="39"/>
        <v>2415.0000000000005</v>
      </c>
      <c r="AB76" s="182">
        <f t="shared" si="40"/>
        <v>136.60606060606062</v>
      </c>
      <c r="AC76" s="182">
        <f t="shared" si="41"/>
        <v>469.58333333333343</v>
      </c>
      <c r="AD76" s="182">
        <f t="shared" si="42"/>
        <v>878.18181818181824</v>
      </c>
      <c r="AE76" s="180">
        <f t="shared" si="43"/>
        <v>70.254545454545465</v>
      </c>
      <c r="AF76" s="150">
        <f t="shared" si="44"/>
        <v>790.36363636363637</v>
      </c>
      <c r="AG76" s="150"/>
      <c r="AH76" s="150">
        <f t="shared" si="45"/>
        <v>600</v>
      </c>
      <c r="AI76" s="150">
        <f t="shared" si="26"/>
        <v>10991.128787878788</v>
      </c>
      <c r="AJ76" s="154">
        <f t="shared" si="46"/>
        <v>8413.388935606059</v>
      </c>
      <c r="AK76" s="70">
        <f t="shared" si="47"/>
        <v>8393.6159886363603</v>
      </c>
      <c r="AL76" s="155">
        <f t="shared" si="48"/>
        <v>0.22945945945945939</v>
      </c>
      <c r="AM76" s="155">
        <f t="shared" si="49"/>
        <v>0.29799929799929792</v>
      </c>
    </row>
    <row r="77" spans="2:39" ht="15.75" hidden="1" customHeight="1" x14ac:dyDescent="0.25">
      <c r="B77" s="174" t="s">
        <v>303</v>
      </c>
      <c r="C77" s="171" t="s">
        <v>109</v>
      </c>
      <c r="D77" s="103">
        <v>168</v>
      </c>
      <c r="E77" s="104" t="s">
        <v>76</v>
      </c>
      <c r="F77" s="92">
        <v>0</v>
      </c>
      <c r="G77" s="219">
        <f>IF(F77&gt;0,F77,
IF(B77&lt;&gt;"",
IF(C77="CLT",VLOOKUP(B77,'Lista Profissionais'!$C$11:$H$348,3,0),
VLOOKUP(B77,'Lista Profissionais'!$C$11:$H$348,6,0)), 0))</f>
        <v>8800</v>
      </c>
      <c r="H77" s="219">
        <f>IF(B77&lt;&gt;"",
IF(C77="CLT",
       22*$M$5 + (G77*'Lista Profissionais'!$G$9),0),0)</f>
        <v>2860</v>
      </c>
      <c r="I77" s="66">
        <f t="shared" si="27"/>
        <v>8400</v>
      </c>
      <c r="J77" s="66">
        <f t="shared" si="28"/>
        <v>18987.166666666668</v>
      </c>
      <c r="K77" s="66">
        <f t="shared" si="29"/>
        <v>27066.206083333338</v>
      </c>
      <c r="L77" s="93">
        <f t="shared" si="50"/>
        <v>113.01884920634922</v>
      </c>
      <c r="M77" s="151"/>
      <c r="N77" s="152">
        <v>0</v>
      </c>
      <c r="O77" s="69">
        <f t="shared" si="30"/>
        <v>0</v>
      </c>
      <c r="P77" s="69">
        <f t="shared" si="31"/>
        <v>35126.258333333339</v>
      </c>
      <c r="Q77" s="70">
        <f t="shared" si="32"/>
        <v>35126.258333333339</v>
      </c>
      <c r="R77" s="153">
        <f t="shared" si="51"/>
        <v>0</v>
      </c>
      <c r="S77" s="70">
        <v>0</v>
      </c>
      <c r="T77" s="165">
        <f t="shared" si="33"/>
        <v>35126.258333333339</v>
      </c>
      <c r="U77" s="163">
        <f t="shared" si="34"/>
        <v>209.08487103174608</v>
      </c>
      <c r="V77" s="164">
        <f t="shared" si="52"/>
        <v>672</v>
      </c>
      <c r="W77" s="164">
        <f t="shared" si="35"/>
        <v>268.8</v>
      </c>
      <c r="X77" s="144">
        <f t="shared" si="36"/>
        <v>700</v>
      </c>
      <c r="Y77" s="150">
        <f t="shared" si="37"/>
        <v>233.33333333333334</v>
      </c>
      <c r="Z77" s="150">
        <f t="shared" si="38"/>
        <v>700</v>
      </c>
      <c r="AA77" s="150">
        <f t="shared" si="39"/>
        <v>2310</v>
      </c>
      <c r="AB77" s="182">
        <f t="shared" si="40"/>
        <v>130.66666666666669</v>
      </c>
      <c r="AC77" s="182">
        <f t="shared" si="41"/>
        <v>449.16666666666674</v>
      </c>
      <c r="AD77" s="182">
        <f t="shared" si="42"/>
        <v>840</v>
      </c>
      <c r="AE77" s="180">
        <f t="shared" si="43"/>
        <v>67.2</v>
      </c>
      <c r="AF77" s="150">
        <f t="shared" si="44"/>
        <v>756</v>
      </c>
      <c r="AG77" s="150"/>
      <c r="AH77" s="150">
        <f t="shared" si="45"/>
        <v>600</v>
      </c>
      <c r="AI77" s="150">
        <f t="shared" si="26"/>
        <v>10587.166666666668</v>
      </c>
      <c r="AJ77" s="154">
        <f t="shared" si="46"/>
        <v>8079.0394166666683</v>
      </c>
      <c r="AK77" s="70">
        <f t="shared" si="47"/>
        <v>8060.0522500000043</v>
      </c>
      <c r="AL77" s="155">
        <f t="shared" si="48"/>
        <v>0.22945945945945956</v>
      </c>
      <c r="AM77" s="155">
        <f t="shared" si="49"/>
        <v>0.29799929799929809</v>
      </c>
    </row>
    <row r="78" spans="2:39" ht="15.75" hidden="1" customHeight="1" x14ac:dyDescent="0.25">
      <c r="B78" s="174" t="s">
        <v>304</v>
      </c>
      <c r="C78" s="171" t="s">
        <v>109</v>
      </c>
      <c r="D78" s="103">
        <v>168</v>
      </c>
      <c r="E78" s="104" t="s">
        <v>76</v>
      </c>
      <c r="F78" s="92">
        <v>0</v>
      </c>
      <c r="G78" s="219">
        <f>IF(F78&gt;0,F78,
IF(B78&lt;&gt;"",
IF(C78="CLT",VLOOKUP(B78,'Lista Profissionais'!$C$11:$H$348,3,0),
VLOOKUP(B78,'Lista Profissionais'!$C$11:$H$348,6,0)), 0))</f>
        <v>3600</v>
      </c>
      <c r="H78" s="219">
        <f>IF(B78&lt;&gt;"",
IF(C78="CLT",
       22*$M$5 + (G78*'Lista Profissionais'!$G$9),0),0)</f>
        <v>1820</v>
      </c>
      <c r="I78" s="66">
        <f t="shared" si="27"/>
        <v>3436.363636363636</v>
      </c>
      <c r="J78" s="66">
        <f t="shared" si="28"/>
        <v>8772.0227272727261</v>
      </c>
      <c r="K78" s="66">
        <f t="shared" si="29"/>
        <v>12504.518397727272</v>
      </c>
      <c r="L78" s="93">
        <f t="shared" si="50"/>
        <v>52.214420995670991</v>
      </c>
      <c r="M78" s="151"/>
      <c r="N78" s="152">
        <v>0</v>
      </c>
      <c r="O78" s="69">
        <f t="shared" si="30"/>
        <v>0</v>
      </c>
      <c r="P78" s="69">
        <f t="shared" si="31"/>
        <v>16228.242045454544</v>
      </c>
      <c r="Q78" s="70">
        <f t="shared" si="32"/>
        <v>16228.242045454544</v>
      </c>
      <c r="R78" s="153">
        <f t="shared" si="51"/>
        <v>0</v>
      </c>
      <c r="S78" s="70">
        <v>0</v>
      </c>
      <c r="T78" s="165">
        <f t="shared" si="33"/>
        <v>16228.242045454544</v>
      </c>
      <c r="U78" s="163">
        <f t="shared" si="34"/>
        <v>96.596678841991334</v>
      </c>
      <c r="V78" s="164">
        <f t="shared" si="52"/>
        <v>274.90909090909088</v>
      </c>
      <c r="W78" s="164">
        <f t="shared" si="35"/>
        <v>109.96363636363635</v>
      </c>
      <c r="X78" s="144">
        <f t="shared" si="36"/>
        <v>286.36363636363632</v>
      </c>
      <c r="Y78" s="150">
        <f t="shared" si="37"/>
        <v>95.454545454545439</v>
      </c>
      <c r="Z78" s="150">
        <f t="shared" si="38"/>
        <v>286.36363636363632</v>
      </c>
      <c r="AA78" s="150">
        <f t="shared" si="39"/>
        <v>945</v>
      </c>
      <c r="AB78" s="182">
        <f t="shared" si="40"/>
        <v>53.454545454545439</v>
      </c>
      <c r="AC78" s="182">
        <f t="shared" si="41"/>
        <v>183.74999999999997</v>
      </c>
      <c r="AD78" s="182">
        <f t="shared" si="42"/>
        <v>343.63636363636363</v>
      </c>
      <c r="AE78" s="180">
        <f t="shared" si="43"/>
        <v>27.490909090909092</v>
      </c>
      <c r="AF78" s="150">
        <f t="shared" si="44"/>
        <v>309.27272727272725</v>
      </c>
      <c r="AG78" s="150"/>
      <c r="AH78" s="150">
        <f t="shared" si="45"/>
        <v>600</v>
      </c>
      <c r="AI78" s="150">
        <f t="shared" si="26"/>
        <v>5335.6590909090901</v>
      </c>
      <c r="AJ78" s="154">
        <f t="shared" si="46"/>
        <v>3732.4956704545452</v>
      </c>
      <c r="AK78" s="70">
        <f t="shared" si="47"/>
        <v>3723.7236477272727</v>
      </c>
      <c r="AL78" s="155">
        <f t="shared" si="48"/>
        <v>0.22945945945945947</v>
      </c>
      <c r="AM78" s="155">
        <f t="shared" si="49"/>
        <v>0.29799929799929803</v>
      </c>
    </row>
    <row r="79" spans="2:39" ht="15.75" hidden="1" customHeight="1" x14ac:dyDescent="0.25">
      <c r="B79" s="174" t="s">
        <v>305</v>
      </c>
      <c r="C79" s="171" t="s">
        <v>109</v>
      </c>
      <c r="D79" s="103">
        <v>168</v>
      </c>
      <c r="E79" s="104" t="s">
        <v>76</v>
      </c>
      <c r="F79" s="92">
        <v>0</v>
      </c>
      <c r="G79" s="219">
        <f>IF(F79&gt;0,F79,
IF(B79&lt;&gt;"",
IF(C79="CLT",VLOOKUP(B79,'Lista Profissionais'!$C$11:$H$348,3,0),
VLOOKUP(B79,'Lista Profissionais'!$C$11:$H$348,6,0)), 0))</f>
        <v>5600</v>
      </c>
      <c r="H79" s="219">
        <f>IF(B79&lt;&gt;"",
IF(C79="CLT",
       22*$M$5 + (G79*'Lista Profissionais'!$G$9),0),0)</f>
        <v>2220</v>
      </c>
      <c r="I79" s="66">
        <f t="shared" si="27"/>
        <v>5345.454545454545</v>
      </c>
      <c r="J79" s="66">
        <f t="shared" si="28"/>
        <v>12700.924242424242</v>
      </c>
      <c r="K79" s="66">
        <f t="shared" si="29"/>
        <v>18105.167507575759</v>
      </c>
      <c r="L79" s="93">
        <f t="shared" si="50"/>
        <v>75.600739538239537</v>
      </c>
      <c r="M79" s="151"/>
      <c r="N79" s="152">
        <v>0</v>
      </c>
      <c r="O79" s="69">
        <f t="shared" si="30"/>
        <v>0</v>
      </c>
      <c r="P79" s="69">
        <f t="shared" si="31"/>
        <v>23496.70984848485</v>
      </c>
      <c r="Q79" s="70">
        <f t="shared" si="32"/>
        <v>23496.70984848485</v>
      </c>
      <c r="R79" s="153">
        <f t="shared" si="51"/>
        <v>0</v>
      </c>
      <c r="S79" s="70">
        <v>0</v>
      </c>
      <c r="T79" s="165">
        <f t="shared" si="33"/>
        <v>23496.70984848485</v>
      </c>
      <c r="U79" s="163">
        <f t="shared" si="34"/>
        <v>139.86136814574314</v>
      </c>
      <c r="V79" s="164">
        <f t="shared" si="52"/>
        <v>427.63636363636363</v>
      </c>
      <c r="W79" s="164">
        <f t="shared" si="35"/>
        <v>171.05454545454546</v>
      </c>
      <c r="X79" s="144">
        <f t="shared" si="36"/>
        <v>445.45454545454544</v>
      </c>
      <c r="Y79" s="150">
        <f t="shared" si="37"/>
        <v>148.48484848484847</v>
      </c>
      <c r="Z79" s="150">
        <f t="shared" si="38"/>
        <v>445.45454545454544</v>
      </c>
      <c r="AA79" s="150">
        <f t="shared" si="39"/>
        <v>1470</v>
      </c>
      <c r="AB79" s="182">
        <f t="shared" si="40"/>
        <v>83.151515151515142</v>
      </c>
      <c r="AC79" s="182">
        <f t="shared" si="41"/>
        <v>285.83333333333331</v>
      </c>
      <c r="AD79" s="182">
        <f t="shared" si="42"/>
        <v>534.5454545454545</v>
      </c>
      <c r="AE79" s="180">
        <f t="shared" si="43"/>
        <v>42.763636363636358</v>
      </c>
      <c r="AF79" s="150">
        <f t="shared" si="44"/>
        <v>481.09090909090901</v>
      </c>
      <c r="AG79" s="150"/>
      <c r="AH79" s="150">
        <f t="shared" si="45"/>
        <v>600</v>
      </c>
      <c r="AI79" s="150">
        <f t="shared" si="26"/>
        <v>7355.469696969697</v>
      </c>
      <c r="AJ79" s="154">
        <f t="shared" si="46"/>
        <v>5404.2432651515155</v>
      </c>
      <c r="AK79" s="70">
        <f t="shared" si="47"/>
        <v>5391.5423409090927</v>
      </c>
      <c r="AL79" s="155">
        <f t="shared" si="48"/>
        <v>0.22945945945945953</v>
      </c>
      <c r="AM79" s="155">
        <f t="shared" si="49"/>
        <v>0.29799929799929809</v>
      </c>
    </row>
    <row r="80" spans="2:39" ht="15.75" hidden="1" customHeight="1" x14ac:dyDescent="0.25">
      <c r="B80" s="174" t="s">
        <v>306</v>
      </c>
      <c r="C80" s="171" t="s">
        <v>109</v>
      </c>
      <c r="D80" s="103">
        <v>168</v>
      </c>
      <c r="E80" s="104" t="s">
        <v>76</v>
      </c>
      <c r="F80" s="92">
        <v>0</v>
      </c>
      <c r="G80" s="219">
        <f>IF(F80&gt;0,F80,
IF(B80&lt;&gt;"",
IF(C80="CLT",VLOOKUP(B80,'Lista Profissionais'!$C$11:$H$348,3,0),
VLOOKUP(B80,'Lista Profissionais'!$C$11:$H$348,6,0)), 0))</f>
        <v>7200</v>
      </c>
      <c r="H80" s="219">
        <f>IF(B80&lt;&gt;"",
IF(C80="CLT",
       22*$M$5 + (G80*'Lista Profissionais'!$G$9),0),0)</f>
        <v>2540</v>
      </c>
      <c r="I80" s="66">
        <f t="shared" si="27"/>
        <v>6872.7272727272721</v>
      </c>
      <c r="J80" s="66">
        <f t="shared" si="28"/>
        <v>15844.045454545452</v>
      </c>
      <c r="K80" s="66">
        <f t="shared" si="29"/>
        <v>22585.686795454545</v>
      </c>
      <c r="L80" s="93">
        <f t="shared" si="50"/>
        <v>94.309794372294363</v>
      </c>
      <c r="M80" s="151"/>
      <c r="N80" s="152">
        <v>0</v>
      </c>
      <c r="O80" s="69">
        <f t="shared" si="30"/>
        <v>0</v>
      </c>
      <c r="P80" s="69">
        <f t="shared" si="31"/>
        <v>29311.484090909089</v>
      </c>
      <c r="Q80" s="70">
        <f t="shared" si="32"/>
        <v>29311.484090909089</v>
      </c>
      <c r="R80" s="153">
        <f t="shared" si="51"/>
        <v>0</v>
      </c>
      <c r="S80" s="70">
        <v>0</v>
      </c>
      <c r="T80" s="165">
        <f t="shared" si="33"/>
        <v>29311.484090909089</v>
      </c>
      <c r="U80" s="163">
        <f t="shared" si="34"/>
        <v>174.47311958874457</v>
      </c>
      <c r="V80" s="164">
        <f t="shared" si="52"/>
        <v>549.81818181818176</v>
      </c>
      <c r="W80" s="164">
        <f t="shared" si="35"/>
        <v>219.92727272727271</v>
      </c>
      <c r="X80" s="144">
        <f t="shared" si="36"/>
        <v>572.72727272727263</v>
      </c>
      <c r="Y80" s="150">
        <f t="shared" si="37"/>
        <v>190.90909090909088</v>
      </c>
      <c r="Z80" s="150">
        <f t="shared" si="38"/>
        <v>572.72727272727263</v>
      </c>
      <c r="AA80" s="150">
        <f t="shared" si="39"/>
        <v>1890</v>
      </c>
      <c r="AB80" s="182">
        <f t="shared" si="40"/>
        <v>106.90909090909088</v>
      </c>
      <c r="AC80" s="182">
        <f t="shared" si="41"/>
        <v>367.49999999999994</v>
      </c>
      <c r="AD80" s="182">
        <f t="shared" si="42"/>
        <v>687.27272727272725</v>
      </c>
      <c r="AE80" s="180">
        <f t="shared" si="43"/>
        <v>54.981818181818184</v>
      </c>
      <c r="AF80" s="150">
        <f t="shared" si="44"/>
        <v>618.5454545454545</v>
      </c>
      <c r="AG80" s="150"/>
      <c r="AH80" s="150">
        <f t="shared" si="45"/>
        <v>600</v>
      </c>
      <c r="AI80" s="150">
        <f t="shared" si="26"/>
        <v>8971.3181818181802</v>
      </c>
      <c r="AJ80" s="154">
        <f t="shared" si="46"/>
        <v>6741.641340909091</v>
      </c>
      <c r="AK80" s="70">
        <f t="shared" si="47"/>
        <v>6725.7972954545439</v>
      </c>
      <c r="AL80" s="155">
        <f t="shared" si="48"/>
        <v>0.22945945945945942</v>
      </c>
      <c r="AM80" s="155">
        <f t="shared" si="49"/>
        <v>0.29799929799929797</v>
      </c>
    </row>
    <row r="81" spans="2:39" ht="15.75" hidden="1" customHeight="1" x14ac:dyDescent="0.25">
      <c r="B81" s="174" t="s">
        <v>307</v>
      </c>
      <c r="C81" s="171" t="s">
        <v>109</v>
      </c>
      <c r="D81" s="103">
        <v>168</v>
      </c>
      <c r="E81" s="104" t="s">
        <v>76</v>
      </c>
      <c r="F81" s="92">
        <v>0</v>
      </c>
      <c r="G81" s="219">
        <f>IF(F81&gt;0,F81,
IF(B81&lt;&gt;"",
IF(C81="CLT",VLOOKUP(B81,'Lista Profissionais'!$C$11:$H$348,3,0),
VLOOKUP(B81,'Lista Profissionais'!$C$11:$H$348,6,0)), 0))</f>
        <v>9600</v>
      </c>
      <c r="H81" s="219">
        <f>IF(B81&lt;&gt;"",
IF(C81="CLT",
       22*$M$5 + (G81*'Lista Profissionais'!$G$9),0),0)</f>
        <v>3020</v>
      </c>
      <c r="I81" s="66">
        <f t="shared" si="27"/>
        <v>9163.636363636364</v>
      </c>
      <c r="J81" s="66">
        <f t="shared" si="28"/>
        <v>20558.727272727272</v>
      </c>
      <c r="K81" s="66">
        <f t="shared" si="29"/>
        <v>29306.465727272727</v>
      </c>
      <c r="L81" s="93">
        <f t="shared" si="50"/>
        <v>122.37337662337661</v>
      </c>
      <c r="M81" s="151"/>
      <c r="N81" s="152">
        <v>0</v>
      </c>
      <c r="O81" s="69">
        <f t="shared" si="30"/>
        <v>0</v>
      </c>
      <c r="P81" s="69">
        <f t="shared" si="31"/>
        <v>38033.645454545454</v>
      </c>
      <c r="Q81" s="70">
        <f t="shared" si="32"/>
        <v>38033.645454545454</v>
      </c>
      <c r="R81" s="153">
        <f t="shared" si="51"/>
        <v>0</v>
      </c>
      <c r="S81" s="70">
        <v>0</v>
      </c>
      <c r="T81" s="165">
        <f t="shared" si="33"/>
        <v>38033.645454545454</v>
      </c>
      <c r="U81" s="163">
        <f t="shared" si="34"/>
        <v>226.39074675324676</v>
      </c>
      <c r="V81" s="164">
        <f t="shared" si="52"/>
        <v>733.09090909090912</v>
      </c>
      <c r="W81" s="164">
        <f t="shared" si="35"/>
        <v>293.23636363636365</v>
      </c>
      <c r="X81" s="144">
        <f t="shared" si="36"/>
        <v>763.63636363636363</v>
      </c>
      <c r="Y81" s="150">
        <f t="shared" si="37"/>
        <v>254.54545454545453</v>
      </c>
      <c r="Z81" s="150">
        <f t="shared" si="38"/>
        <v>763.63636363636363</v>
      </c>
      <c r="AA81" s="150">
        <f t="shared" si="39"/>
        <v>2520.0000000000005</v>
      </c>
      <c r="AB81" s="182">
        <f t="shared" si="40"/>
        <v>142.54545454545453</v>
      </c>
      <c r="AC81" s="182">
        <f t="shared" si="41"/>
        <v>490</v>
      </c>
      <c r="AD81" s="182">
        <f t="shared" si="42"/>
        <v>916.36363636363626</v>
      </c>
      <c r="AE81" s="180">
        <f t="shared" si="43"/>
        <v>73.309090909090898</v>
      </c>
      <c r="AF81" s="150">
        <f t="shared" si="44"/>
        <v>824.72727272727275</v>
      </c>
      <c r="AG81" s="150"/>
      <c r="AH81" s="150">
        <f t="shared" si="45"/>
        <v>600</v>
      </c>
      <c r="AI81" s="150">
        <f t="shared" si="26"/>
        <v>11395.090909090908</v>
      </c>
      <c r="AJ81" s="154">
        <f t="shared" si="46"/>
        <v>8747.7384545454552</v>
      </c>
      <c r="AK81" s="70">
        <f t="shared" si="47"/>
        <v>8727.1797272727272</v>
      </c>
      <c r="AL81" s="155">
        <f t="shared" si="48"/>
        <v>0.22945945945945945</v>
      </c>
      <c r="AM81" s="155">
        <f t="shared" si="49"/>
        <v>0.29799929799929803</v>
      </c>
    </row>
    <row r="82" spans="2:39" ht="15.75" hidden="1" customHeight="1" x14ac:dyDescent="0.25">
      <c r="B82" s="174" t="s">
        <v>308</v>
      </c>
      <c r="C82" s="171" t="s">
        <v>109</v>
      </c>
      <c r="D82" s="103">
        <v>168</v>
      </c>
      <c r="E82" s="104" t="s">
        <v>76</v>
      </c>
      <c r="F82" s="92">
        <v>0</v>
      </c>
      <c r="G82" s="219">
        <f>IF(F82&gt;0,F82,
IF(B82&lt;&gt;"",
IF(C82="CLT",VLOOKUP(B82,'Lista Profissionais'!$C$11:$H$348,3,0),
VLOOKUP(B82,'Lista Profissionais'!$C$11:$H$348,6,0)), 0))</f>
        <v>3920</v>
      </c>
      <c r="H82" s="219">
        <f>IF(B82&lt;&gt;"",
IF(C82="CLT",
       22*$M$5 + (G82*'Lista Profissionais'!$G$9),0),0)</f>
        <v>1884</v>
      </c>
      <c r="I82" s="66">
        <f t="shared" si="27"/>
        <v>3741.818181818182</v>
      </c>
      <c r="J82" s="66">
        <f t="shared" si="28"/>
        <v>9400.6469696969689</v>
      </c>
      <c r="K82" s="66">
        <f t="shared" si="29"/>
        <v>13400.622255303029</v>
      </c>
      <c r="L82" s="93">
        <f t="shared" si="50"/>
        <v>55.956231962481958</v>
      </c>
      <c r="M82" s="151"/>
      <c r="N82" s="152">
        <v>0</v>
      </c>
      <c r="O82" s="69">
        <f t="shared" si="30"/>
        <v>0</v>
      </c>
      <c r="P82" s="69">
        <f t="shared" si="31"/>
        <v>17391.196893939392</v>
      </c>
      <c r="Q82" s="70">
        <f t="shared" si="32"/>
        <v>17391.196893939392</v>
      </c>
      <c r="R82" s="153">
        <f t="shared" si="51"/>
        <v>0</v>
      </c>
      <c r="S82" s="70">
        <v>0</v>
      </c>
      <c r="T82" s="165">
        <f t="shared" si="33"/>
        <v>17391.196893939392</v>
      </c>
      <c r="U82" s="163">
        <f t="shared" si="34"/>
        <v>103.51902913059162</v>
      </c>
      <c r="V82" s="164">
        <f t="shared" si="52"/>
        <v>299.34545454545457</v>
      </c>
      <c r="W82" s="164">
        <f t="shared" si="35"/>
        <v>119.73818181818183</v>
      </c>
      <c r="X82" s="144">
        <f t="shared" si="36"/>
        <v>311.81818181818181</v>
      </c>
      <c r="Y82" s="150">
        <f t="shared" si="37"/>
        <v>103.93939393939394</v>
      </c>
      <c r="Z82" s="150">
        <f t="shared" si="38"/>
        <v>311.81818181818181</v>
      </c>
      <c r="AA82" s="150">
        <f t="shared" si="39"/>
        <v>1029.0000000000002</v>
      </c>
      <c r="AB82" s="182">
        <f t="shared" si="40"/>
        <v>58.206060606060603</v>
      </c>
      <c r="AC82" s="182">
        <f t="shared" si="41"/>
        <v>200.08333333333334</v>
      </c>
      <c r="AD82" s="182">
        <f t="shared" si="42"/>
        <v>374.18181818181819</v>
      </c>
      <c r="AE82" s="180">
        <f t="shared" si="43"/>
        <v>29.934545454545457</v>
      </c>
      <c r="AF82" s="150">
        <f t="shared" si="44"/>
        <v>336.76363636363635</v>
      </c>
      <c r="AG82" s="150"/>
      <c r="AH82" s="150">
        <f t="shared" si="45"/>
        <v>600</v>
      </c>
      <c r="AI82" s="150">
        <f t="shared" ref="AI82:AI128" si="53">SUM(V82:AH82)+H82</f>
        <v>5658.8287878787878</v>
      </c>
      <c r="AJ82" s="154">
        <f t="shared" si="46"/>
        <v>3999.9752856060604</v>
      </c>
      <c r="AK82" s="70">
        <f t="shared" si="47"/>
        <v>3990.5746386363626</v>
      </c>
      <c r="AL82" s="155">
        <f t="shared" si="48"/>
        <v>0.22945945945945942</v>
      </c>
      <c r="AM82" s="155">
        <f t="shared" si="49"/>
        <v>0.29799929799929797</v>
      </c>
    </row>
    <row r="83" spans="2:39" ht="15.75" hidden="1" customHeight="1" x14ac:dyDescent="0.25">
      <c r="B83" s="174" t="s">
        <v>309</v>
      </c>
      <c r="C83" s="171" t="s">
        <v>109</v>
      </c>
      <c r="D83" s="103">
        <v>168</v>
      </c>
      <c r="E83" s="104" t="s">
        <v>76</v>
      </c>
      <c r="F83" s="92">
        <v>0</v>
      </c>
      <c r="G83" s="219">
        <f>IF(F83&gt;0,F83,
IF(B83&lt;&gt;"",
IF(C83="CLT",VLOOKUP(B83,'Lista Profissionais'!$C$11:$H$348,3,0),
VLOOKUP(B83,'Lista Profissionais'!$C$11:$H$348,6,0)), 0))</f>
        <v>7200</v>
      </c>
      <c r="H83" s="219">
        <f>IF(B83&lt;&gt;"",
IF(C83="CLT",
       22*$M$5 + (G83*'Lista Profissionais'!$G$9),0),0)</f>
        <v>2540</v>
      </c>
      <c r="I83" s="66">
        <f t="shared" si="27"/>
        <v>6872.7272727272721</v>
      </c>
      <c r="J83" s="66">
        <f t="shared" si="28"/>
        <v>15844.045454545452</v>
      </c>
      <c r="K83" s="66">
        <f t="shared" si="29"/>
        <v>22585.686795454545</v>
      </c>
      <c r="L83" s="93">
        <f t="shared" si="50"/>
        <v>94.309794372294363</v>
      </c>
      <c r="M83" s="151"/>
      <c r="N83" s="152">
        <v>0</v>
      </c>
      <c r="O83" s="69">
        <f t="shared" si="30"/>
        <v>0</v>
      </c>
      <c r="P83" s="69">
        <f t="shared" si="31"/>
        <v>29311.484090909089</v>
      </c>
      <c r="Q83" s="70">
        <f t="shared" si="32"/>
        <v>29311.484090909089</v>
      </c>
      <c r="R83" s="153">
        <f t="shared" si="51"/>
        <v>0</v>
      </c>
      <c r="S83" s="70">
        <v>0</v>
      </c>
      <c r="T83" s="165">
        <f t="shared" si="33"/>
        <v>29311.484090909089</v>
      </c>
      <c r="U83" s="163">
        <f t="shared" si="34"/>
        <v>174.47311958874457</v>
      </c>
      <c r="V83" s="164">
        <f t="shared" si="52"/>
        <v>549.81818181818176</v>
      </c>
      <c r="W83" s="164">
        <f t="shared" si="35"/>
        <v>219.92727272727271</v>
      </c>
      <c r="X83" s="144">
        <f t="shared" si="36"/>
        <v>572.72727272727263</v>
      </c>
      <c r="Y83" s="150">
        <f t="shared" si="37"/>
        <v>190.90909090909088</v>
      </c>
      <c r="Z83" s="150">
        <f t="shared" si="38"/>
        <v>572.72727272727263</v>
      </c>
      <c r="AA83" s="150">
        <f t="shared" si="39"/>
        <v>1890</v>
      </c>
      <c r="AB83" s="182">
        <f t="shared" si="40"/>
        <v>106.90909090909088</v>
      </c>
      <c r="AC83" s="182">
        <f t="shared" si="41"/>
        <v>367.49999999999994</v>
      </c>
      <c r="AD83" s="182">
        <f t="shared" si="42"/>
        <v>687.27272727272725</v>
      </c>
      <c r="AE83" s="180">
        <f t="shared" si="43"/>
        <v>54.981818181818184</v>
      </c>
      <c r="AF83" s="150">
        <f t="shared" si="44"/>
        <v>618.5454545454545</v>
      </c>
      <c r="AG83" s="150"/>
      <c r="AH83" s="150">
        <f t="shared" si="45"/>
        <v>600</v>
      </c>
      <c r="AI83" s="150">
        <f t="shared" si="53"/>
        <v>8971.3181818181802</v>
      </c>
      <c r="AJ83" s="154">
        <f t="shared" si="46"/>
        <v>6741.641340909091</v>
      </c>
      <c r="AK83" s="70">
        <f t="shared" si="47"/>
        <v>6725.7972954545439</v>
      </c>
      <c r="AL83" s="155">
        <f t="shared" si="48"/>
        <v>0.22945945945945942</v>
      </c>
      <c r="AM83" s="155">
        <f t="shared" si="49"/>
        <v>0.29799929799929797</v>
      </c>
    </row>
    <row r="84" spans="2:39" ht="15.75" hidden="1" customHeight="1" x14ac:dyDescent="0.25">
      <c r="B84" s="174" t="s">
        <v>310</v>
      </c>
      <c r="C84" s="171" t="s">
        <v>109</v>
      </c>
      <c r="D84" s="103">
        <v>168</v>
      </c>
      <c r="E84" s="104" t="s">
        <v>76</v>
      </c>
      <c r="F84" s="92">
        <v>0</v>
      </c>
      <c r="G84" s="219">
        <f>IF(F84&gt;0,F84,
IF(B84&lt;&gt;"",
IF(C84="CLT",VLOOKUP(B84,'Lista Profissionais'!$C$11:$H$348,3,0),
VLOOKUP(B84,'Lista Profissionais'!$C$11:$H$348,6,0)), 0))</f>
        <v>8800</v>
      </c>
      <c r="H84" s="219">
        <f>IF(B84&lt;&gt;"",
IF(C84="CLT",
       22*$M$5 + (G84*'Lista Profissionais'!$G$9),0),0)</f>
        <v>2860</v>
      </c>
      <c r="I84" s="66">
        <f t="shared" si="27"/>
        <v>8400</v>
      </c>
      <c r="J84" s="66">
        <f t="shared" si="28"/>
        <v>18987.166666666668</v>
      </c>
      <c r="K84" s="66">
        <f t="shared" si="29"/>
        <v>27066.206083333338</v>
      </c>
      <c r="L84" s="93">
        <f t="shared" si="50"/>
        <v>113.01884920634922</v>
      </c>
      <c r="M84" s="151"/>
      <c r="N84" s="152">
        <v>0</v>
      </c>
      <c r="O84" s="69">
        <f t="shared" si="30"/>
        <v>0</v>
      </c>
      <c r="P84" s="69">
        <f t="shared" si="31"/>
        <v>35126.258333333339</v>
      </c>
      <c r="Q84" s="70">
        <f t="shared" si="32"/>
        <v>35126.258333333339</v>
      </c>
      <c r="R84" s="153">
        <f t="shared" si="51"/>
        <v>0</v>
      </c>
      <c r="S84" s="70">
        <v>0</v>
      </c>
      <c r="T84" s="165">
        <f t="shared" si="33"/>
        <v>35126.258333333339</v>
      </c>
      <c r="U84" s="163">
        <f t="shared" si="34"/>
        <v>209.08487103174608</v>
      </c>
      <c r="V84" s="164">
        <f t="shared" si="52"/>
        <v>672</v>
      </c>
      <c r="W84" s="164">
        <f t="shared" si="35"/>
        <v>268.8</v>
      </c>
      <c r="X84" s="144">
        <f t="shared" si="36"/>
        <v>700</v>
      </c>
      <c r="Y84" s="150">
        <f t="shared" si="37"/>
        <v>233.33333333333334</v>
      </c>
      <c r="Z84" s="150">
        <f t="shared" si="38"/>
        <v>700</v>
      </c>
      <c r="AA84" s="150">
        <f t="shared" si="39"/>
        <v>2310</v>
      </c>
      <c r="AB84" s="182">
        <f t="shared" si="40"/>
        <v>130.66666666666669</v>
      </c>
      <c r="AC84" s="182">
        <f t="shared" si="41"/>
        <v>449.16666666666674</v>
      </c>
      <c r="AD84" s="182">
        <f t="shared" si="42"/>
        <v>840</v>
      </c>
      <c r="AE84" s="180">
        <f t="shared" si="43"/>
        <v>67.2</v>
      </c>
      <c r="AF84" s="150">
        <f t="shared" si="44"/>
        <v>756</v>
      </c>
      <c r="AG84" s="150"/>
      <c r="AH84" s="150">
        <f t="shared" si="45"/>
        <v>600</v>
      </c>
      <c r="AI84" s="150">
        <f t="shared" si="53"/>
        <v>10587.166666666668</v>
      </c>
      <c r="AJ84" s="154">
        <f t="shared" si="46"/>
        <v>8079.0394166666683</v>
      </c>
      <c r="AK84" s="70">
        <f t="shared" si="47"/>
        <v>8060.0522500000043</v>
      </c>
      <c r="AL84" s="155">
        <f t="shared" si="48"/>
        <v>0.22945945945945956</v>
      </c>
      <c r="AM84" s="155">
        <f t="shared" si="49"/>
        <v>0.29799929799929809</v>
      </c>
    </row>
    <row r="85" spans="2:39" ht="15.75" hidden="1" customHeight="1" x14ac:dyDescent="0.25">
      <c r="B85" s="174" t="s">
        <v>352</v>
      </c>
      <c r="C85" s="171" t="s">
        <v>109</v>
      </c>
      <c r="D85" s="103">
        <v>168</v>
      </c>
      <c r="E85" s="104" t="s">
        <v>76</v>
      </c>
      <c r="F85" s="92">
        <v>0</v>
      </c>
      <c r="G85" s="219">
        <f>IF(F85&gt;0,F85,
IF(B85&lt;&gt;"",
IF(C85="CLT",VLOOKUP(B85,'Lista Profissionais'!$C$11:$H$348,3,0),
VLOOKUP(B85,'Lista Profissionais'!$C$11:$H$348,6,0)), 0))</f>
        <v>11200</v>
      </c>
      <c r="H85" s="219">
        <f>IF(B85&lt;&gt;"",
IF(C85="CLT",
       22*$M$5 + (G85*'Lista Profissionais'!$G$9),0),0)</f>
        <v>3340</v>
      </c>
      <c r="I85" s="66">
        <f t="shared" si="27"/>
        <v>10690.90909090909</v>
      </c>
      <c r="J85" s="66">
        <f t="shared" si="28"/>
        <v>23701.848484848484</v>
      </c>
      <c r="K85" s="66">
        <f t="shared" si="29"/>
        <v>33786.985015151513</v>
      </c>
      <c r="L85" s="93">
        <f t="shared" si="50"/>
        <v>141.08243145743145</v>
      </c>
      <c r="M85" s="151"/>
      <c r="N85" s="152">
        <v>0</v>
      </c>
      <c r="O85" s="69">
        <f t="shared" si="30"/>
        <v>0</v>
      </c>
      <c r="P85" s="69">
        <f t="shared" si="31"/>
        <v>43848.4196969697</v>
      </c>
      <c r="Q85" s="70">
        <f t="shared" si="32"/>
        <v>43848.4196969697</v>
      </c>
      <c r="R85" s="153">
        <f t="shared" si="51"/>
        <v>0</v>
      </c>
      <c r="S85" s="70">
        <v>0</v>
      </c>
      <c r="T85" s="165">
        <f t="shared" si="33"/>
        <v>43848.4196969697</v>
      </c>
      <c r="U85" s="163">
        <f t="shared" si="34"/>
        <v>261.00249819624821</v>
      </c>
      <c r="V85" s="164">
        <f t="shared" si="52"/>
        <v>855.27272727272725</v>
      </c>
      <c r="W85" s="164">
        <f t="shared" si="35"/>
        <v>342.10909090909092</v>
      </c>
      <c r="X85" s="144">
        <f t="shared" si="36"/>
        <v>890.90909090909088</v>
      </c>
      <c r="Y85" s="150">
        <f t="shared" si="37"/>
        <v>296.96969696969694</v>
      </c>
      <c r="Z85" s="150">
        <f t="shared" si="38"/>
        <v>890.90909090909088</v>
      </c>
      <c r="AA85" s="150">
        <f t="shared" si="39"/>
        <v>2940</v>
      </c>
      <c r="AB85" s="182">
        <f t="shared" si="40"/>
        <v>166.30303030303028</v>
      </c>
      <c r="AC85" s="182">
        <f t="shared" si="41"/>
        <v>571.66666666666663</v>
      </c>
      <c r="AD85" s="182">
        <f t="shared" si="42"/>
        <v>1069.090909090909</v>
      </c>
      <c r="AE85" s="180">
        <f t="shared" si="43"/>
        <v>85.527272727272717</v>
      </c>
      <c r="AF85" s="150">
        <f t="shared" si="44"/>
        <v>962.18181818181802</v>
      </c>
      <c r="AG85" s="150"/>
      <c r="AH85" s="150">
        <f t="shared" si="45"/>
        <v>600</v>
      </c>
      <c r="AI85" s="150">
        <f t="shared" si="53"/>
        <v>13010.939393939394</v>
      </c>
      <c r="AJ85" s="154">
        <f t="shared" si="46"/>
        <v>10085.136530303031</v>
      </c>
      <c r="AK85" s="70">
        <f t="shared" si="47"/>
        <v>10061.434681818184</v>
      </c>
      <c r="AL85" s="155">
        <f t="shared" si="48"/>
        <v>0.22945945945945947</v>
      </c>
      <c r="AM85" s="155">
        <f t="shared" si="49"/>
        <v>0.29799929799929803</v>
      </c>
    </row>
    <row r="86" spans="2:39" ht="15.75" hidden="1" customHeight="1" x14ac:dyDescent="0.25">
      <c r="B86" s="174" t="s">
        <v>353</v>
      </c>
      <c r="C86" s="171" t="s">
        <v>109</v>
      </c>
      <c r="D86" s="103">
        <v>168</v>
      </c>
      <c r="E86" s="104" t="s">
        <v>76</v>
      </c>
      <c r="F86" s="92">
        <v>0</v>
      </c>
      <c r="G86" s="219">
        <f>IF(F86&gt;0,F86,
IF(B86&lt;&gt;"",
IF(C86="CLT",VLOOKUP(B86,'Lista Profissionais'!$C$11:$H$348,3,0),
VLOOKUP(B86,'Lista Profissionais'!$C$11:$H$348,6,0)), 0))</f>
        <v>4000</v>
      </c>
      <c r="H86" s="219">
        <f>IF(B86&lt;&gt;"",
IF(C86="CLT",
       22*$M$5 + (G86*'Lista Profissionais'!$G$9),0),0)</f>
        <v>1900</v>
      </c>
      <c r="I86" s="66">
        <f t="shared" si="27"/>
        <v>3818.181818181818</v>
      </c>
      <c r="J86" s="66">
        <f t="shared" si="28"/>
        <v>9557.80303030303</v>
      </c>
      <c r="K86" s="66">
        <f t="shared" si="29"/>
        <v>13624.64821969697</v>
      </c>
      <c r="L86" s="93">
        <f t="shared" si="50"/>
        <v>56.891684704184705</v>
      </c>
      <c r="M86" s="151"/>
      <c r="N86" s="152">
        <v>0</v>
      </c>
      <c r="O86" s="69">
        <f t="shared" si="30"/>
        <v>0</v>
      </c>
      <c r="P86" s="69">
        <f t="shared" si="31"/>
        <v>17681.935606060608</v>
      </c>
      <c r="Q86" s="70">
        <f t="shared" si="32"/>
        <v>17681.935606060608</v>
      </c>
      <c r="R86" s="153">
        <f t="shared" si="51"/>
        <v>0</v>
      </c>
      <c r="S86" s="70">
        <v>0</v>
      </c>
      <c r="T86" s="165">
        <f t="shared" si="33"/>
        <v>17681.935606060608</v>
      </c>
      <c r="U86" s="163">
        <f t="shared" si="34"/>
        <v>105.24961670274172</v>
      </c>
      <c r="V86" s="164">
        <f t="shared" si="52"/>
        <v>305.45454545454544</v>
      </c>
      <c r="W86" s="164">
        <f t="shared" si="35"/>
        <v>122.18181818181819</v>
      </c>
      <c r="X86" s="144">
        <f t="shared" si="36"/>
        <v>318.18181818181819</v>
      </c>
      <c r="Y86" s="150">
        <f t="shared" si="37"/>
        <v>106.06060606060606</v>
      </c>
      <c r="Z86" s="150">
        <f t="shared" si="38"/>
        <v>318.18181818181819</v>
      </c>
      <c r="AA86" s="150">
        <f t="shared" si="39"/>
        <v>1050</v>
      </c>
      <c r="AB86" s="182">
        <f t="shared" si="40"/>
        <v>59.393939393939398</v>
      </c>
      <c r="AC86" s="182">
        <f t="shared" si="41"/>
        <v>204.16666666666671</v>
      </c>
      <c r="AD86" s="182">
        <f t="shared" si="42"/>
        <v>381.81818181818181</v>
      </c>
      <c r="AE86" s="180">
        <f t="shared" si="43"/>
        <v>30.545454545454547</v>
      </c>
      <c r="AF86" s="150">
        <f t="shared" si="44"/>
        <v>343.63636363636363</v>
      </c>
      <c r="AG86" s="150"/>
      <c r="AH86" s="150">
        <f t="shared" si="45"/>
        <v>600</v>
      </c>
      <c r="AI86" s="150">
        <f t="shared" si="53"/>
        <v>5739.621212121212</v>
      </c>
      <c r="AJ86" s="154">
        <f t="shared" si="46"/>
        <v>4066.84518939394</v>
      </c>
      <c r="AK86" s="70">
        <f t="shared" si="47"/>
        <v>4057.2873863636378</v>
      </c>
      <c r="AL86" s="155">
        <f t="shared" si="48"/>
        <v>0.22945945945945953</v>
      </c>
      <c r="AM86" s="155">
        <f t="shared" si="49"/>
        <v>0.29799929799929809</v>
      </c>
    </row>
    <row r="87" spans="2:39" ht="15.75" hidden="1" customHeight="1" x14ac:dyDescent="0.25">
      <c r="B87" s="174" t="s">
        <v>354</v>
      </c>
      <c r="C87" s="171" t="s">
        <v>109</v>
      </c>
      <c r="D87" s="103">
        <v>168</v>
      </c>
      <c r="E87" s="104" t="s">
        <v>76</v>
      </c>
      <c r="F87" s="92">
        <v>0</v>
      </c>
      <c r="G87" s="219">
        <f>IF(F87&gt;0,F87,
IF(B87&lt;&gt;"",
IF(C87="CLT",VLOOKUP(B87,'Lista Profissionais'!$C$11:$H$348,3,0),
VLOOKUP(B87,'Lista Profissionais'!$C$11:$H$348,6,0)), 0))</f>
        <v>6400</v>
      </c>
      <c r="H87" s="219">
        <f>IF(B87&lt;&gt;"",
IF(C87="CLT",
       22*$M$5 + (G87*'Lista Profissionais'!$G$9),0),0)</f>
        <v>2380</v>
      </c>
      <c r="I87" s="66">
        <f t="shared" si="27"/>
        <v>6109.0909090909099</v>
      </c>
      <c r="J87" s="66">
        <f t="shared" si="28"/>
        <v>14272.484848484852</v>
      </c>
      <c r="K87" s="66">
        <f t="shared" si="29"/>
        <v>20345.427151515156</v>
      </c>
      <c r="L87" s="93">
        <f t="shared" si="50"/>
        <v>84.955266955266978</v>
      </c>
      <c r="M87" s="151"/>
      <c r="N87" s="152">
        <v>0</v>
      </c>
      <c r="O87" s="69">
        <f t="shared" si="30"/>
        <v>0</v>
      </c>
      <c r="P87" s="69">
        <f t="shared" si="31"/>
        <v>26404.096969696977</v>
      </c>
      <c r="Q87" s="70">
        <f t="shared" si="32"/>
        <v>26404.096969696977</v>
      </c>
      <c r="R87" s="153">
        <f t="shared" si="51"/>
        <v>0</v>
      </c>
      <c r="S87" s="70">
        <v>0</v>
      </c>
      <c r="T87" s="165">
        <f t="shared" si="33"/>
        <v>26404.096969696977</v>
      </c>
      <c r="U87" s="163">
        <f t="shared" si="34"/>
        <v>157.16724386724391</v>
      </c>
      <c r="V87" s="164">
        <f t="shared" si="52"/>
        <v>488.7272727272728</v>
      </c>
      <c r="W87" s="164">
        <f t="shared" si="35"/>
        <v>195.49090909090913</v>
      </c>
      <c r="X87" s="144">
        <f t="shared" si="36"/>
        <v>509.09090909090918</v>
      </c>
      <c r="Y87" s="150">
        <f t="shared" si="37"/>
        <v>169.69696969696972</v>
      </c>
      <c r="Z87" s="150">
        <f t="shared" si="38"/>
        <v>509.09090909090918</v>
      </c>
      <c r="AA87" s="150">
        <f t="shared" si="39"/>
        <v>1680.0000000000005</v>
      </c>
      <c r="AB87" s="182">
        <f t="shared" si="40"/>
        <v>95.030303030303045</v>
      </c>
      <c r="AC87" s="182">
        <f t="shared" si="41"/>
        <v>326.66666666666674</v>
      </c>
      <c r="AD87" s="182">
        <f t="shared" si="42"/>
        <v>610.90909090909099</v>
      </c>
      <c r="AE87" s="180">
        <f t="shared" si="43"/>
        <v>48.872727272727282</v>
      </c>
      <c r="AF87" s="150">
        <f t="shared" si="44"/>
        <v>549.81818181818187</v>
      </c>
      <c r="AG87" s="150"/>
      <c r="AH87" s="150">
        <f t="shared" si="45"/>
        <v>600</v>
      </c>
      <c r="AI87" s="150">
        <f t="shared" si="53"/>
        <v>8163.3939393939409</v>
      </c>
      <c r="AJ87" s="154">
        <f t="shared" si="46"/>
        <v>6072.9423030303051</v>
      </c>
      <c r="AK87" s="70">
        <f t="shared" si="47"/>
        <v>6058.669818181821</v>
      </c>
      <c r="AL87" s="155">
        <f t="shared" si="48"/>
        <v>0.2294594594594595</v>
      </c>
      <c r="AM87" s="155">
        <f t="shared" si="49"/>
        <v>0.29799929799929803</v>
      </c>
    </row>
    <row r="88" spans="2:39" ht="15.75" hidden="1" customHeight="1" x14ac:dyDescent="0.25">
      <c r="B88" s="174" t="s">
        <v>355</v>
      </c>
      <c r="C88" s="171" t="s">
        <v>109</v>
      </c>
      <c r="D88" s="103">
        <v>168</v>
      </c>
      <c r="E88" s="104" t="s">
        <v>76</v>
      </c>
      <c r="F88" s="92">
        <v>0</v>
      </c>
      <c r="G88" s="219">
        <f>IF(F88&gt;0,F88,
IF(B88&lt;&gt;"",
IF(C88="CLT",VLOOKUP(B88,'Lista Profissionais'!$C$11:$H$348,3,0),
VLOOKUP(B88,'Lista Profissionais'!$C$11:$H$348,6,0)), 0))</f>
        <v>8800</v>
      </c>
      <c r="H88" s="219">
        <f>IF(B88&lt;&gt;"",
IF(C88="CLT",
       22*$M$5 + (G88*'Lista Profissionais'!$G$9),0),0)</f>
        <v>2860</v>
      </c>
      <c r="I88" s="66">
        <f t="shared" si="27"/>
        <v>8400</v>
      </c>
      <c r="J88" s="66">
        <f t="shared" si="28"/>
        <v>18987.166666666668</v>
      </c>
      <c r="K88" s="66">
        <f t="shared" si="29"/>
        <v>27066.206083333338</v>
      </c>
      <c r="L88" s="93">
        <f t="shared" si="50"/>
        <v>113.01884920634922</v>
      </c>
      <c r="M88" s="151"/>
      <c r="N88" s="152">
        <v>0</v>
      </c>
      <c r="O88" s="69">
        <f t="shared" si="30"/>
        <v>0</v>
      </c>
      <c r="P88" s="69">
        <f t="shared" si="31"/>
        <v>35126.258333333339</v>
      </c>
      <c r="Q88" s="70">
        <f t="shared" si="32"/>
        <v>35126.258333333339</v>
      </c>
      <c r="R88" s="153">
        <f t="shared" si="51"/>
        <v>0</v>
      </c>
      <c r="S88" s="70">
        <v>0</v>
      </c>
      <c r="T88" s="165">
        <f t="shared" si="33"/>
        <v>35126.258333333339</v>
      </c>
      <c r="U88" s="163">
        <f t="shared" si="34"/>
        <v>209.08487103174608</v>
      </c>
      <c r="V88" s="164">
        <f t="shared" si="52"/>
        <v>672</v>
      </c>
      <c r="W88" s="164">
        <f t="shared" si="35"/>
        <v>268.8</v>
      </c>
      <c r="X88" s="144">
        <f t="shared" si="36"/>
        <v>700</v>
      </c>
      <c r="Y88" s="150">
        <f t="shared" si="37"/>
        <v>233.33333333333334</v>
      </c>
      <c r="Z88" s="150">
        <f t="shared" si="38"/>
        <v>700</v>
      </c>
      <c r="AA88" s="150">
        <f t="shared" si="39"/>
        <v>2310</v>
      </c>
      <c r="AB88" s="182">
        <f t="shared" si="40"/>
        <v>130.66666666666669</v>
      </c>
      <c r="AC88" s="182">
        <f t="shared" si="41"/>
        <v>449.16666666666674</v>
      </c>
      <c r="AD88" s="182">
        <f t="shared" si="42"/>
        <v>840</v>
      </c>
      <c r="AE88" s="180">
        <f t="shared" si="43"/>
        <v>67.2</v>
      </c>
      <c r="AF88" s="150">
        <f t="shared" si="44"/>
        <v>756</v>
      </c>
      <c r="AG88" s="150"/>
      <c r="AH88" s="150">
        <f t="shared" si="45"/>
        <v>600</v>
      </c>
      <c r="AI88" s="150">
        <f t="shared" si="53"/>
        <v>10587.166666666668</v>
      </c>
      <c r="AJ88" s="154">
        <f t="shared" si="46"/>
        <v>8079.0394166666683</v>
      </c>
      <c r="AK88" s="70">
        <f t="shared" si="47"/>
        <v>8060.0522500000043</v>
      </c>
      <c r="AL88" s="155">
        <f t="shared" si="48"/>
        <v>0.22945945945945956</v>
      </c>
      <c r="AM88" s="155">
        <f t="shared" si="49"/>
        <v>0.29799929799929809</v>
      </c>
    </row>
    <row r="89" spans="2:39" ht="15.75" hidden="1" customHeight="1" x14ac:dyDescent="0.25">
      <c r="B89" s="174" t="s">
        <v>311</v>
      </c>
      <c r="C89" s="171" t="s">
        <v>109</v>
      </c>
      <c r="D89" s="103">
        <v>168</v>
      </c>
      <c r="E89" s="104" t="s">
        <v>76</v>
      </c>
      <c r="F89" s="92">
        <v>0</v>
      </c>
      <c r="G89" s="219">
        <f>IF(F89&gt;0,F89,
IF(B89&lt;&gt;"",
IF(C89="CLT",VLOOKUP(B89,'Lista Profissionais'!$C$11:$H$348,3,0),
VLOOKUP(B89,'Lista Profissionais'!$C$11:$H$348,6,0)), 0))</f>
        <v>9200</v>
      </c>
      <c r="H89" s="219">
        <f>IF(B89&lt;&gt;"",
IF(C89="CLT",
       22*$M$5 + (G89*'Lista Profissionais'!$G$9),0),0)</f>
        <v>2940</v>
      </c>
      <c r="I89" s="66">
        <f t="shared" si="27"/>
        <v>8781.818181818182</v>
      </c>
      <c r="J89" s="66">
        <f t="shared" si="28"/>
        <v>19772.946969696968</v>
      </c>
      <c r="K89" s="66">
        <f t="shared" si="29"/>
        <v>28186.335905303029</v>
      </c>
      <c r="L89" s="93">
        <f t="shared" si="50"/>
        <v>117.69611291486291</v>
      </c>
      <c r="M89" s="151"/>
      <c r="N89" s="152">
        <v>0</v>
      </c>
      <c r="O89" s="69">
        <f t="shared" si="30"/>
        <v>0</v>
      </c>
      <c r="P89" s="69">
        <f t="shared" si="31"/>
        <v>36579.951893939389</v>
      </c>
      <c r="Q89" s="70">
        <f t="shared" si="32"/>
        <v>36579.951893939389</v>
      </c>
      <c r="R89" s="153">
        <f t="shared" si="51"/>
        <v>0</v>
      </c>
      <c r="S89" s="70">
        <v>0</v>
      </c>
      <c r="T89" s="165">
        <f t="shared" si="33"/>
        <v>36579.951893939389</v>
      </c>
      <c r="U89" s="163">
        <f t="shared" si="34"/>
        <v>217.73780889249636</v>
      </c>
      <c r="V89" s="164">
        <f t="shared" si="52"/>
        <v>702.54545454545462</v>
      </c>
      <c r="W89" s="164">
        <f t="shared" si="35"/>
        <v>281.01818181818186</v>
      </c>
      <c r="X89" s="144">
        <f t="shared" si="36"/>
        <v>731.81818181818187</v>
      </c>
      <c r="Y89" s="150">
        <f t="shared" si="37"/>
        <v>243.93939393939397</v>
      </c>
      <c r="Z89" s="150">
        <f t="shared" si="38"/>
        <v>731.81818181818187</v>
      </c>
      <c r="AA89" s="150">
        <f t="shared" si="39"/>
        <v>2415.0000000000005</v>
      </c>
      <c r="AB89" s="182">
        <f t="shared" si="40"/>
        <v>136.60606060606062</v>
      </c>
      <c r="AC89" s="182">
        <f t="shared" si="41"/>
        <v>469.58333333333343</v>
      </c>
      <c r="AD89" s="182">
        <f t="shared" si="42"/>
        <v>878.18181818181824</v>
      </c>
      <c r="AE89" s="180">
        <f t="shared" si="43"/>
        <v>70.254545454545465</v>
      </c>
      <c r="AF89" s="150">
        <f t="shared" si="44"/>
        <v>790.36363636363637</v>
      </c>
      <c r="AG89" s="150"/>
      <c r="AH89" s="150">
        <f t="shared" si="45"/>
        <v>600</v>
      </c>
      <c r="AI89" s="150">
        <f t="shared" si="53"/>
        <v>10991.128787878788</v>
      </c>
      <c r="AJ89" s="154">
        <f t="shared" si="46"/>
        <v>8413.388935606059</v>
      </c>
      <c r="AK89" s="70">
        <f t="shared" si="47"/>
        <v>8393.6159886363603</v>
      </c>
      <c r="AL89" s="155">
        <f t="shared" si="48"/>
        <v>0.22945945945945939</v>
      </c>
      <c r="AM89" s="155">
        <f t="shared" si="49"/>
        <v>0.29799929799929792</v>
      </c>
    </row>
    <row r="90" spans="2:39" ht="15.75" hidden="1" customHeight="1" x14ac:dyDescent="0.25">
      <c r="B90" s="174" t="s">
        <v>312</v>
      </c>
      <c r="C90" s="171" t="s">
        <v>109</v>
      </c>
      <c r="D90" s="103">
        <v>168</v>
      </c>
      <c r="E90" s="104" t="s">
        <v>76</v>
      </c>
      <c r="F90" s="92">
        <v>0</v>
      </c>
      <c r="G90" s="219">
        <f>IF(F90&gt;0,F90,
IF(B90&lt;&gt;"",
IF(C90="CLT",VLOOKUP(B90,'Lista Profissionais'!$C$11:$H$348,3,0),
VLOOKUP(B90,'Lista Profissionais'!$C$11:$H$348,6,0)), 0))</f>
        <v>3600</v>
      </c>
      <c r="H90" s="219">
        <f>IF(B90&lt;&gt;"",
IF(C90="CLT",
       22*$M$5 + (G90*'Lista Profissionais'!$G$9),0),0)</f>
        <v>1820</v>
      </c>
      <c r="I90" s="66">
        <f t="shared" si="27"/>
        <v>3436.363636363636</v>
      </c>
      <c r="J90" s="66">
        <f t="shared" si="28"/>
        <v>8772.0227272727261</v>
      </c>
      <c r="K90" s="66">
        <f t="shared" si="29"/>
        <v>12504.518397727272</v>
      </c>
      <c r="L90" s="93">
        <f t="shared" si="50"/>
        <v>52.214420995670991</v>
      </c>
      <c r="M90" s="151"/>
      <c r="N90" s="152">
        <v>0</v>
      </c>
      <c r="O90" s="69">
        <f t="shared" si="30"/>
        <v>0</v>
      </c>
      <c r="P90" s="69">
        <f t="shared" si="31"/>
        <v>16228.242045454544</v>
      </c>
      <c r="Q90" s="70">
        <f t="shared" si="32"/>
        <v>16228.242045454544</v>
      </c>
      <c r="R90" s="153">
        <f t="shared" si="51"/>
        <v>0</v>
      </c>
      <c r="S90" s="70">
        <v>0</v>
      </c>
      <c r="T90" s="165">
        <f t="shared" si="33"/>
        <v>16228.242045454544</v>
      </c>
      <c r="U90" s="163">
        <f t="shared" si="34"/>
        <v>96.596678841991334</v>
      </c>
      <c r="V90" s="164">
        <f t="shared" si="52"/>
        <v>274.90909090909088</v>
      </c>
      <c r="W90" s="164">
        <f t="shared" si="35"/>
        <v>109.96363636363635</v>
      </c>
      <c r="X90" s="144">
        <f t="shared" si="36"/>
        <v>286.36363636363632</v>
      </c>
      <c r="Y90" s="150">
        <f t="shared" si="37"/>
        <v>95.454545454545439</v>
      </c>
      <c r="Z90" s="150">
        <f t="shared" si="38"/>
        <v>286.36363636363632</v>
      </c>
      <c r="AA90" s="150">
        <f t="shared" si="39"/>
        <v>945</v>
      </c>
      <c r="AB90" s="182">
        <f t="shared" si="40"/>
        <v>53.454545454545439</v>
      </c>
      <c r="AC90" s="182">
        <f t="shared" si="41"/>
        <v>183.74999999999997</v>
      </c>
      <c r="AD90" s="182">
        <f t="shared" si="42"/>
        <v>343.63636363636363</v>
      </c>
      <c r="AE90" s="180">
        <f t="shared" si="43"/>
        <v>27.490909090909092</v>
      </c>
      <c r="AF90" s="150">
        <f t="shared" si="44"/>
        <v>309.27272727272725</v>
      </c>
      <c r="AG90" s="150"/>
      <c r="AH90" s="150">
        <f t="shared" si="45"/>
        <v>600</v>
      </c>
      <c r="AI90" s="150">
        <f t="shared" si="53"/>
        <v>5335.6590909090901</v>
      </c>
      <c r="AJ90" s="154">
        <f t="shared" si="46"/>
        <v>3732.4956704545452</v>
      </c>
      <c r="AK90" s="70">
        <f t="shared" si="47"/>
        <v>3723.7236477272727</v>
      </c>
      <c r="AL90" s="155">
        <f t="shared" si="48"/>
        <v>0.22945945945945947</v>
      </c>
      <c r="AM90" s="155">
        <f t="shared" si="49"/>
        <v>0.29799929799929803</v>
      </c>
    </row>
    <row r="91" spans="2:39" ht="15.75" hidden="1" customHeight="1" x14ac:dyDescent="0.25">
      <c r="B91" s="174" t="s">
        <v>313</v>
      </c>
      <c r="C91" s="171" t="s">
        <v>109</v>
      </c>
      <c r="D91" s="103">
        <v>168</v>
      </c>
      <c r="E91" s="104" t="s">
        <v>76</v>
      </c>
      <c r="F91" s="92">
        <v>0</v>
      </c>
      <c r="G91" s="219">
        <f>IF(F91&gt;0,F91,
IF(B91&lt;&gt;"",
IF(C91="CLT",VLOOKUP(B91,'Lista Profissionais'!$C$11:$H$348,3,0),
VLOOKUP(B91,'Lista Profissionais'!$C$11:$H$348,6,0)), 0))</f>
        <v>6000</v>
      </c>
      <c r="H91" s="219">
        <f>IF(B91&lt;&gt;"",
IF(C91="CLT",
       22*$M$5 + (G91*'Lista Profissionais'!$G$9),0),0)</f>
        <v>2300</v>
      </c>
      <c r="I91" s="66">
        <f t="shared" si="27"/>
        <v>5727.2727272727279</v>
      </c>
      <c r="J91" s="66">
        <f t="shared" si="28"/>
        <v>13486.704545454546</v>
      </c>
      <c r="K91" s="66">
        <f t="shared" si="29"/>
        <v>19225.297329545458</v>
      </c>
      <c r="L91" s="93">
        <f t="shared" si="50"/>
        <v>80.278003246753244</v>
      </c>
      <c r="M91" s="151"/>
      <c r="N91" s="152">
        <v>0</v>
      </c>
      <c r="O91" s="69">
        <f t="shared" si="30"/>
        <v>0</v>
      </c>
      <c r="P91" s="69">
        <f t="shared" si="31"/>
        <v>24950.403409090912</v>
      </c>
      <c r="Q91" s="70">
        <f t="shared" si="32"/>
        <v>24950.403409090912</v>
      </c>
      <c r="R91" s="153">
        <f t="shared" si="51"/>
        <v>0</v>
      </c>
      <c r="S91" s="70">
        <v>0</v>
      </c>
      <c r="T91" s="165">
        <f t="shared" si="33"/>
        <v>24950.403409090912</v>
      </c>
      <c r="U91" s="163">
        <f t="shared" si="34"/>
        <v>148.51430600649351</v>
      </c>
      <c r="V91" s="164">
        <f t="shared" si="52"/>
        <v>458.18181818181824</v>
      </c>
      <c r="W91" s="164">
        <f t="shared" si="35"/>
        <v>183.27272727272731</v>
      </c>
      <c r="X91" s="144">
        <f t="shared" si="36"/>
        <v>477.27272727272731</v>
      </c>
      <c r="Y91" s="150">
        <f t="shared" si="37"/>
        <v>159.09090909090909</v>
      </c>
      <c r="Z91" s="150">
        <f t="shared" si="38"/>
        <v>477.27272727272731</v>
      </c>
      <c r="AA91" s="150">
        <f t="shared" si="39"/>
        <v>1575.0000000000002</v>
      </c>
      <c r="AB91" s="182">
        <f t="shared" si="40"/>
        <v>89.090909090909108</v>
      </c>
      <c r="AC91" s="182">
        <f t="shared" si="41"/>
        <v>306.25000000000006</v>
      </c>
      <c r="AD91" s="182">
        <f t="shared" si="42"/>
        <v>572.72727272727275</v>
      </c>
      <c r="AE91" s="180">
        <f t="shared" si="43"/>
        <v>45.81818181818182</v>
      </c>
      <c r="AF91" s="150">
        <f t="shared" si="44"/>
        <v>515.4545454545455</v>
      </c>
      <c r="AG91" s="150"/>
      <c r="AH91" s="150">
        <f t="shared" si="45"/>
        <v>600</v>
      </c>
      <c r="AI91" s="150">
        <f t="shared" si="53"/>
        <v>7759.431818181818</v>
      </c>
      <c r="AJ91" s="154">
        <f t="shared" si="46"/>
        <v>5738.5927840909098</v>
      </c>
      <c r="AK91" s="70">
        <f t="shared" si="47"/>
        <v>5725.1060795454559</v>
      </c>
      <c r="AL91" s="155">
        <f t="shared" si="48"/>
        <v>0.2294594594594595</v>
      </c>
      <c r="AM91" s="155">
        <f t="shared" si="49"/>
        <v>0.29799929799929803</v>
      </c>
    </row>
    <row r="92" spans="2:39" ht="15.75" hidden="1" customHeight="1" x14ac:dyDescent="0.25">
      <c r="B92" s="174" t="s">
        <v>314</v>
      </c>
      <c r="C92" s="171" t="s">
        <v>109</v>
      </c>
      <c r="D92" s="103">
        <v>168</v>
      </c>
      <c r="E92" s="104" t="s">
        <v>76</v>
      </c>
      <c r="F92" s="92">
        <v>0</v>
      </c>
      <c r="G92" s="219">
        <f>IF(F92&gt;0,F92,
IF(B92&lt;&gt;"",
IF(C92="CLT",VLOOKUP(B92,'Lista Profissionais'!$C$11:$H$348,3,0),
VLOOKUP(B92,'Lista Profissionais'!$C$11:$H$348,6,0)), 0))</f>
        <v>8000</v>
      </c>
      <c r="H92" s="219">
        <f>IF(B92&lt;&gt;"",
IF(C92="CLT",
       22*$M$5 + (G92*'Lista Profissionais'!$G$9),0),0)</f>
        <v>2700</v>
      </c>
      <c r="I92" s="66">
        <f t="shared" si="27"/>
        <v>7636.363636363636</v>
      </c>
      <c r="J92" s="66">
        <f t="shared" si="28"/>
        <v>17415.60606060606</v>
      </c>
      <c r="K92" s="66">
        <f t="shared" si="29"/>
        <v>24825.946439393938</v>
      </c>
      <c r="L92" s="93">
        <f t="shared" si="50"/>
        <v>103.66432178932179</v>
      </c>
      <c r="M92" s="151"/>
      <c r="N92" s="152">
        <v>0</v>
      </c>
      <c r="O92" s="69">
        <f t="shared" si="30"/>
        <v>0</v>
      </c>
      <c r="P92" s="69">
        <f t="shared" si="31"/>
        <v>32218.871212121212</v>
      </c>
      <c r="Q92" s="70">
        <f t="shared" si="32"/>
        <v>32218.871212121212</v>
      </c>
      <c r="R92" s="153">
        <f t="shared" si="51"/>
        <v>0</v>
      </c>
      <c r="S92" s="70">
        <v>0</v>
      </c>
      <c r="T92" s="165">
        <f t="shared" si="33"/>
        <v>32218.871212121212</v>
      </c>
      <c r="U92" s="163">
        <f t="shared" si="34"/>
        <v>191.77899531024531</v>
      </c>
      <c r="V92" s="164">
        <f t="shared" si="52"/>
        <v>610.90909090909088</v>
      </c>
      <c r="W92" s="164">
        <f t="shared" si="35"/>
        <v>244.36363636363637</v>
      </c>
      <c r="X92" s="144">
        <f t="shared" si="36"/>
        <v>636.36363636363637</v>
      </c>
      <c r="Y92" s="150">
        <f t="shared" si="37"/>
        <v>212.12121212121212</v>
      </c>
      <c r="Z92" s="150">
        <f t="shared" si="38"/>
        <v>636.36363636363637</v>
      </c>
      <c r="AA92" s="150">
        <f t="shared" si="39"/>
        <v>2100</v>
      </c>
      <c r="AB92" s="182">
        <f t="shared" si="40"/>
        <v>118.7878787878788</v>
      </c>
      <c r="AC92" s="182">
        <f t="shared" si="41"/>
        <v>408.33333333333343</v>
      </c>
      <c r="AD92" s="182">
        <f t="shared" si="42"/>
        <v>763.63636363636363</v>
      </c>
      <c r="AE92" s="180">
        <f t="shared" si="43"/>
        <v>61.090909090909093</v>
      </c>
      <c r="AF92" s="150">
        <f t="shared" si="44"/>
        <v>687.27272727272725</v>
      </c>
      <c r="AG92" s="150"/>
      <c r="AH92" s="150">
        <f t="shared" si="45"/>
        <v>600</v>
      </c>
      <c r="AI92" s="150">
        <f t="shared" si="53"/>
        <v>9779.242424242424</v>
      </c>
      <c r="AJ92" s="154">
        <f t="shared" si="46"/>
        <v>7410.3403787878788</v>
      </c>
      <c r="AK92" s="70">
        <f t="shared" si="47"/>
        <v>7392.9247727272741</v>
      </c>
      <c r="AL92" s="155">
        <f t="shared" si="48"/>
        <v>0.2294594594594595</v>
      </c>
      <c r="AM92" s="155">
        <f t="shared" si="49"/>
        <v>0.29799929799929803</v>
      </c>
    </row>
    <row r="93" spans="2:39" ht="15.75" hidden="1" customHeight="1" x14ac:dyDescent="0.25">
      <c r="B93" s="174" t="s">
        <v>315</v>
      </c>
      <c r="C93" s="171" t="s">
        <v>109</v>
      </c>
      <c r="D93" s="103">
        <v>168</v>
      </c>
      <c r="E93" s="104" t="s">
        <v>76</v>
      </c>
      <c r="F93" s="92">
        <v>0</v>
      </c>
      <c r="G93" s="219">
        <f>IF(F93&gt;0,F93,
IF(B93&lt;&gt;"",
IF(C93="CLT",VLOOKUP(B93,'Lista Profissionais'!$C$11:$H$348,3,0),
VLOOKUP(B93,'Lista Profissionais'!$C$11:$H$348,6,0)), 0))</f>
        <v>4800</v>
      </c>
      <c r="H93" s="219">
        <f>IF(B93&lt;&gt;"",
IF(C93="CLT",
       22*$M$5 + (G93*'Lista Profissionais'!$G$9),0),0)</f>
        <v>2060</v>
      </c>
      <c r="I93" s="66">
        <f t="shared" si="27"/>
        <v>4581.818181818182</v>
      </c>
      <c r="J93" s="66">
        <f t="shared" si="28"/>
        <v>11129.363636363636</v>
      </c>
      <c r="K93" s="66">
        <f t="shared" si="29"/>
        <v>15864.907863636363</v>
      </c>
      <c r="L93" s="93">
        <f t="shared" si="50"/>
        <v>66.246212121212125</v>
      </c>
      <c r="M93" s="151"/>
      <c r="N93" s="152">
        <v>0</v>
      </c>
      <c r="O93" s="69">
        <f t="shared" si="30"/>
        <v>0</v>
      </c>
      <c r="P93" s="69">
        <f t="shared" si="31"/>
        <v>20589.322727272727</v>
      </c>
      <c r="Q93" s="70">
        <f t="shared" si="32"/>
        <v>20589.322727272727</v>
      </c>
      <c r="R93" s="153">
        <f t="shared" si="51"/>
        <v>0</v>
      </c>
      <c r="S93" s="70">
        <v>0</v>
      </c>
      <c r="T93" s="165">
        <f t="shared" si="33"/>
        <v>20589.322727272727</v>
      </c>
      <c r="U93" s="163">
        <f t="shared" si="34"/>
        <v>122.55549242424243</v>
      </c>
      <c r="V93" s="164">
        <f t="shared" si="52"/>
        <v>366.54545454545456</v>
      </c>
      <c r="W93" s="164">
        <f t="shared" si="35"/>
        <v>146.61818181818182</v>
      </c>
      <c r="X93" s="144">
        <f t="shared" si="36"/>
        <v>381.81818181818181</v>
      </c>
      <c r="Y93" s="150">
        <f t="shared" si="37"/>
        <v>127.27272727272727</v>
      </c>
      <c r="Z93" s="150">
        <f t="shared" si="38"/>
        <v>381.81818181818181</v>
      </c>
      <c r="AA93" s="150">
        <f t="shared" si="39"/>
        <v>1260.0000000000002</v>
      </c>
      <c r="AB93" s="182">
        <f t="shared" si="40"/>
        <v>71.272727272727266</v>
      </c>
      <c r="AC93" s="182">
        <f t="shared" si="41"/>
        <v>245</v>
      </c>
      <c r="AD93" s="182">
        <f t="shared" si="42"/>
        <v>458.18181818181813</v>
      </c>
      <c r="AE93" s="180">
        <f t="shared" si="43"/>
        <v>36.654545454545449</v>
      </c>
      <c r="AF93" s="150">
        <f t="shared" si="44"/>
        <v>412.36363636363637</v>
      </c>
      <c r="AG93" s="150"/>
      <c r="AH93" s="150">
        <f t="shared" si="45"/>
        <v>600</v>
      </c>
      <c r="AI93" s="150">
        <f t="shared" si="53"/>
        <v>6547.545454545454</v>
      </c>
      <c r="AJ93" s="154">
        <f t="shared" si="46"/>
        <v>4735.5442272727278</v>
      </c>
      <c r="AK93" s="70">
        <f t="shared" si="47"/>
        <v>4724.4148636363643</v>
      </c>
      <c r="AL93" s="155">
        <f t="shared" si="48"/>
        <v>0.2294594594594595</v>
      </c>
      <c r="AM93" s="155">
        <f t="shared" si="49"/>
        <v>0.29799929799929803</v>
      </c>
    </row>
    <row r="94" spans="2:39" ht="15.75" hidden="1" customHeight="1" x14ac:dyDescent="0.25">
      <c r="B94" s="174" t="s">
        <v>316</v>
      </c>
      <c r="C94" s="171" t="s">
        <v>109</v>
      </c>
      <c r="D94" s="103">
        <v>168</v>
      </c>
      <c r="E94" s="104" t="s">
        <v>76</v>
      </c>
      <c r="F94" s="92">
        <v>0</v>
      </c>
      <c r="G94" s="219">
        <f>IF(F94&gt;0,F94,
IF(B94&lt;&gt;"",
IF(C94="CLT",VLOOKUP(B94,'Lista Profissionais'!$C$11:$H$348,3,0),
VLOOKUP(B94,'Lista Profissionais'!$C$11:$H$348,6,0)), 0))</f>
        <v>6000</v>
      </c>
      <c r="H94" s="219">
        <f>IF(B94&lt;&gt;"",
IF(C94="CLT",
       22*$M$5 + (G94*'Lista Profissionais'!$G$9),0),0)</f>
        <v>2300</v>
      </c>
      <c r="I94" s="66">
        <f t="shared" si="27"/>
        <v>5727.2727272727279</v>
      </c>
      <c r="J94" s="66">
        <f t="shared" si="28"/>
        <v>13486.704545454546</v>
      </c>
      <c r="K94" s="66">
        <f t="shared" si="29"/>
        <v>19225.297329545458</v>
      </c>
      <c r="L94" s="93">
        <f t="shared" si="50"/>
        <v>80.278003246753244</v>
      </c>
      <c r="M94" s="151"/>
      <c r="N94" s="152">
        <v>0</v>
      </c>
      <c r="O94" s="69">
        <f t="shared" si="30"/>
        <v>0</v>
      </c>
      <c r="P94" s="69">
        <f t="shared" si="31"/>
        <v>24950.403409090912</v>
      </c>
      <c r="Q94" s="70">
        <f t="shared" si="32"/>
        <v>24950.403409090912</v>
      </c>
      <c r="R94" s="153">
        <f t="shared" si="51"/>
        <v>0</v>
      </c>
      <c r="S94" s="70">
        <v>0</v>
      </c>
      <c r="T94" s="165">
        <f t="shared" si="33"/>
        <v>24950.403409090912</v>
      </c>
      <c r="U94" s="163">
        <f t="shared" si="34"/>
        <v>148.51430600649351</v>
      </c>
      <c r="V94" s="164">
        <f t="shared" si="52"/>
        <v>458.18181818181824</v>
      </c>
      <c r="W94" s="164">
        <f t="shared" si="35"/>
        <v>183.27272727272731</v>
      </c>
      <c r="X94" s="144">
        <f t="shared" si="36"/>
        <v>477.27272727272731</v>
      </c>
      <c r="Y94" s="150">
        <f t="shared" si="37"/>
        <v>159.09090909090909</v>
      </c>
      <c r="Z94" s="150">
        <f t="shared" si="38"/>
        <v>477.27272727272731</v>
      </c>
      <c r="AA94" s="150">
        <f t="shared" si="39"/>
        <v>1575.0000000000002</v>
      </c>
      <c r="AB94" s="182">
        <f t="shared" si="40"/>
        <v>89.090909090909108</v>
      </c>
      <c r="AC94" s="182">
        <f t="shared" si="41"/>
        <v>306.25000000000006</v>
      </c>
      <c r="AD94" s="182">
        <f t="shared" si="42"/>
        <v>572.72727272727275</v>
      </c>
      <c r="AE94" s="180">
        <f t="shared" si="43"/>
        <v>45.81818181818182</v>
      </c>
      <c r="AF94" s="150">
        <f t="shared" si="44"/>
        <v>515.4545454545455</v>
      </c>
      <c r="AG94" s="150"/>
      <c r="AH94" s="150">
        <f t="shared" si="45"/>
        <v>600</v>
      </c>
      <c r="AI94" s="150">
        <f>SUM(V94:AH94)+H94</f>
        <v>7759.431818181818</v>
      </c>
      <c r="AJ94" s="154">
        <f t="shared" si="46"/>
        <v>5738.5927840909098</v>
      </c>
      <c r="AK94" s="70">
        <f t="shared" si="47"/>
        <v>5725.1060795454559</v>
      </c>
      <c r="AL94" s="155">
        <f t="shared" si="48"/>
        <v>0.2294594594594595</v>
      </c>
      <c r="AM94" s="155">
        <f t="shared" si="49"/>
        <v>0.29799929799929803</v>
      </c>
    </row>
    <row r="95" spans="2:39" ht="15.75" hidden="1" customHeight="1" x14ac:dyDescent="0.25">
      <c r="B95" s="174" t="s">
        <v>317</v>
      </c>
      <c r="C95" s="171" t="s">
        <v>109</v>
      </c>
      <c r="D95" s="103">
        <v>168</v>
      </c>
      <c r="E95" s="104" t="s">
        <v>76</v>
      </c>
      <c r="F95" s="92">
        <v>0</v>
      </c>
      <c r="G95" s="219">
        <f>IF(F95&gt;0,F95,
IF(B95&lt;&gt;"",
IF(C95="CLT",VLOOKUP(B95,'Lista Profissionais'!$C$11:$H$348,3,0),
VLOOKUP(B95,'Lista Profissionais'!$C$11:$H$348,6,0)), 0))</f>
        <v>8400</v>
      </c>
      <c r="H95" s="219">
        <f>IF(B95&lt;&gt;"",
IF(C95="CLT",
       22*$M$5 + (G95*'Lista Profissionais'!$G$9),0),0)</f>
        <v>2780</v>
      </c>
      <c r="I95" s="66">
        <f t="shared" si="27"/>
        <v>8018.181818181818</v>
      </c>
      <c r="J95" s="66">
        <f t="shared" si="28"/>
        <v>18201.386363636364</v>
      </c>
      <c r="K95" s="66">
        <f t="shared" si="29"/>
        <v>25946.076261363636</v>
      </c>
      <c r="L95" s="93">
        <f t="shared" si="50"/>
        <v>108.3415854978355</v>
      </c>
      <c r="M95" s="151"/>
      <c r="N95" s="152">
        <v>0</v>
      </c>
      <c r="O95" s="69">
        <f t="shared" si="30"/>
        <v>0</v>
      </c>
      <c r="P95" s="69">
        <f t="shared" si="31"/>
        <v>33672.564772727274</v>
      </c>
      <c r="Q95" s="70">
        <f t="shared" si="32"/>
        <v>33672.564772727274</v>
      </c>
      <c r="R95" s="153">
        <f t="shared" si="51"/>
        <v>0</v>
      </c>
      <c r="S95" s="70">
        <v>0</v>
      </c>
      <c r="T95" s="165">
        <f t="shared" si="33"/>
        <v>33672.564772727274</v>
      </c>
      <c r="U95" s="163">
        <f t="shared" si="34"/>
        <v>200.43193317099568</v>
      </c>
      <c r="V95" s="164">
        <f t="shared" si="52"/>
        <v>641.4545454545455</v>
      </c>
      <c r="W95" s="164">
        <f t="shared" si="35"/>
        <v>256.58181818181822</v>
      </c>
      <c r="X95" s="144">
        <f t="shared" si="36"/>
        <v>668.18181818181813</v>
      </c>
      <c r="Y95" s="150">
        <f t="shared" si="37"/>
        <v>222.72727272727272</v>
      </c>
      <c r="Z95" s="150">
        <f t="shared" si="38"/>
        <v>668.18181818181813</v>
      </c>
      <c r="AA95" s="150">
        <f t="shared" si="39"/>
        <v>2205</v>
      </c>
      <c r="AB95" s="182">
        <f t="shared" si="40"/>
        <v>124.72727272727272</v>
      </c>
      <c r="AC95" s="182">
        <f t="shared" si="41"/>
        <v>428.75</v>
      </c>
      <c r="AD95" s="182">
        <f t="shared" si="42"/>
        <v>801.81818181818176</v>
      </c>
      <c r="AE95" s="180">
        <f t="shared" si="43"/>
        <v>64.145454545454541</v>
      </c>
      <c r="AF95" s="150">
        <f t="shared" si="44"/>
        <v>721.63636363636363</v>
      </c>
      <c r="AG95" s="150"/>
      <c r="AH95" s="150">
        <f t="shared" si="45"/>
        <v>600</v>
      </c>
      <c r="AI95" s="150">
        <f t="shared" si="53"/>
        <v>10183.204545454546</v>
      </c>
      <c r="AJ95" s="154">
        <f t="shared" si="46"/>
        <v>7744.6898977272731</v>
      </c>
      <c r="AK95" s="70">
        <f t="shared" si="47"/>
        <v>7726.4885113636374</v>
      </c>
      <c r="AL95" s="155">
        <f t="shared" si="48"/>
        <v>0.22945945945945947</v>
      </c>
      <c r="AM95" s="155">
        <f t="shared" si="49"/>
        <v>0.29799929799929803</v>
      </c>
    </row>
    <row r="96" spans="2:39" ht="15.75" hidden="1" customHeight="1" x14ac:dyDescent="0.25">
      <c r="B96" s="174" t="s">
        <v>318</v>
      </c>
      <c r="C96" s="171" t="s">
        <v>109</v>
      </c>
      <c r="D96" s="103">
        <v>168</v>
      </c>
      <c r="E96" s="104" t="s">
        <v>76</v>
      </c>
      <c r="F96" s="92">
        <v>0</v>
      </c>
      <c r="G96" s="219">
        <f>IF(F96&gt;0,F96,
IF(B96&lt;&gt;"",
IF(C96="CLT",VLOOKUP(B96,'Lista Profissionais'!$C$11:$H$348,3,0),
VLOOKUP(B96,'Lista Profissionais'!$C$11:$H$348,6,0)), 0))</f>
        <v>12000</v>
      </c>
      <c r="H96" s="219">
        <f>IF(B96&lt;&gt;"",
IF(C96="CLT",
       22*$M$5 + (G96*'Lista Profissionais'!$G$9),0),0)</f>
        <v>3500</v>
      </c>
      <c r="I96" s="66">
        <f t="shared" si="27"/>
        <v>11454.545454545456</v>
      </c>
      <c r="J96" s="66">
        <f t="shared" si="28"/>
        <v>25273.409090909092</v>
      </c>
      <c r="K96" s="66">
        <f t="shared" si="29"/>
        <v>36027.244659090909</v>
      </c>
      <c r="L96" s="93">
        <f t="shared" si="50"/>
        <v>150.43695887445887</v>
      </c>
      <c r="M96" s="151"/>
      <c r="N96" s="152">
        <v>0</v>
      </c>
      <c r="O96" s="69">
        <f t="shared" si="30"/>
        <v>0</v>
      </c>
      <c r="P96" s="69">
        <f t="shared" si="31"/>
        <v>46755.806818181823</v>
      </c>
      <c r="Q96" s="70">
        <f t="shared" si="32"/>
        <v>46755.806818181823</v>
      </c>
      <c r="R96" s="153">
        <f t="shared" si="51"/>
        <v>0</v>
      </c>
      <c r="S96" s="70">
        <v>0</v>
      </c>
      <c r="T96" s="165">
        <f t="shared" si="33"/>
        <v>46755.806818181823</v>
      </c>
      <c r="U96" s="163">
        <f t="shared" si="34"/>
        <v>278.30837391774895</v>
      </c>
      <c r="V96" s="164">
        <f t="shared" si="52"/>
        <v>916.36363636363649</v>
      </c>
      <c r="W96" s="164">
        <f t="shared" si="35"/>
        <v>366.54545454545462</v>
      </c>
      <c r="X96" s="144">
        <f t="shared" si="36"/>
        <v>954.54545454545462</v>
      </c>
      <c r="Y96" s="150">
        <f t="shared" si="37"/>
        <v>318.18181818181819</v>
      </c>
      <c r="Z96" s="150">
        <f t="shared" si="38"/>
        <v>954.54545454545462</v>
      </c>
      <c r="AA96" s="150">
        <f t="shared" si="39"/>
        <v>3150.0000000000005</v>
      </c>
      <c r="AB96" s="182">
        <f t="shared" si="40"/>
        <v>178.18181818181822</v>
      </c>
      <c r="AC96" s="182">
        <f t="shared" si="41"/>
        <v>612.50000000000011</v>
      </c>
      <c r="AD96" s="182">
        <f t="shared" si="42"/>
        <v>1145.4545454545455</v>
      </c>
      <c r="AE96" s="180">
        <f t="shared" si="43"/>
        <v>91.63636363636364</v>
      </c>
      <c r="AF96" s="150">
        <f t="shared" si="44"/>
        <v>1030.909090909091</v>
      </c>
      <c r="AG96" s="150"/>
      <c r="AH96" s="150">
        <f t="shared" si="45"/>
        <v>600</v>
      </c>
      <c r="AI96" s="150">
        <f t="shared" si="53"/>
        <v>13818.863636363636</v>
      </c>
      <c r="AJ96" s="154">
        <f t="shared" si="46"/>
        <v>10753.835568181819</v>
      </c>
      <c r="AK96" s="70">
        <f t="shared" si="47"/>
        <v>10728.56215909091</v>
      </c>
      <c r="AL96" s="155">
        <f t="shared" si="48"/>
        <v>0.22945945945945947</v>
      </c>
      <c r="AM96" s="155">
        <f t="shared" si="49"/>
        <v>0.29799929799929803</v>
      </c>
    </row>
    <row r="97" spans="2:39" ht="15.75" hidden="1" customHeight="1" x14ac:dyDescent="0.25">
      <c r="B97" s="174" t="s">
        <v>319</v>
      </c>
      <c r="C97" s="171" t="s">
        <v>109</v>
      </c>
      <c r="D97" s="103">
        <v>168</v>
      </c>
      <c r="E97" s="104" t="s">
        <v>76</v>
      </c>
      <c r="F97" s="92">
        <v>0</v>
      </c>
      <c r="G97" s="219">
        <f>IF(F97&gt;0,F97,
IF(B97&lt;&gt;"",
IF(C97="CLT",VLOOKUP(B97,'Lista Profissionais'!$C$11:$H$348,3,0),
VLOOKUP(B97,'Lista Profissionais'!$C$11:$H$348,6,0)), 0))</f>
        <v>4960</v>
      </c>
      <c r="H97" s="219">
        <f>IF(B97&lt;&gt;"",
IF(C97="CLT",
       22*$M$5 + (G97*'Lista Profissionais'!$G$9),0),0)</f>
        <v>2092</v>
      </c>
      <c r="I97" s="66">
        <f t="shared" si="27"/>
        <v>4734.545454545455</v>
      </c>
      <c r="J97" s="66">
        <f t="shared" si="28"/>
        <v>11443.675757575758</v>
      </c>
      <c r="K97" s="66">
        <f t="shared" si="29"/>
        <v>16312.959792424244</v>
      </c>
      <c r="L97" s="93">
        <f t="shared" si="50"/>
        <v>68.117117604617604</v>
      </c>
      <c r="M97" s="151"/>
      <c r="N97" s="152">
        <v>0</v>
      </c>
      <c r="O97" s="69">
        <f t="shared" si="30"/>
        <v>0</v>
      </c>
      <c r="P97" s="69">
        <f t="shared" si="31"/>
        <v>21170.800151515155</v>
      </c>
      <c r="Q97" s="70">
        <f t="shared" si="32"/>
        <v>21170.800151515155</v>
      </c>
      <c r="R97" s="153">
        <f t="shared" si="51"/>
        <v>0</v>
      </c>
      <c r="S97" s="70">
        <v>0</v>
      </c>
      <c r="T97" s="165">
        <f t="shared" si="33"/>
        <v>21170.800151515155</v>
      </c>
      <c r="U97" s="163">
        <f t="shared" si="34"/>
        <v>126.01666756854259</v>
      </c>
      <c r="V97" s="164">
        <f t="shared" si="52"/>
        <v>378.76363636363641</v>
      </c>
      <c r="W97" s="164">
        <f t="shared" si="35"/>
        <v>151.50545454545457</v>
      </c>
      <c r="X97" s="144">
        <f t="shared" si="36"/>
        <v>394.54545454545456</v>
      </c>
      <c r="Y97" s="150">
        <f t="shared" si="37"/>
        <v>131.51515151515153</v>
      </c>
      <c r="Z97" s="150">
        <f t="shared" si="38"/>
        <v>394.54545454545456</v>
      </c>
      <c r="AA97" s="150">
        <f t="shared" si="39"/>
        <v>1302.0000000000002</v>
      </c>
      <c r="AB97" s="182">
        <f t="shared" si="40"/>
        <v>73.648484848484856</v>
      </c>
      <c r="AC97" s="182">
        <f t="shared" si="41"/>
        <v>253.16666666666671</v>
      </c>
      <c r="AD97" s="182">
        <f t="shared" si="42"/>
        <v>473.4545454545455</v>
      </c>
      <c r="AE97" s="180">
        <f t="shared" si="43"/>
        <v>37.876363636363642</v>
      </c>
      <c r="AF97" s="150">
        <f t="shared" si="44"/>
        <v>426.10909090909092</v>
      </c>
      <c r="AG97" s="150"/>
      <c r="AH97" s="150">
        <f t="shared" si="45"/>
        <v>600</v>
      </c>
      <c r="AI97" s="150">
        <f t="shared" si="53"/>
        <v>6709.1303030303025</v>
      </c>
      <c r="AJ97" s="154">
        <f t="shared" si="46"/>
        <v>4869.284034848486</v>
      </c>
      <c r="AK97" s="70">
        <f t="shared" si="47"/>
        <v>4857.8403590909111</v>
      </c>
      <c r="AL97" s="155">
        <f t="shared" si="48"/>
        <v>0.2294594594594595</v>
      </c>
      <c r="AM97" s="155">
        <f t="shared" si="49"/>
        <v>0.29799929799929809</v>
      </c>
    </row>
    <row r="98" spans="2:39" ht="15.75" hidden="1" customHeight="1" x14ac:dyDescent="0.25">
      <c r="B98" s="174" t="s">
        <v>320</v>
      </c>
      <c r="C98" s="171" t="s">
        <v>109</v>
      </c>
      <c r="D98" s="103">
        <v>168</v>
      </c>
      <c r="E98" s="104" t="s">
        <v>76</v>
      </c>
      <c r="F98" s="92">
        <v>0</v>
      </c>
      <c r="G98" s="219">
        <f>IF(F98&gt;0,F98,
IF(B98&lt;&gt;"",
IF(C98="CLT",VLOOKUP(B98,'Lista Profissionais'!$C$11:$H$348,3,0),
VLOOKUP(B98,'Lista Profissionais'!$C$11:$H$348,6,0)), 0))</f>
        <v>7200</v>
      </c>
      <c r="H98" s="219">
        <f>IF(B98&lt;&gt;"",
IF(C98="CLT",
       22*$M$5 + (G98*'Lista Profissionais'!$G$9),0),0)</f>
        <v>2540</v>
      </c>
      <c r="I98" s="66">
        <f t="shared" si="27"/>
        <v>6872.7272727272721</v>
      </c>
      <c r="J98" s="66">
        <f t="shared" si="28"/>
        <v>15844.045454545452</v>
      </c>
      <c r="K98" s="66">
        <f t="shared" si="29"/>
        <v>22585.686795454545</v>
      </c>
      <c r="L98" s="93">
        <f t="shared" si="50"/>
        <v>94.309794372294363</v>
      </c>
      <c r="M98" s="151"/>
      <c r="N98" s="152">
        <v>0</v>
      </c>
      <c r="O98" s="69">
        <f t="shared" si="30"/>
        <v>0</v>
      </c>
      <c r="P98" s="69">
        <f t="shared" si="31"/>
        <v>29311.484090909089</v>
      </c>
      <c r="Q98" s="70">
        <f t="shared" si="32"/>
        <v>29311.484090909089</v>
      </c>
      <c r="R98" s="153">
        <f t="shared" si="51"/>
        <v>0</v>
      </c>
      <c r="S98" s="70">
        <v>0</v>
      </c>
      <c r="T98" s="165">
        <f t="shared" si="33"/>
        <v>29311.484090909089</v>
      </c>
      <c r="U98" s="163">
        <f t="shared" si="34"/>
        <v>174.47311958874457</v>
      </c>
      <c r="V98" s="164">
        <f t="shared" si="52"/>
        <v>549.81818181818176</v>
      </c>
      <c r="W98" s="164">
        <f t="shared" si="35"/>
        <v>219.92727272727271</v>
      </c>
      <c r="X98" s="144">
        <f t="shared" si="36"/>
        <v>572.72727272727263</v>
      </c>
      <c r="Y98" s="150">
        <f t="shared" si="37"/>
        <v>190.90909090909088</v>
      </c>
      <c r="Z98" s="150">
        <f t="shared" si="38"/>
        <v>572.72727272727263</v>
      </c>
      <c r="AA98" s="150">
        <f t="shared" si="39"/>
        <v>1890</v>
      </c>
      <c r="AB98" s="182">
        <f t="shared" si="40"/>
        <v>106.90909090909088</v>
      </c>
      <c r="AC98" s="182">
        <f t="shared" si="41"/>
        <v>367.49999999999994</v>
      </c>
      <c r="AD98" s="182">
        <f t="shared" si="42"/>
        <v>687.27272727272725</v>
      </c>
      <c r="AE98" s="180">
        <f t="shared" si="43"/>
        <v>54.981818181818184</v>
      </c>
      <c r="AF98" s="150">
        <f t="shared" si="44"/>
        <v>618.5454545454545</v>
      </c>
      <c r="AG98" s="150"/>
      <c r="AH98" s="150">
        <f t="shared" si="45"/>
        <v>600</v>
      </c>
      <c r="AI98" s="150">
        <f t="shared" si="53"/>
        <v>8971.3181818181802</v>
      </c>
      <c r="AJ98" s="154">
        <f t="shared" si="46"/>
        <v>6741.641340909091</v>
      </c>
      <c r="AK98" s="70">
        <f t="shared" si="47"/>
        <v>6725.7972954545439</v>
      </c>
      <c r="AL98" s="155">
        <f t="shared" si="48"/>
        <v>0.22945945945945942</v>
      </c>
      <c r="AM98" s="155">
        <f t="shared" si="49"/>
        <v>0.29799929799929797</v>
      </c>
    </row>
    <row r="99" spans="2:39" ht="15.75" hidden="1" customHeight="1" x14ac:dyDescent="0.25">
      <c r="B99" s="174" t="s">
        <v>321</v>
      </c>
      <c r="C99" s="171" t="s">
        <v>109</v>
      </c>
      <c r="D99" s="103">
        <v>168</v>
      </c>
      <c r="E99" s="104" t="s">
        <v>76</v>
      </c>
      <c r="F99" s="92">
        <v>0</v>
      </c>
      <c r="G99" s="219">
        <f>IF(F99&gt;0,F99,
IF(B99&lt;&gt;"",
IF(C99="CLT",VLOOKUP(B99,'Lista Profissionais'!$C$11:$H$348,3,0),
VLOOKUP(B99,'Lista Profissionais'!$C$11:$H$348,6,0)), 0))</f>
        <v>10400</v>
      </c>
      <c r="H99" s="219">
        <f>IF(B99&lt;&gt;"",
IF(C99="CLT",
       22*$M$5 + (G99*'Lista Profissionais'!$G$9),0),0)</f>
        <v>3180</v>
      </c>
      <c r="I99" s="66">
        <f t="shared" si="27"/>
        <v>9927.2727272727279</v>
      </c>
      <c r="J99" s="66">
        <f t="shared" si="28"/>
        <v>22130.28787878788</v>
      </c>
      <c r="K99" s="66">
        <f t="shared" si="29"/>
        <v>31546.725371212124</v>
      </c>
      <c r="L99" s="93">
        <f t="shared" si="50"/>
        <v>131.72790404040404</v>
      </c>
      <c r="M99" s="151"/>
      <c r="N99" s="152">
        <v>0</v>
      </c>
      <c r="O99" s="69">
        <f t="shared" si="30"/>
        <v>0</v>
      </c>
      <c r="P99" s="69">
        <f t="shared" si="31"/>
        <v>40941.032575757577</v>
      </c>
      <c r="Q99" s="70">
        <f t="shared" si="32"/>
        <v>40941.032575757577</v>
      </c>
      <c r="R99" s="153">
        <f t="shared" si="51"/>
        <v>0</v>
      </c>
      <c r="S99" s="70">
        <v>0</v>
      </c>
      <c r="T99" s="165">
        <f t="shared" si="33"/>
        <v>40941.032575757577</v>
      </c>
      <c r="U99" s="163">
        <f t="shared" si="34"/>
        <v>243.69662247474747</v>
      </c>
      <c r="V99" s="164">
        <f t="shared" si="52"/>
        <v>794.18181818181824</v>
      </c>
      <c r="W99" s="164">
        <f t="shared" si="35"/>
        <v>317.67272727272734</v>
      </c>
      <c r="X99" s="144">
        <f t="shared" si="36"/>
        <v>827.27272727272737</v>
      </c>
      <c r="Y99" s="150">
        <f t="shared" si="37"/>
        <v>275.75757575757581</v>
      </c>
      <c r="Z99" s="150">
        <f t="shared" si="38"/>
        <v>827.27272727272737</v>
      </c>
      <c r="AA99" s="150">
        <f t="shared" si="39"/>
        <v>2730.0000000000005</v>
      </c>
      <c r="AB99" s="182">
        <f t="shared" si="40"/>
        <v>154.42424242424244</v>
      </c>
      <c r="AC99" s="182">
        <f t="shared" si="41"/>
        <v>530.83333333333337</v>
      </c>
      <c r="AD99" s="182">
        <f t="shared" si="42"/>
        <v>992.72727272727275</v>
      </c>
      <c r="AE99" s="180">
        <f t="shared" si="43"/>
        <v>79.418181818181822</v>
      </c>
      <c r="AF99" s="150">
        <f t="shared" si="44"/>
        <v>893.4545454545455</v>
      </c>
      <c r="AG99" s="150"/>
      <c r="AH99" s="150">
        <f t="shared" si="45"/>
        <v>600</v>
      </c>
      <c r="AI99" s="150">
        <f t="shared" si="53"/>
        <v>12203.015151515152</v>
      </c>
      <c r="AJ99" s="154">
        <f t="shared" si="46"/>
        <v>9416.4374924242438</v>
      </c>
      <c r="AK99" s="70">
        <f t="shared" si="47"/>
        <v>9394.3072045454537</v>
      </c>
      <c r="AL99" s="155">
        <f t="shared" si="48"/>
        <v>0.22945945945945942</v>
      </c>
      <c r="AM99" s="155">
        <f t="shared" si="49"/>
        <v>0.29799929799929797</v>
      </c>
    </row>
    <row r="100" spans="2:39" s="102" customFormat="1" ht="15.75" hidden="1" customHeight="1" x14ac:dyDescent="0.2">
      <c r="B100" s="174" t="s">
        <v>322</v>
      </c>
      <c r="C100" s="171" t="s">
        <v>109</v>
      </c>
      <c r="D100" s="103">
        <v>168</v>
      </c>
      <c r="E100" s="104" t="s">
        <v>76</v>
      </c>
      <c r="F100" s="92">
        <v>0</v>
      </c>
      <c r="G100" s="219">
        <f>IF(F100&gt;0,F100,
IF(B100&lt;&gt;"",
IF(C100="CLT",VLOOKUP(B100,'Lista Profissionais'!$C$11:$H$348,3,0),
VLOOKUP(B100,'Lista Profissionais'!$C$11:$H$348,6,0)), 0))</f>
        <v>3600</v>
      </c>
      <c r="H100" s="219">
        <f>IF(B100&lt;&gt;"",
IF(C100="CLT",
       22*$M$5 + (G100*'Lista Profissionais'!$G$9),0),0)</f>
        <v>1820</v>
      </c>
      <c r="I100" s="66">
        <f t="shared" si="27"/>
        <v>3436.363636363636</v>
      </c>
      <c r="J100" s="66">
        <f t="shared" si="28"/>
        <v>8772.0227272727261</v>
      </c>
      <c r="K100" s="66">
        <f t="shared" si="29"/>
        <v>12504.518397727272</v>
      </c>
      <c r="L100" s="93">
        <f t="shared" si="50"/>
        <v>52.214420995670991</v>
      </c>
      <c r="M100" s="151"/>
      <c r="N100" s="152">
        <v>0</v>
      </c>
      <c r="O100" s="69">
        <f t="shared" si="30"/>
        <v>0</v>
      </c>
      <c r="P100" s="69">
        <f t="shared" si="31"/>
        <v>16228.242045454544</v>
      </c>
      <c r="Q100" s="70">
        <f t="shared" si="32"/>
        <v>16228.242045454544</v>
      </c>
      <c r="R100" s="153">
        <f t="shared" si="51"/>
        <v>0</v>
      </c>
      <c r="S100" s="70">
        <v>0</v>
      </c>
      <c r="T100" s="165">
        <f t="shared" si="33"/>
        <v>16228.242045454544</v>
      </c>
      <c r="U100" s="163">
        <f t="shared" si="34"/>
        <v>96.596678841991334</v>
      </c>
      <c r="V100" s="164">
        <f t="shared" si="52"/>
        <v>274.90909090909088</v>
      </c>
      <c r="W100" s="164">
        <f t="shared" si="35"/>
        <v>109.96363636363635</v>
      </c>
      <c r="X100" s="144">
        <f t="shared" si="36"/>
        <v>286.36363636363632</v>
      </c>
      <c r="Y100" s="150">
        <f t="shared" si="37"/>
        <v>95.454545454545439</v>
      </c>
      <c r="Z100" s="150">
        <f t="shared" si="38"/>
        <v>286.36363636363632</v>
      </c>
      <c r="AA100" s="150">
        <f t="shared" si="39"/>
        <v>945</v>
      </c>
      <c r="AB100" s="182">
        <f t="shared" si="40"/>
        <v>53.454545454545439</v>
      </c>
      <c r="AC100" s="182">
        <f t="shared" si="41"/>
        <v>183.74999999999997</v>
      </c>
      <c r="AD100" s="182">
        <f t="shared" si="42"/>
        <v>343.63636363636363</v>
      </c>
      <c r="AE100" s="180">
        <f t="shared" si="43"/>
        <v>27.490909090909092</v>
      </c>
      <c r="AF100" s="150">
        <f t="shared" si="44"/>
        <v>309.27272727272725</v>
      </c>
      <c r="AG100" s="150"/>
      <c r="AH100" s="150">
        <f t="shared" si="45"/>
        <v>600</v>
      </c>
      <c r="AI100" s="150">
        <f t="shared" si="53"/>
        <v>5335.6590909090901</v>
      </c>
      <c r="AJ100" s="154">
        <f t="shared" si="46"/>
        <v>3732.4956704545452</v>
      </c>
      <c r="AK100" s="70">
        <f t="shared" si="47"/>
        <v>3723.7236477272727</v>
      </c>
      <c r="AL100" s="155">
        <f t="shared" si="48"/>
        <v>0.22945945945945947</v>
      </c>
      <c r="AM100" s="155">
        <f t="shared" si="49"/>
        <v>0.29799929799929803</v>
      </c>
    </row>
    <row r="101" spans="2:39" s="102" customFormat="1" ht="15.75" hidden="1" customHeight="1" x14ac:dyDescent="0.2">
      <c r="B101" s="174" t="s">
        <v>323</v>
      </c>
      <c r="C101" s="171" t="s">
        <v>109</v>
      </c>
      <c r="D101" s="103">
        <v>168</v>
      </c>
      <c r="E101" s="104" t="s">
        <v>76</v>
      </c>
      <c r="F101" s="92">
        <v>0</v>
      </c>
      <c r="G101" s="219">
        <f>IF(F101&gt;0,F101,
IF(B101&lt;&gt;"",
IF(C101="CLT",VLOOKUP(B101,'Lista Profissionais'!$C$11:$H$348,3,0),
VLOOKUP(B101,'Lista Profissionais'!$C$11:$H$348,6,0)), 0))</f>
        <v>7600</v>
      </c>
      <c r="H101" s="219">
        <f>IF(B101&lt;&gt;"",
IF(C101="CLT",
       22*$M$5 + (G101*'Lista Profissionais'!$G$9),0),0)</f>
        <v>2620</v>
      </c>
      <c r="I101" s="66">
        <f t="shared" si="27"/>
        <v>7254.545454545454</v>
      </c>
      <c r="J101" s="66">
        <f t="shared" si="28"/>
        <v>16629.82575757576</v>
      </c>
      <c r="K101" s="66">
        <f t="shared" si="29"/>
        <v>23705.816617424247</v>
      </c>
      <c r="L101" s="93">
        <f t="shared" si="50"/>
        <v>98.987058080808097</v>
      </c>
      <c r="M101" s="151"/>
      <c r="N101" s="152">
        <v>0</v>
      </c>
      <c r="O101" s="69">
        <f t="shared" si="30"/>
        <v>0</v>
      </c>
      <c r="P101" s="69">
        <f t="shared" si="31"/>
        <v>30765.177651515158</v>
      </c>
      <c r="Q101" s="70">
        <f t="shared" si="32"/>
        <v>30765.177651515158</v>
      </c>
      <c r="R101" s="153">
        <f t="shared" si="51"/>
        <v>0</v>
      </c>
      <c r="S101" s="70">
        <v>0</v>
      </c>
      <c r="T101" s="165">
        <f t="shared" si="33"/>
        <v>30765.177651515158</v>
      </c>
      <c r="U101" s="163">
        <f t="shared" si="34"/>
        <v>183.12605744949499</v>
      </c>
      <c r="V101" s="164">
        <f t="shared" si="52"/>
        <v>580.36363636363637</v>
      </c>
      <c r="W101" s="164">
        <f t="shared" si="35"/>
        <v>232.14545454545456</v>
      </c>
      <c r="X101" s="144">
        <f t="shared" si="36"/>
        <v>604.5454545454545</v>
      </c>
      <c r="Y101" s="150">
        <f t="shared" si="37"/>
        <v>201.5151515151515</v>
      </c>
      <c r="Z101" s="150">
        <f t="shared" si="38"/>
        <v>604.5454545454545</v>
      </c>
      <c r="AA101" s="150">
        <f t="shared" si="39"/>
        <v>1995</v>
      </c>
      <c r="AB101" s="182">
        <f t="shared" si="40"/>
        <v>112.84848484848484</v>
      </c>
      <c r="AC101" s="182">
        <f t="shared" si="41"/>
        <v>387.91666666666669</v>
      </c>
      <c r="AD101" s="182">
        <f t="shared" si="42"/>
        <v>725.4545454545455</v>
      </c>
      <c r="AE101" s="180">
        <f t="shared" si="43"/>
        <v>58.036363636363639</v>
      </c>
      <c r="AF101" s="150">
        <f t="shared" si="44"/>
        <v>652.90909090909088</v>
      </c>
      <c r="AG101" s="150"/>
      <c r="AH101" s="150">
        <f t="shared" si="45"/>
        <v>600</v>
      </c>
      <c r="AI101" s="150">
        <f t="shared" si="53"/>
        <v>9375.2803030303039</v>
      </c>
      <c r="AJ101" s="154">
        <f t="shared" si="46"/>
        <v>7075.9908598484863</v>
      </c>
      <c r="AK101" s="70">
        <f t="shared" si="47"/>
        <v>7059.3610340909108</v>
      </c>
      <c r="AL101" s="155">
        <f t="shared" si="48"/>
        <v>0.22945945945945947</v>
      </c>
      <c r="AM101" s="155">
        <f t="shared" si="49"/>
        <v>0.29799929799929803</v>
      </c>
    </row>
    <row r="102" spans="2:39" s="102" customFormat="1" ht="15.75" hidden="1" customHeight="1" x14ac:dyDescent="0.2">
      <c r="B102" s="174" t="s">
        <v>324</v>
      </c>
      <c r="C102" s="171" t="s">
        <v>109</v>
      </c>
      <c r="D102" s="103">
        <v>168</v>
      </c>
      <c r="E102" s="104" t="s">
        <v>76</v>
      </c>
      <c r="F102" s="92">
        <v>0</v>
      </c>
      <c r="G102" s="219">
        <f>IF(F102&gt;0,F102,
IF(B102&lt;&gt;"",
IF(C102="CLT",VLOOKUP(B102,'Lista Profissionais'!$C$11:$H$348,3,0),
VLOOKUP(B102,'Lista Profissionais'!$C$11:$H$348,6,0)), 0))</f>
        <v>8800</v>
      </c>
      <c r="H102" s="219">
        <f>IF(B102&lt;&gt;"",
IF(C102="CLT",
       22*$M$5 + (G102*'Lista Profissionais'!$G$9),0),0)</f>
        <v>2860</v>
      </c>
      <c r="I102" s="66">
        <f t="shared" si="27"/>
        <v>8400</v>
      </c>
      <c r="J102" s="66">
        <f t="shared" si="28"/>
        <v>18987.166666666668</v>
      </c>
      <c r="K102" s="66">
        <f t="shared" si="29"/>
        <v>27066.206083333338</v>
      </c>
      <c r="L102" s="93">
        <f t="shared" si="50"/>
        <v>113.01884920634922</v>
      </c>
      <c r="M102" s="151"/>
      <c r="N102" s="152">
        <v>0</v>
      </c>
      <c r="O102" s="69">
        <f t="shared" si="30"/>
        <v>0</v>
      </c>
      <c r="P102" s="69">
        <f t="shared" si="31"/>
        <v>35126.258333333339</v>
      </c>
      <c r="Q102" s="70">
        <f t="shared" si="32"/>
        <v>35126.258333333339</v>
      </c>
      <c r="R102" s="153">
        <f t="shared" si="51"/>
        <v>0</v>
      </c>
      <c r="S102" s="70">
        <v>0</v>
      </c>
      <c r="T102" s="165">
        <f t="shared" si="33"/>
        <v>35126.258333333339</v>
      </c>
      <c r="U102" s="163">
        <f t="shared" si="34"/>
        <v>209.08487103174608</v>
      </c>
      <c r="V102" s="164">
        <f t="shared" si="52"/>
        <v>672</v>
      </c>
      <c r="W102" s="164">
        <f t="shared" si="35"/>
        <v>268.8</v>
      </c>
      <c r="X102" s="144">
        <f t="shared" si="36"/>
        <v>700</v>
      </c>
      <c r="Y102" s="150">
        <f t="shared" si="37"/>
        <v>233.33333333333334</v>
      </c>
      <c r="Z102" s="150">
        <f t="shared" si="38"/>
        <v>700</v>
      </c>
      <c r="AA102" s="150">
        <f t="shared" si="39"/>
        <v>2310</v>
      </c>
      <c r="AB102" s="182">
        <f t="shared" si="40"/>
        <v>130.66666666666669</v>
      </c>
      <c r="AC102" s="182">
        <f t="shared" si="41"/>
        <v>449.16666666666674</v>
      </c>
      <c r="AD102" s="182">
        <f t="shared" si="42"/>
        <v>840</v>
      </c>
      <c r="AE102" s="180">
        <f t="shared" si="43"/>
        <v>67.2</v>
      </c>
      <c r="AF102" s="150">
        <f t="shared" si="44"/>
        <v>756</v>
      </c>
      <c r="AG102" s="150"/>
      <c r="AH102" s="150">
        <f t="shared" si="45"/>
        <v>600</v>
      </c>
      <c r="AI102" s="150">
        <f t="shared" si="53"/>
        <v>10587.166666666668</v>
      </c>
      <c r="AJ102" s="154">
        <f t="shared" si="46"/>
        <v>8079.0394166666683</v>
      </c>
      <c r="AK102" s="70">
        <f t="shared" si="47"/>
        <v>8060.0522500000043</v>
      </c>
      <c r="AL102" s="155">
        <f t="shared" si="48"/>
        <v>0.22945945945945956</v>
      </c>
      <c r="AM102" s="155">
        <f t="shared" si="49"/>
        <v>0.29799929799929809</v>
      </c>
    </row>
    <row r="103" spans="2:39" s="102" customFormat="1" ht="15.75" hidden="1" customHeight="1" x14ac:dyDescent="0.2">
      <c r="B103" s="174" t="s">
        <v>325</v>
      </c>
      <c r="C103" s="171" t="s">
        <v>109</v>
      </c>
      <c r="D103" s="103">
        <v>168</v>
      </c>
      <c r="E103" s="104" t="s">
        <v>76</v>
      </c>
      <c r="F103" s="92">
        <v>0</v>
      </c>
      <c r="G103" s="219">
        <f>IF(F103&gt;0,F103,
IF(B103&lt;&gt;"",
IF(C103="CLT",VLOOKUP(B103,'Lista Profissionais'!$C$11:$H$348,3,0),
VLOOKUP(B103,'Lista Profissionais'!$C$11:$H$348,6,0)), 0))</f>
        <v>9200</v>
      </c>
      <c r="H103" s="219">
        <f>IF(B103&lt;&gt;"",
IF(C103="CLT",
       22*$M$5 + (G103*'Lista Profissionais'!$G$9),0),0)</f>
        <v>2940</v>
      </c>
      <c r="I103" s="66">
        <f t="shared" si="27"/>
        <v>8781.818181818182</v>
      </c>
      <c r="J103" s="66">
        <f t="shared" si="28"/>
        <v>19772.946969696968</v>
      </c>
      <c r="K103" s="66">
        <f t="shared" si="29"/>
        <v>28186.335905303029</v>
      </c>
      <c r="L103" s="93">
        <f t="shared" si="50"/>
        <v>117.69611291486291</v>
      </c>
      <c r="M103" s="151"/>
      <c r="N103" s="152">
        <v>0</v>
      </c>
      <c r="O103" s="69">
        <f t="shared" si="30"/>
        <v>0</v>
      </c>
      <c r="P103" s="69">
        <f t="shared" si="31"/>
        <v>36579.951893939389</v>
      </c>
      <c r="Q103" s="70">
        <f t="shared" si="32"/>
        <v>36579.951893939389</v>
      </c>
      <c r="R103" s="153">
        <f t="shared" si="51"/>
        <v>0</v>
      </c>
      <c r="S103" s="70">
        <v>0</v>
      </c>
      <c r="T103" s="165">
        <f t="shared" si="33"/>
        <v>36579.951893939389</v>
      </c>
      <c r="U103" s="163">
        <f t="shared" si="34"/>
        <v>217.73780889249636</v>
      </c>
      <c r="V103" s="164">
        <f t="shared" si="52"/>
        <v>702.54545454545462</v>
      </c>
      <c r="W103" s="164">
        <f t="shared" si="35"/>
        <v>281.01818181818186</v>
      </c>
      <c r="X103" s="144">
        <f t="shared" si="36"/>
        <v>731.81818181818187</v>
      </c>
      <c r="Y103" s="150">
        <f t="shared" si="37"/>
        <v>243.93939393939397</v>
      </c>
      <c r="Z103" s="150">
        <f t="shared" si="38"/>
        <v>731.81818181818187</v>
      </c>
      <c r="AA103" s="150">
        <f t="shared" si="39"/>
        <v>2415.0000000000005</v>
      </c>
      <c r="AB103" s="182">
        <f t="shared" si="40"/>
        <v>136.60606060606062</v>
      </c>
      <c r="AC103" s="182">
        <f t="shared" si="41"/>
        <v>469.58333333333343</v>
      </c>
      <c r="AD103" s="182">
        <f t="shared" si="42"/>
        <v>878.18181818181824</v>
      </c>
      <c r="AE103" s="180">
        <f t="shared" si="43"/>
        <v>70.254545454545465</v>
      </c>
      <c r="AF103" s="150">
        <f t="shared" si="44"/>
        <v>790.36363636363637</v>
      </c>
      <c r="AG103" s="150"/>
      <c r="AH103" s="150">
        <f t="shared" si="45"/>
        <v>600</v>
      </c>
      <c r="AI103" s="150">
        <f t="shared" si="53"/>
        <v>10991.128787878788</v>
      </c>
      <c r="AJ103" s="154">
        <f t="shared" si="46"/>
        <v>8413.388935606059</v>
      </c>
      <c r="AK103" s="70">
        <f t="shared" si="47"/>
        <v>8393.6159886363603</v>
      </c>
      <c r="AL103" s="155">
        <f t="shared" si="48"/>
        <v>0.22945945945945939</v>
      </c>
      <c r="AM103" s="155">
        <f t="shared" si="49"/>
        <v>0.29799929799929792</v>
      </c>
    </row>
    <row r="104" spans="2:39" s="102" customFormat="1" ht="15.75" hidden="1" customHeight="1" x14ac:dyDescent="0.2">
      <c r="B104" s="174" t="s">
        <v>326</v>
      </c>
      <c r="C104" s="171" t="s">
        <v>109</v>
      </c>
      <c r="D104" s="103">
        <v>168</v>
      </c>
      <c r="E104" s="104" t="s">
        <v>76</v>
      </c>
      <c r="F104" s="92">
        <v>0</v>
      </c>
      <c r="G104" s="219">
        <f>IF(F104&gt;0,F104,
IF(B104&lt;&gt;"",
IF(C104="CLT",VLOOKUP(B104,'Lista Profissionais'!$C$11:$H$348,3,0),
VLOOKUP(B104,'Lista Profissionais'!$C$11:$H$348,6,0)), 0))</f>
        <v>3040</v>
      </c>
      <c r="H104" s="219">
        <f>IF(B104&lt;&gt;"",
IF(C104="CLT",
       22*$M$5 + (G104*'Lista Profissionais'!$G$9),0),0)</f>
        <v>1708</v>
      </c>
      <c r="I104" s="66">
        <f t="shared" si="27"/>
        <v>2901.818181818182</v>
      </c>
      <c r="J104" s="66">
        <f t="shared" si="28"/>
        <v>7671.9303030303035</v>
      </c>
      <c r="K104" s="66">
        <f t="shared" si="29"/>
        <v>10936.336646969698</v>
      </c>
      <c r="L104" s="93">
        <f t="shared" si="50"/>
        <v>45.666251803751805</v>
      </c>
      <c r="M104" s="151"/>
      <c r="N104" s="152">
        <v>0</v>
      </c>
      <c r="O104" s="69">
        <f t="shared" si="30"/>
        <v>0</v>
      </c>
      <c r="P104" s="69">
        <f t="shared" si="31"/>
        <v>14193.071060606062</v>
      </c>
      <c r="Q104" s="70">
        <f t="shared" si="32"/>
        <v>14193.071060606062</v>
      </c>
      <c r="R104" s="153">
        <f t="shared" si="51"/>
        <v>0</v>
      </c>
      <c r="S104" s="70">
        <v>0</v>
      </c>
      <c r="T104" s="165">
        <f t="shared" si="33"/>
        <v>14193.071060606062</v>
      </c>
      <c r="U104" s="163">
        <f t="shared" si="34"/>
        <v>84.48256583694085</v>
      </c>
      <c r="V104" s="164">
        <f t="shared" si="52"/>
        <v>232.14545454545456</v>
      </c>
      <c r="W104" s="164">
        <f t="shared" si="35"/>
        <v>92.858181818181833</v>
      </c>
      <c r="X104" s="144">
        <f t="shared" si="36"/>
        <v>241.81818181818184</v>
      </c>
      <c r="Y104" s="150">
        <f t="shared" si="37"/>
        <v>80.606060606060609</v>
      </c>
      <c r="Z104" s="150">
        <f t="shared" si="38"/>
        <v>241.81818181818184</v>
      </c>
      <c r="AA104" s="150">
        <f t="shared" si="39"/>
        <v>798.00000000000011</v>
      </c>
      <c r="AB104" s="182">
        <f t="shared" si="40"/>
        <v>45.139393939393941</v>
      </c>
      <c r="AC104" s="182">
        <f t="shared" si="41"/>
        <v>155.16666666666669</v>
      </c>
      <c r="AD104" s="182">
        <f t="shared" si="42"/>
        <v>290.18181818181819</v>
      </c>
      <c r="AE104" s="180">
        <f t="shared" si="43"/>
        <v>23.214545454545455</v>
      </c>
      <c r="AF104" s="150">
        <f t="shared" si="44"/>
        <v>261.16363636363639</v>
      </c>
      <c r="AG104" s="150"/>
      <c r="AH104" s="150">
        <f t="shared" si="45"/>
        <v>600</v>
      </c>
      <c r="AI104" s="150">
        <f t="shared" si="53"/>
        <v>4770.1121212121216</v>
      </c>
      <c r="AJ104" s="154">
        <f t="shared" si="46"/>
        <v>3264.4063439393944</v>
      </c>
      <c r="AK104" s="70">
        <f t="shared" si="47"/>
        <v>3256.7344136363645</v>
      </c>
      <c r="AL104" s="155">
        <f t="shared" si="48"/>
        <v>0.2294594594594595</v>
      </c>
      <c r="AM104" s="155">
        <f t="shared" si="49"/>
        <v>0.29799929799929803</v>
      </c>
    </row>
    <row r="105" spans="2:39" s="102" customFormat="1" ht="15.75" hidden="1" customHeight="1" x14ac:dyDescent="0.2">
      <c r="B105" s="174" t="s">
        <v>327</v>
      </c>
      <c r="C105" s="171" t="s">
        <v>109</v>
      </c>
      <c r="D105" s="103">
        <v>168</v>
      </c>
      <c r="E105" s="104" t="s">
        <v>76</v>
      </c>
      <c r="F105" s="92">
        <v>0</v>
      </c>
      <c r="G105" s="219">
        <f>IF(F105&gt;0,F105,
IF(B105&lt;&gt;"",
IF(C105="CLT",VLOOKUP(B105,'Lista Profissionais'!$C$11:$H$348,3,0),
VLOOKUP(B105,'Lista Profissionais'!$C$11:$H$348,6,0)), 0))</f>
        <v>6000</v>
      </c>
      <c r="H105" s="219">
        <f>IF(B105&lt;&gt;"",
IF(C105="CLT",
       22*$M$5 + (G105*'Lista Profissionais'!$G$9),0),0)</f>
        <v>2300</v>
      </c>
      <c r="I105" s="66">
        <f t="shared" si="27"/>
        <v>5727.2727272727279</v>
      </c>
      <c r="J105" s="66">
        <f t="shared" si="28"/>
        <v>13486.704545454546</v>
      </c>
      <c r="K105" s="66">
        <f t="shared" si="29"/>
        <v>19225.297329545458</v>
      </c>
      <c r="L105" s="93">
        <f t="shared" si="50"/>
        <v>80.278003246753244</v>
      </c>
      <c r="M105" s="151"/>
      <c r="N105" s="152">
        <v>0</v>
      </c>
      <c r="O105" s="69">
        <f t="shared" si="30"/>
        <v>0</v>
      </c>
      <c r="P105" s="69">
        <f t="shared" si="31"/>
        <v>24950.403409090912</v>
      </c>
      <c r="Q105" s="70">
        <f t="shared" si="32"/>
        <v>24950.403409090912</v>
      </c>
      <c r="R105" s="153">
        <f t="shared" si="51"/>
        <v>0</v>
      </c>
      <c r="S105" s="70">
        <v>0</v>
      </c>
      <c r="T105" s="165">
        <f t="shared" si="33"/>
        <v>24950.403409090912</v>
      </c>
      <c r="U105" s="163">
        <f t="shared" si="34"/>
        <v>148.51430600649351</v>
      </c>
      <c r="V105" s="164">
        <f t="shared" si="52"/>
        <v>458.18181818181824</v>
      </c>
      <c r="W105" s="164">
        <f t="shared" si="35"/>
        <v>183.27272727272731</v>
      </c>
      <c r="X105" s="144">
        <f t="shared" si="36"/>
        <v>477.27272727272731</v>
      </c>
      <c r="Y105" s="150">
        <f t="shared" si="37"/>
        <v>159.09090909090909</v>
      </c>
      <c r="Z105" s="150">
        <f t="shared" si="38"/>
        <v>477.27272727272731</v>
      </c>
      <c r="AA105" s="150">
        <f t="shared" si="39"/>
        <v>1575.0000000000002</v>
      </c>
      <c r="AB105" s="182">
        <f t="shared" si="40"/>
        <v>89.090909090909108</v>
      </c>
      <c r="AC105" s="182">
        <f t="shared" si="41"/>
        <v>306.25000000000006</v>
      </c>
      <c r="AD105" s="182">
        <f t="shared" si="42"/>
        <v>572.72727272727275</v>
      </c>
      <c r="AE105" s="180">
        <f t="shared" si="43"/>
        <v>45.81818181818182</v>
      </c>
      <c r="AF105" s="150">
        <f t="shared" si="44"/>
        <v>515.4545454545455</v>
      </c>
      <c r="AG105" s="150"/>
      <c r="AH105" s="150">
        <f t="shared" si="45"/>
        <v>600</v>
      </c>
      <c r="AI105" s="150">
        <f t="shared" si="53"/>
        <v>7759.431818181818</v>
      </c>
      <c r="AJ105" s="154">
        <f t="shared" si="46"/>
        <v>5738.5927840909098</v>
      </c>
      <c r="AK105" s="70">
        <f t="shared" si="47"/>
        <v>5725.1060795454559</v>
      </c>
      <c r="AL105" s="155">
        <f t="shared" si="48"/>
        <v>0.2294594594594595</v>
      </c>
      <c r="AM105" s="155">
        <f t="shared" si="49"/>
        <v>0.29799929799929803</v>
      </c>
    </row>
    <row r="106" spans="2:39" s="102" customFormat="1" ht="15.75" hidden="1" customHeight="1" x14ac:dyDescent="0.2">
      <c r="B106" s="174" t="s">
        <v>328</v>
      </c>
      <c r="C106" s="171" t="s">
        <v>109</v>
      </c>
      <c r="D106" s="103">
        <v>168</v>
      </c>
      <c r="E106" s="104" t="s">
        <v>76</v>
      </c>
      <c r="F106" s="92">
        <v>0</v>
      </c>
      <c r="G106" s="219">
        <f>IF(F106&gt;0,F106,
IF(B106&lt;&gt;"",
IF(C106="CLT",VLOOKUP(B106,'Lista Profissionais'!$C$11:$H$348,3,0),
VLOOKUP(B106,'Lista Profissionais'!$C$11:$H$348,6,0)), 0))</f>
        <v>8000</v>
      </c>
      <c r="H106" s="219">
        <f>IF(B106&lt;&gt;"",
IF(C106="CLT",
       22*$M$5 + (G106*'Lista Profissionais'!$G$9),0),0)</f>
        <v>2700</v>
      </c>
      <c r="I106" s="66">
        <f t="shared" si="27"/>
        <v>7636.363636363636</v>
      </c>
      <c r="J106" s="66">
        <f t="shared" si="28"/>
        <v>17415.60606060606</v>
      </c>
      <c r="K106" s="66">
        <f t="shared" si="29"/>
        <v>24825.946439393938</v>
      </c>
      <c r="L106" s="93">
        <f t="shared" si="50"/>
        <v>103.66432178932179</v>
      </c>
      <c r="M106" s="151"/>
      <c r="N106" s="152">
        <v>0</v>
      </c>
      <c r="O106" s="69">
        <f t="shared" si="30"/>
        <v>0</v>
      </c>
      <c r="P106" s="69">
        <f t="shared" si="31"/>
        <v>32218.871212121212</v>
      </c>
      <c r="Q106" s="70">
        <f t="shared" si="32"/>
        <v>32218.871212121212</v>
      </c>
      <c r="R106" s="153">
        <f t="shared" si="51"/>
        <v>0</v>
      </c>
      <c r="S106" s="70">
        <v>0</v>
      </c>
      <c r="T106" s="165">
        <f t="shared" si="33"/>
        <v>32218.871212121212</v>
      </c>
      <c r="U106" s="163">
        <f t="shared" si="34"/>
        <v>191.77899531024531</v>
      </c>
      <c r="V106" s="164">
        <f t="shared" si="52"/>
        <v>610.90909090909088</v>
      </c>
      <c r="W106" s="164">
        <f t="shared" si="35"/>
        <v>244.36363636363637</v>
      </c>
      <c r="X106" s="144">
        <f t="shared" si="36"/>
        <v>636.36363636363637</v>
      </c>
      <c r="Y106" s="150">
        <f t="shared" si="37"/>
        <v>212.12121212121212</v>
      </c>
      <c r="Z106" s="150">
        <f t="shared" si="38"/>
        <v>636.36363636363637</v>
      </c>
      <c r="AA106" s="150">
        <f t="shared" si="39"/>
        <v>2100</v>
      </c>
      <c r="AB106" s="182">
        <f t="shared" si="40"/>
        <v>118.7878787878788</v>
      </c>
      <c r="AC106" s="182">
        <f t="shared" si="41"/>
        <v>408.33333333333343</v>
      </c>
      <c r="AD106" s="182">
        <f t="shared" si="42"/>
        <v>763.63636363636363</v>
      </c>
      <c r="AE106" s="180">
        <f t="shared" si="43"/>
        <v>61.090909090909093</v>
      </c>
      <c r="AF106" s="150">
        <f t="shared" si="44"/>
        <v>687.27272727272725</v>
      </c>
      <c r="AG106" s="150"/>
      <c r="AH106" s="150">
        <f t="shared" si="45"/>
        <v>600</v>
      </c>
      <c r="AI106" s="150">
        <f t="shared" si="53"/>
        <v>9779.242424242424</v>
      </c>
      <c r="AJ106" s="154">
        <f t="shared" si="46"/>
        <v>7410.3403787878788</v>
      </c>
      <c r="AK106" s="70">
        <f t="shared" si="47"/>
        <v>7392.9247727272741</v>
      </c>
      <c r="AL106" s="155">
        <f t="shared" si="48"/>
        <v>0.2294594594594595</v>
      </c>
      <c r="AM106" s="155">
        <f t="shared" si="49"/>
        <v>0.29799929799929803</v>
      </c>
    </row>
    <row r="107" spans="2:39" s="102" customFormat="1" ht="15.75" hidden="1" customHeight="1" x14ac:dyDescent="0.2">
      <c r="B107" s="174" t="s">
        <v>329</v>
      </c>
      <c r="C107" s="171" t="s">
        <v>109</v>
      </c>
      <c r="D107" s="103">
        <v>168</v>
      </c>
      <c r="E107" s="104" t="s">
        <v>76</v>
      </c>
      <c r="F107" s="92">
        <v>0</v>
      </c>
      <c r="G107" s="219" t="e">
        <f>IF(F107&gt;0,F107,
IF(B107&lt;&gt;"",
IF(C107="CLT",VLOOKUP(B107,'Lista Profissionais'!$C$11:$H$348,3,0),
VLOOKUP(B107,'Lista Profissionais'!$C$11:$H$348,6,0)), 0))</f>
        <v>#N/A</v>
      </c>
      <c r="H107" s="219" t="e">
        <f>IF(B107&lt;&gt;"",
IF(C107="CLT",
       22*$M$5 + (G107*'Lista Profissionais'!$G$9),0),0)</f>
        <v>#N/A</v>
      </c>
      <c r="I107" s="66" t="e">
        <f t="shared" si="27"/>
        <v>#N/A</v>
      </c>
      <c r="J107" s="66" t="e">
        <f t="shared" si="28"/>
        <v>#N/A</v>
      </c>
      <c r="K107" s="66" t="e">
        <f t="shared" si="29"/>
        <v>#N/A</v>
      </c>
      <c r="L107" s="93" t="e">
        <f t="shared" si="50"/>
        <v>#N/A</v>
      </c>
      <c r="M107" s="151"/>
      <c r="N107" s="152">
        <v>0</v>
      </c>
      <c r="O107" s="69" t="e">
        <f t="shared" si="30"/>
        <v>#N/A</v>
      </c>
      <c r="P107" s="69" t="e">
        <f t="shared" si="31"/>
        <v>#N/A</v>
      </c>
      <c r="Q107" s="70" t="e">
        <f t="shared" si="32"/>
        <v>#N/A</v>
      </c>
      <c r="R107" s="153" t="e">
        <f t="shared" si="51"/>
        <v>#N/A</v>
      </c>
      <c r="S107" s="70">
        <v>0</v>
      </c>
      <c r="T107" s="165" t="e">
        <f t="shared" si="33"/>
        <v>#N/A</v>
      </c>
      <c r="U107" s="163" t="e">
        <f t="shared" si="34"/>
        <v>#N/A</v>
      </c>
      <c r="V107" s="164" t="e">
        <f t="shared" si="52"/>
        <v>#N/A</v>
      </c>
      <c r="W107" s="164" t="e">
        <f t="shared" si="35"/>
        <v>#N/A</v>
      </c>
      <c r="X107" s="144" t="e">
        <f t="shared" si="36"/>
        <v>#N/A</v>
      </c>
      <c r="Y107" s="150" t="e">
        <f t="shared" si="37"/>
        <v>#N/A</v>
      </c>
      <c r="Z107" s="150" t="e">
        <f t="shared" si="38"/>
        <v>#N/A</v>
      </c>
      <c r="AA107" s="150" t="e">
        <f t="shared" si="39"/>
        <v>#N/A</v>
      </c>
      <c r="AB107" s="182" t="e">
        <f t="shared" si="40"/>
        <v>#N/A</v>
      </c>
      <c r="AC107" s="182" t="e">
        <f t="shared" si="41"/>
        <v>#N/A</v>
      </c>
      <c r="AD107" s="182" t="e">
        <f t="shared" si="42"/>
        <v>#N/A</v>
      </c>
      <c r="AE107" s="180" t="e">
        <f t="shared" si="43"/>
        <v>#N/A</v>
      </c>
      <c r="AF107" s="150" t="e">
        <f t="shared" si="44"/>
        <v>#N/A</v>
      </c>
      <c r="AG107" s="150"/>
      <c r="AH107" s="150">
        <f t="shared" si="45"/>
        <v>600</v>
      </c>
      <c r="AI107" s="150" t="e">
        <f t="shared" si="53"/>
        <v>#N/A</v>
      </c>
      <c r="AJ107" s="154" t="e">
        <f t="shared" si="46"/>
        <v>#N/A</v>
      </c>
      <c r="AK107" s="70" t="e">
        <f t="shared" si="47"/>
        <v>#N/A</v>
      </c>
      <c r="AL107" s="155" t="e">
        <f t="shared" si="48"/>
        <v>#N/A</v>
      </c>
      <c r="AM107" s="155" t="e">
        <f t="shared" si="49"/>
        <v>#N/A</v>
      </c>
    </row>
    <row r="108" spans="2:39" s="102" customFormat="1" ht="15.75" hidden="1" customHeight="1" x14ac:dyDescent="0.2">
      <c r="B108" s="174" t="s">
        <v>330</v>
      </c>
      <c r="C108" s="171" t="s">
        <v>109</v>
      </c>
      <c r="D108" s="103">
        <v>168</v>
      </c>
      <c r="E108" s="104" t="s">
        <v>76</v>
      </c>
      <c r="F108" s="92">
        <v>0</v>
      </c>
      <c r="G108" s="219" t="e">
        <f>IF(F108&gt;0,F108,
IF(B108&lt;&gt;"",
IF(C108="CLT",VLOOKUP(B108,'Lista Profissionais'!$C$11:$H$348,3,0),
VLOOKUP(B108,'Lista Profissionais'!$C$11:$H$348,6,0)), 0))</f>
        <v>#N/A</v>
      </c>
      <c r="H108" s="219" t="e">
        <f>IF(B108&lt;&gt;"",
IF(C108="CLT",
       22*$M$5 + (G108*'Lista Profissionais'!$G$9),0),0)</f>
        <v>#N/A</v>
      </c>
      <c r="I108" s="66" t="e">
        <f t="shared" si="27"/>
        <v>#N/A</v>
      </c>
      <c r="J108" s="66" t="e">
        <f t="shared" si="28"/>
        <v>#N/A</v>
      </c>
      <c r="K108" s="66" t="e">
        <f t="shared" si="29"/>
        <v>#N/A</v>
      </c>
      <c r="L108" s="93" t="e">
        <f t="shared" si="50"/>
        <v>#N/A</v>
      </c>
      <c r="M108" s="151"/>
      <c r="N108" s="152">
        <v>0</v>
      </c>
      <c r="O108" s="69" t="e">
        <f t="shared" si="30"/>
        <v>#N/A</v>
      </c>
      <c r="P108" s="69" t="e">
        <f t="shared" si="31"/>
        <v>#N/A</v>
      </c>
      <c r="Q108" s="70" t="e">
        <f t="shared" si="32"/>
        <v>#N/A</v>
      </c>
      <c r="R108" s="153" t="e">
        <f t="shared" si="51"/>
        <v>#N/A</v>
      </c>
      <c r="S108" s="70">
        <v>0</v>
      </c>
      <c r="T108" s="165" t="e">
        <f t="shared" si="33"/>
        <v>#N/A</v>
      </c>
      <c r="U108" s="163" t="e">
        <f t="shared" si="34"/>
        <v>#N/A</v>
      </c>
      <c r="V108" s="164" t="e">
        <f t="shared" si="52"/>
        <v>#N/A</v>
      </c>
      <c r="W108" s="164" t="e">
        <f t="shared" si="35"/>
        <v>#N/A</v>
      </c>
      <c r="X108" s="144" t="e">
        <f t="shared" si="36"/>
        <v>#N/A</v>
      </c>
      <c r="Y108" s="150" t="e">
        <f t="shared" si="37"/>
        <v>#N/A</v>
      </c>
      <c r="Z108" s="150" t="e">
        <f t="shared" si="38"/>
        <v>#N/A</v>
      </c>
      <c r="AA108" s="150" t="e">
        <f t="shared" si="39"/>
        <v>#N/A</v>
      </c>
      <c r="AB108" s="182" t="e">
        <f t="shared" si="40"/>
        <v>#N/A</v>
      </c>
      <c r="AC108" s="182" t="e">
        <f t="shared" si="41"/>
        <v>#N/A</v>
      </c>
      <c r="AD108" s="182" t="e">
        <f t="shared" si="42"/>
        <v>#N/A</v>
      </c>
      <c r="AE108" s="180" t="e">
        <f t="shared" si="43"/>
        <v>#N/A</v>
      </c>
      <c r="AF108" s="150" t="e">
        <f t="shared" si="44"/>
        <v>#N/A</v>
      </c>
      <c r="AG108" s="150"/>
      <c r="AH108" s="150">
        <f t="shared" si="45"/>
        <v>600</v>
      </c>
      <c r="AI108" s="150" t="e">
        <f t="shared" si="53"/>
        <v>#N/A</v>
      </c>
      <c r="AJ108" s="154" t="e">
        <f t="shared" si="46"/>
        <v>#N/A</v>
      </c>
      <c r="AK108" s="70" t="e">
        <f t="shared" si="47"/>
        <v>#N/A</v>
      </c>
      <c r="AL108" s="155" t="e">
        <f t="shared" si="48"/>
        <v>#N/A</v>
      </c>
      <c r="AM108" s="155" t="e">
        <f t="shared" si="49"/>
        <v>#N/A</v>
      </c>
    </row>
    <row r="109" spans="2:39" s="102" customFormat="1" ht="15.75" hidden="1" customHeight="1" x14ac:dyDescent="0.2">
      <c r="B109" s="174" t="s">
        <v>331</v>
      </c>
      <c r="C109" s="171" t="s">
        <v>109</v>
      </c>
      <c r="D109" s="103">
        <v>168</v>
      </c>
      <c r="E109" s="104" t="s">
        <v>76</v>
      </c>
      <c r="F109" s="92">
        <v>0</v>
      </c>
      <c r="G109" s="219" t="e">
        <f>IF(F109&gt;0,F109,
IF(B109&lt;&gt;"",
IF(C109="CLT",VLOOKUP(B109,'Lista Profissionais'!$C$11:$H$348,3,0),
VLOOKUP(B109,'Lista Profissionais'!$C$11:$H$348,6,0)), 0))</f>
        <v>#N/A</v>
      </c>
      <c r="H109" s="219" t="e">
        <f>IF(B109&lt;&gt;"",
IF(C109="CLT",
       22*$M$5 + (G109*'Lista Profissionais'!$G$9),0),0)</f>
        <v>#N/A</v>
      </c>
      <c r="I109" s="66" t="e">
        <f t="shared" si="27"/>
        <v>#N/A</v>
      </c>
      <c r="J109" s="66" t="e">
        <f t="shared" si="28"/>
        <v>#N/A</v>
      </c>
      <c r="K109" s="66" t="e">
        <f t="shared" si="29"/>
        <v>#N/A</v>
      </c>
      <c r="L109" s="93" t="e">
        <f t="shared" si="50"/>
        <v>#N/A</v>
      </c>
      <c r="M109" s="151"/>
      <c r="N109" s="152">
        <v>0</v>
      </c>
      <c r="O109" s="69" t="e">
        <f t="shared" si="30"/>
        <v>#N/A</v>
      </c>
      <c r="P109" s="69" t="e">
        <f t="shared" si="31"/>
        <v>#N/A</v>
      </c>
      <c r="Q109" s="70" t="e">
        <f t="shared" si="32"/>
        <v>#N/A</v>
      </c>
      <c r="R109" s="153" t="e">
        <f t="shared" si="51"/>
        <v>#N/A</v>
      </c>
      <c r="S109" s="70">
        <v>0</v>
      </c>
      <c r="T109" s="165" t="e">
        <f t="shared" si="33"/>
        <v>#N/A</v>
      </c>
      <c r="U109" s="163" t="e">
        <f t="shared" si="34"/>
        <v>#N/A</v>
      </c>
      <c r="V109" s="164" t="e">
        <f t="shared" si="52"/>
        <v>#N/A</v>
      </c>
      <c r="W109" s="164" t="e">
        <f t="shared" si="35"/>
        <v>#N/A</v>
      </c>
      <c r="X109" s="144" t="e">
        <f t="shared" si="36"/>
        <v>#N/A</v>
      </c>
      <c r="Y109" s="150" t="e">
        <f t="shared" si="37"/>
        <v>#N/A</v>
      </c>
      <c r="Z109" s="150" t="e">
        <f t="shared" si="38"/>
        <v>#N/A</v>
      </c>
      <c r="AA109" s="150" t="e">
        <f t="shared" si="39"/>
        <v>#N/A</v>
      </c>
      <c r="AB109" s="182" t="e">
        <f t="shared" si="40"/>
        <v>#N/A</v>
      </c>
      <c r="AC109" s="182" t="e">
        <f t="shared" si="41"/>
        <v>#N/A</v>
      </c>
      <c r="AD109" s="182" t="e">
        <f t="shared" si="42"/>
        <v>#N/A</v>
      </c>
      <c r="AE109" s="180" t="e">
        <f t="shared" si="43"/>
        <v>#N/A</v>
      </c>
      <c r="AF109" s="150" t="e">
        <f t="shared" si="44"/>
        <v>#N/A</v>
      </c>
      <c r="AG109" s="150"/>
      <c r="AH109" s="150">
        <f t="shared" si="45"/>
        <v>600</v>
      </c>
      <c r="AI109" s="150" t="e">
        <f t="shared" si="53"/>
        <v>#N/A</v>
      </c>
      <c r="AJ109" s="154" t="e">
        <f t="shared" si="46"/>
        <v>#N/A</v>
      </c>
      <c r="AK109" s="70" t="e">
        <f t="shared" si="47"/>
        <v>#N/A</v>
      </c>
      <c r="AL109" s="155" t="e">
        <f t="shared" si="48"/>
        <v>#N/A</v>
      </c>
      <c r="AM109" s="155" t="e">
        <f t="shared" si="49"/>
        <v>#N/A</v>
      </c>
    </row>
    <row r="110" spans="2:39" s="102" customFormat="1" ht="15.75" hidden="1" customHeight="1" x14ac:dyDescent="0.2">
      <c r="B110" s="174" t="s">
        <v>332</v>
      </c>
      <c r="C110" s="171" t="s">
        <v>109</v>
      </c>
      <c r="D110" s="103">
        <v>168</v>
      </c>
      <c r="E110" s="104" t="s">
        <v>76</v>
      </c>
      <c r="F110" s="92">
        <v>0</v>
      </c>
      <c r="G110" s="219" t="e">
        <f>IF(F110&gt;0,F110,
IF(B110&lt;&gt;"",
IF(C110="CLT",VLOOKUP(B110,'Lista Profissionais'!$C$11:$H$348,3,0),
VLOOKUP(B110,'Lista Profissionais'!$C$11:$H$348,6,0)), 0))</f>
        <v>#N/A</v>
      </c>
      <c r="H110" s="219" t="e">
        <f>IF(B110&lt;&gt;"",
IF(C110="CLT",
       22*$M$5 + (G110*'Lista Profissionais'!$G$9),0),0)</f>
        <v>#N/A</v>
      </c>
      <c r="I110" s="66" t="e">
        <f t="shared" si="27"/>
        <v>#N/A</v>
      </c>
      <c r="J110" s="66" t="e">
        <f t="shared" si="28"/>
        <v>#N/A</v>
      </c>
      <c r="K110" s="66" t="e">
        <f t="shared" si="29"/>
        <v>#N/A</v>
      </c>
      <c r="L110" s="93" t="e">
        <f t="shared" si="50"/>
        <v>#N/A</v>
      </c>
      <c r="M110" s="151"/>
      <c r="N110" s="152">
        <v>0</v>
      </c>
      <c r="O110" s="69" t="e">
        <f t="shared" si="30"/>
        <v>#N/A</v>
      </c>
      <c r="P110" s="69" t="e">
        <f t="shared" si="31"/>
        <v>#N/A</v>
      </c>
      <c r="Q110" s="70" t="e">
        <f t="shared" si="32"/>
        <v>#N/A</v>
      </c>
      <c r="R110" s="153" t="e">
        <f t="shared" si="51"/>
        <v>#N/A</v>
      </c>
      <c r="S110" s="70">
        <v>0</v>
      </c>
      <c r="T110" s="165" t="e">
        <f t="shared" si="33"/>
        <v>#N/A</v>
      </c>
      <c r="U110" s="163" t="e">
        <f t="shared" si="34"/>
        <v>#N/A</v>
      </c>
      <c r="V110" s="164" t="e">
        <f t="shared" si="52"/>
        <v>#N/A</v>
      </c>
      <c r="W110" s="164" t="e">
        <f t="shared" si="35"/>
        <v>#N/A</v>
      </c>
      <c r="X110" s="144" t="e">
        <f t="shared" si="36"/>
        <v>#N/A</v>
      </c>
      <c r="Y110" s="150" t="e">
        <f t="shared" si="37"/>
        <v>#N/A</v>
      </c>
      <c r="Z110" s="150" t="e">
        <f t="shared" si="38"/>
        <v>#N/A</v>
      </c>
      <c r="AA110" s="150" t="e">
        <f t="shared" si="39"/>
        <v>#N/A</v>
      </c>
      <c r="AB110" s="182" t="e">
        <f t="shared" si="40"/>
        <v>#N/A</v>
      </c>
      <c r="AC110" s="182" t="e">
        <f t="shared" si="41"/>
        <v>#N/A</v>
      </c>
      <c r="AD110" s="182" t="e">
        <f t="shared" si="42"/>
        <v>#N/A</v>
      </c>
      <c r="AE110" s="180" t="e">
        <f t="shared" si="43"/>
        <v>#N/A</v>
      </c>
      <c r="AF110" s="150" t="e">
        <f t="shared" si="44"/>
        <v>#N/A</v>
      </c>
      <c r="AG110" s="150"/>
      <c r="AH110" s="150">
        <f t="shared" si="45"/>
        <v>600</v>
      </c>
      <c r="AI110" s="150" t="e">
        <f t="shared" si="53"/>
        <v>#N/A</v>
      </c>
      <c r="AJ110" s="154" t="e">
        <f t="shared" si="46"/>
        <v>#N/A</v>
      </c>
      <c r="AK110" s="70" t="e">
        <f t="shared" si="47"/>
        <v>#N/A</v>
      </c>
      <c r="AL110" s="155" t="e">
        <f t="shared" si="48"/>
        <v>#N/A</v>
      </c>
      <c r="AM110" s="155" t="e">
        <f t="shared" si="49"/>
        <v>#N/A</v>
      </c>
    </row>
    <row r="111" spans="2:39" s="102" customFormat="1" ht="15.75" hidden="1" customHeight="1" x14ac:dyDescent="0.2">
      <c r="B111" s="174" t="s">
        <v>333</v>
      </c>
      <c r="C111" s="171" t="s">
        <v>109</v>
      </c>
      <c r="D111" s="103">
        <v>168</v>
      </c>
      <c r="E111" s="104" t="s">
        <v>76</v>
      </c>
      <c r="F111" s="92">
        <v>0</v>
      </c>
      <c r="G111" s="219">
        <f>IF(F111&gt;0,F111,
IF(B111&lt;&gt;"",
IF(C111="CLT",VLOOKUP(B111,'Lista Profissionais'!$C$11:$H$348,3,0),
VLOOKUP(B111,'Lista Profissionais'!$C$11:$H$348,6,0)), 0))</f>
        <v>3600</v>
      </c>
      <c r="H111" s="219">
        <f>IF(B111&lt;&gt;"",
IF(C111="CLT",
       22*$M$5 + (G111*'Lista Profissionais'!$G$9),0),0)</f>
        <v>1820</v>
      </c>
      <c r="I111" s="66">
        <f t="shared" si="27"/>
        <v>3436.363636363636</v>
      </c>
      <c r="J111" s="66">
        <f t="shared" si="28"/>
        <v>8772.0227272727261</v>
      </c>
      <c r="K111" s="66">
        <f t="shared" si="29"/>
        <v>12504.518397727272</v>
      </c>
      <c r="L111" s="93">
        <f t="shared" si="50"/>
        <v>52.214420995670991</v>
      </c>
      <c r="M111" s="151"/>
      <c r="N111" s="152">
        <v>0</v>
      </c>
      <c r="O111" s="69">
        <f t="shared" si="30"/>
        <v>0</v>
      </c>
      <c r="P111" s="69">
        <f t="shared" si="31"/>
        <v>16228.242045454544</v>
      </c>
      <c r="Q111" s="70">
        <f t="shared" si="32"/>
        <v>16228.242045454544</v>
      </c>
      <c r="R111" s="153">
        <f t="shared" si="51"/>
        <v>0</v>
      </c>
      <c r="S111" s="70">
        <v>0</v>
      </c>
      <c r="T111" s="165">
        <f t="shared" si="33"/>
        <v>16228.242045454544</v>
      </c>
      <c r="U111" s="163">
        <f t="shared" si="34"/>
        <v>96.596678841991334</v>
      </c>
      <c r="V111" s="164">
        <f t="shared" si="52"/>
        <v>274.90909090909088</v>
      </c>
      <c r="W111" s="164">
        <f t="shared" si="35"/>
        <v>109.96363636363635</v>
      </c>
      <c r="X111" s="144">
        <f t="shared" si="36"/>
        <v>286.36363636363632</v>
      </c>
      <c r="Y111" s="150">
        <f t="shared" si="37"/>
        <v>95.454545454545439</v>
      </c>
      <c r="Z111" s="150">
        <f t="shared" si="38"/>
        <v>286.36363636363632</v>
      </c>
      <c r="AA111" s="150">
        <f t="shared" si="39"/>
        <v>945</v>
      </c>
      <c r="AB111" s="182">
        <f t="shared" si="40"/>
        <v>53.454545454545439</v>
      </c>
      <c r="AC111" s="182">
        <f t="shared" si="41"/>
        <v>183.74999999999997</v>
      </c>
      <c r="AD111" s="182">
        <f t="shared" si="42"/>
        <v>343.63636363636363</v>
      </c>
      <c r="AE111" s="180">
        <f t="shared" si="43"/>
        <v>27.490909090909092</v>
      </c>
      <c r="AF111" s="150">
        <f t="shared" si="44"/>
        <v>309.27272727272725</v>
      </c>
      <c r="AG111" s="150"/>
      <c r="AH111" s="150">
        <f t="shared" si="45"/>
        <v>600</v>
      </c>
      <c r="AI111" s="150">
        <f t="shared" si="53"/>
        <v>5335.6590909090901</v>
      </c>
      <c r="AJ111" s="154">
        <f t="shared" si="46"/>
        <v>3732.4956704545452</v>
      </c>
      <c r="AK111" s="70">
        <f t="shared" si="47"/>
        <v>3723.7236477272727</v>
      </c>
      <c r="AL111" s="155">
        <f t="shared" si="48"/>
        <v>0.22945945945945947</v>
      </c>
      <c r="AM111" s="155">
        <f t="shared" si="49"/>
        <v>0.29799929799929803</v>
      </c>
    </row>
    <row r="112" spans="2:39" s="102" customFormat="1" ht="15.75" hidden="1" customHeight="1" x14ac:dyDescent="0.2">
      <c r="B112" s="174" t="s">
        <v>334</v>
      </c>
      <c r="C112" s="171" t="s">
        <v>109</v>
      </c>
      <c r="D112" s="103">
        <v>168</v>
      </c>
      <c r="E112" s="104" t="s">
        <v>76</v>
      </c>
      <c r="F112" s="92">
        <v>0</v>
      </c>
      <c r="G112" s="219">
        <f>IF(F112&gt;0,F112,
IF(B112&lt;&gt;"",
IF(C112="CLT",VLOOKUP(B112,'Lista Profissionais'!$C$11:$H$348,3,0),
VLOOKUP(B112,'Lista Profissionais'!$C$11:$H$348,6,0)), 0))</f>
        <v>6400</v>
      </c>
      <c r="H112" s="219">
        <f>IF(B112&lt;&gt;"",
IF(C112="CLT",
       22*$M$5 + (G112*'Lista Profissionais'!$G$9),0),0)</f>
        <v>2380</v>
      </c>
      <c r="I112" s="66">
        <f t="shared" si="27"/>
        <v>6109.0909090909099</v>
      </c>
      <c r="J112" s="66">
        <f t="shared" si="28"/>
        <v>14272.484848484852</v>
      </c>
      <c r="K112" s="66">
        <f t="shared" si="29"/>
        <v>20345.427151515156</v>
      </c>
      <c r="L112" s="93">
        <f t="shared" si="50"/>
        <v>84.955266955266978</v>
      </c>
      <c r="M112" s="151"/>
      <c r="N112" s="152">
        <v>0</v>
      </c>
      <c r="O112" s="69">
        <f t="shared" si="30"/>
        <v>0</v>
      </c>
      <c r="P112" s="69">
        <f t="shared" si="31"/>
        <v>26404.096969696977</v>
      </c>
      <c r="Q112" s="70">
        <f t="shared" si="32"/>
        <v>26404.096969696977</v>
      </c>
      <c r="R112" s="153">
        <f t="shared" si="51"/>
        <v>0</v>
      </c>
      <c r="S112" s="70">
        <v>0</v>
      </c>
      <c r="T112" s="165">
        <f t="shared" si="33"/>
        <v>26404.096969696977</v>
      </c>
      <c r="U112" s="163">
        <f t="shared" si="34"/>
        <v>157.16724386724391</v>
      </c>
      <c r="V112" s="164">
        <f t="shared" si="52"/>
        <v>488.7272727272728</v>
      </c>
      <c r="W112" s="164">
        <f t="shared" si="35"/>
        <v>195.49090909090913</v>
      </c>
      <c r="X112" s="144">
        <f t="shared" si="36"/>
        <v>509.09090909090918</v>
      </c>
      <c r="Y112" s="150">
        <f t="shared" si="37"/>
        <v>169.69696969696972</v>
      </c>
      <c r="Z112" s="150">
        <f t="shared" si="38"/>
        <v>509.09090909090918</v>
      </c>
      <c r="AA112" s="150">
        <f t="shared" si="39"/>
        <v>1680.0000000000005</v>
      </c>
      <c r="AB112" s="182">
        <f t="shared" si="40"/>
        <v>95.030303030303045</v>
      </c>
      <c r="AC112" s="182">
        <f t="shared" si="41"/>
        <v>326.66666666666674</v>
      </c>
      <c r="AD112" s="182">
        <f t="shared" si="42"/>
        <v>610.90909090909099</v>
      </c>
      <c r="AE112" s="180">
        <f t="shared" si="43"/>
        <v>48.872727272727282</v>
      </c>
      <c r="AF112" s="150">
        <f t="shared" si="44"/>
        <v>549.81818181818187</v>
      </c>
      <c r="AG112" s="150"/>
      <c r="AH112" s="150">
        <f t="shared" si="45"/>
        <v>600</v>
      </c>
      <c r="AI112" s="150">
        <f t="shared" si="53"/>
        <v>8163.3939393939409</v>
      </c>
      <c r="AJ112" s="154">
        <f t="shared" si="46"/>
        <v>6072.9423030303051</v>
      </c>
      <c r="AK112" s="70">
        <f t="shared" si="47"/>
        <v>6058.669818181821</v>
      </c>
      <c r="AL112" s="155">
        <f t="shared" si="48"/>
        <v>0.2294594594594595</v>
      </c>
      <c r="AM112" s="155">
        <f t="shared" si="49"/>
        <v>0.29799929799929803</v>
      </c>
    </row>
    <row r="113" spans="2:39" s="102" customFormat="1" ht="15.75" hidden="1" customHeight="1" x14ac:dyDescent="0.2">
      <c r="B113" s="174" t="s">
        <v>335</v>
      </c>
      <c r="C113" s="171" t="s">
        <v>109</v>
      </c>
      <c r="D113" s="103">
        <v>168</v>
      </c>
      <c r="E113" s="104" t="s">
        <v>76</v>
      </c>
      <c r="F113" s="92">
        <v>0</v>
      </c>
      <c r="G113" s="219">
        <f>IF(F113&gt;0,F113,
IF(B113&lt;&gt;"",
IF(C113="CLT",VLOOKUP(B113,'Lista Profissionais'!$C$11:$H$348,3,0),
VLOOKUP(B113,'Lista Profissionais'!$C$11:$H$348,6,0)), 0))</f>
        <v>8400</v>
      </c>
      <c r="H113" s="219">
        <f>IF(B113&lt;&gt;"",
IF(C113="CLT",
       22*$M$5 + (G113*'Lista Profissionais'!$G$9),0),0)</f>
        <v>2780</v>
      </c>
      <c r="I113" s="66">
        <f t="shared" si="27"/>
        <v>8018.181818181818</v>
      </c>
      <c r="J113" s="66">
        <f t="shared" si="28"/>
        <v>18201.386363636364</v>
      </c>
      <c r="K113" s="66">
        <f t="shared" si="29"/>
        <v>25946.076261363636</v>
      </c>
      <c r="L113" s="93">
        <f t="shared" si="50"/>
        <v>108.3415854978355</v>
      </c>
      <c r="M113" s="151"/>
      <c r="N113" s="152">
        <v>0</v>
      </c>
      <c r="O113" s="69">
        <f t="shared" si="30"/>
        <v>0</v>
      </c>
      <c r="P113" s="69">
        <f t="shared" si="31"/>
        <v>33672.564772727274</v>
      </c>
      <c r="Q113" s="70">
        <f t="shared" si="32"/>
        <v>33672.564772727274</v>
      </c>
      <c r="R113" s="153">
        <f t="shared" si="51"/>
        <v>0</v>
      </c>
      <c r="S113" s="70">
        <v>0</v>
      </c>
      <c r="T113" s="165">
        <f t="shared" si="33"/>
        <v>33672.564772727274</v>
      </c>
      <c r="U113" s="163">
        <f t="shared" si="34"/>
        <v>200.43193317099568</v>
      </c>
      <c r="V113" s="164">
        <f t="shared" si="52"/>
        <v>641.4545454545455</v>
      </c>
      <c r="W113" s="164">
        <f t="shared" si="35"/>
        <v>256.58181818181822</v>
      </c>
      <c r="X113" s="144">
        <f t="shared" si="36"/>
        <v>668.18181818181813</v>
      </c>
      <c r="Y113" s="150">
        <f t="shared" si="37"/>
        <v>222.72727272727272</v>
      </c>
      <c r="Z113" s="150">
        <f t="shared" si="38"/>
        <v>668.18181818181813</v>
      </c>
      <c r="AA113" s="150">
        <f t="shared" si="39"/>
        <v>2205</v>
      </c>
      <c r="AB113" s="182">
        <f t="shared" si="40"/>
        <v>124.72727272727272</v>
      </c>
      <c r="AC113" s="182">
        <f t="shared" si="41"/>
        <v>428.75</v>
      </c>
      <c r="AD113" s="182">
        <f t="shared" si="42"/>
        <v>801.81818181818176</v>
      </c>
      <c r="AE113" s="180">
        <f t="shared" si="43"/>
        <v>64.145454545454541</v>
      </c>
      <c r="AF113" s="150">
        <f t="shared" si="44"/>
        <v>721.63636363636363</v>
      </c>
      <c r="AG113" s="150"/>
      <c r="AH113" s="150">
        <f t="shared" si="45"/>
        <v>600</v>
      </c>
      <c r="AI113" s="150">
        <f t="shared" si="53"/>
        <v>10183.204545454546</v>
      </c>
      <c r="AJ113" s="154">
        <f t="shared" si="46"/>
        <v>7744.6898977272731</v>
      </c>
      <c r="AK113" s="70">
        <f t="shared" si="47"/>
        <v>7726.4885113636374</v>
      </c>
      <c r="AL113" s="155">
        <f t="shared" si="48"/>
        <v>0.22945945945945947</v>
      </c>
      <c r="AM113" s="155">
        <f t="shared" si="49"/>
        <v>0.29799929799929803</v>
      </c>
    </row>
    <row r="114" spans="2:39" s="102" customFormat="1" ht="15.75" hidden="1" customHeight="1" x14ac:dyDescent="0.2">
      <c r="B114" s="174" t="s">
        <v>361</v>
      </c>
      <c r="C114" s="171" t="s">
        <v>109</v>
      </c>
      <c r="D114" s="103">
        <v>168</v>
      </c>
      <c r="E114" s="104" t="s">
        <v>76</v>
      </c>
      <c r="F114" s="92">
        <v>0</v>
      </c>
      <c r="G114" s="219">
        <f>IF(F114&gt;0,F114,
IF(B114&lt;&gt;"",
IF(C114="CLT",VLOOKUP(B114,'Lista Profissionais'!$C$11:$H$348,3,0),
VLOOKUP(B114,'Lista Profissionais'!$C$11:$H$348,6,0)), 0))</f>
        <v>12800</v>
      </c>
      <c r="H114" s="219">
        <f>IF(B114&lt;&gt;"",
IF(C114="CLT",
       22*$M$5 + (G114*'Lista Profissionais'!$G$9),0),0)</f>
        <v>3660</v>
      </c>
      <c r="I114" s="66">
        <f t="shared" si="27"/>
        <v>12218.18181818182</v>
      </c>
      <c r="J114" s="66">
        <f t="shared" si="28"/>
        <v>26844.969696969703</v>
      </c>
      <c r="K114" s="66">
        <f t="shared" si="29"/>
        <v>38267.504303030313</v>
      </c>
      <c r="L114" s="93">
        <f t="shared" si="50"/>
        <v>159.79148629148634</v>
      </c>
      <c r="M114" s="151"/>
      <c r="N114" s="152">
        <v>0</v>
      </c>
      <c r="O114" s="69">
        <f t="shared" si="30"/>
        <v>0</v>
      </c>
      <c r="P114" s="69">
        <f t="shared" si="31"/>
        <v>49663.193939393954</v>
      </c>
      <c r="Q114" s="70">
        <f t="shared" si="32"/>
        <v>49663.193939393954</v>
      </c>
      <c r="R114" s="153">
        <f t="shared" si="51"/>
        <v>0</v>
      </c>
      <c r="S114" s="70">
        <v>0</v>
      </c>
      <c r="T114" s="165">
        <f t="shared" si="33"/>
        <v>49663.193939393954</v>
      </c>
      <c r="U114" s="163">
        <f t="shared" si="34"/>
        <v>295.61424963924975</v>
      </c>
      <c r="V114" s="164">
        <f t="shared" si="52"/>
        <v>977.45454545454561</v>
      </c>
      <c r="W114" s="164">
        <f t="shared" si="35"/>
        <v>390.98181818181826</v>
      </c>
      <c r="X114" s="144">
        <f t="shared" si="36"/>
        <v>1018.1818181818184</v>
      </c>
      <c r="Y114" s="150">
        <f t="shared" si="37"/>
        <v>339.39393939393943</v>
      </c>
      <c r="Z114" s="150">
        <f t="shared" si="38"/>
        <v>1018.1818181818184</v>
      </c>
      <c r="AA114" s="150">
        <f t="shared" si="39"/>
        <v>3360.0000000000009</v>
      </c>
      <c r="AB114" s="182">
        <f t="shared" si="40"/>
        <v>190.06060606060609</v>
      </c>
      <c r="AC114" s="182">
        <f t="shared" si="41"/>
        <v>653.33333333333348</v>
      </c>
      <c r="AD114" s="182">
        <f t="shared" si="42"/>
        <v>1221.818181818182</v>
      </c>
      <c r="AE114" s="180">
        <f t="shared" si="43"/>
        <v>97.745454545454564</v>
      </c>
      <c r="AF114" s="150">
        <f t="shared" si="44"/>
        <v>1099.6363636363637</v>
      </c>
      <c r="AG114" s="150"/>
      <c r="AH114" s="150">
        <f t="shared" si="45"/>
        <v>600</v>
      </c>
      <c r="AI114" s="150">
        <f t="shared" si="53"/>
        <v>14626.787878787882</v>
      </c>
      <c r="AJ114" s="154">
        <f t="shared" si="46"/>
        <v>11422.53460606061</v>
      </c>
      <c r="AK114" s="70">
        <f t="shared" si="47"/>
        <v>11395.689636363641</v>
      </c>
      <c r="AL114" s="155">
        <f t="shared" si="48"/>
        <v>0.22945945945945947</v>
      </c>
      <c r="AM114" s="155">
        <f t="shared" si="49"/>
        <v>0.29799929799929803</v>
      </c>
    </row>
    <row r="115" spans="2:39" s="102" customFormat="1" ht="15.75" hidden="1" customHeight="1" x14ac:dyDescent="0.2">
      <c r="B115" s="174" t="s">
        <v>362</v>
      </c>
      <c r="C115" s="171" t="s">
        <v>109</v>
      </c>
      <c r="D115" s="103">
        <v>168</v>
      </c>
      <c r="E115" s="104" t="s">
        <v>76</v>
      </c>
      <c r="F115" s="92">
        <v>0</v>
      </c>
      <c r="G115" s="219">
        <f>IF(F115&gt;0,F115,
IF(B115&lt;&gt;"",
IF(C115="CLT",VLOOKUP(B115,'Lista Profissionais'!$C$11:$H$348,3,0),
VLOOKUP(B115,'Lista Profissionais'!$C$11:$H$348,6,0)), 0))</f>
        <v>4800</v>
      </c>
      <c r="H115" s="219">
        <f>IF(B115&lt;&gt;"",
IF(C115="CLT",
       22*$M$5 + (G115*'Lista Profissionais'!$G$9),0),0)</f>
        <v>2060</v>
      </c>
      <c r="I115" s="66">
        <f t="shared" si="27"/>
        <v>4581.818181818182</v>
      </c>
      <c r="J115" s="66">
        <f t="shared" si="28"/>
        <v>11129.363636363636</v>
      </c>
      <c r="K115" s="66">
        <f t="shared" si="29"/>
        <v>15864.907863636363</v>
      </c>
      <c r="L115" s="93">
        <f t="shared" si="50"/>
        <v>66.246212121212125</v>
      </c>
      <c r="M115" s="151"/>
      <c r="N115" s="152">
        <v>0</v>
      </c>
      <c r="O115" s="69">
        <f t="shared" si="30"/>
        <v>0</v>
      </c>
      <c r="P115" s="69">
        <f t="shared" si="31"/>
        <v>20589.322727272727</v>
      </c>
      <c r="Q115" s="70">
        <f t="shared" si="32"/>
        <v>20589.322727272727</v>
      </c>
      <c r="R115" s="153">
        <f t="shared" si="51"/>
        <v>0</v>
      </c>
      <c r="S115" s="70">
        <v>0</v>
      </c>
      <c r="T115" s="165">
        <f t="shared" si="33"/>
        <v>20589.322727272727</v>
      </c>
      <c r="U115" s="163">
        <f t="shared" si="34"/>
        <v>122.55549242424243</v>
      </c>
      <c r="V115" s="164">
        <f t="shared" si="52"/>
        <v>366.54545454545456</v>
      </c>
      <c r="W115" s="164">
        <f t="shared" si="35"/>
        <v>146.61818181818182</v>
      </c>
      <c r="X115" s="144">
        <f t="shared" si="36"/>
        <v>381.81818181818181</v>
      </c>
      <c r="Y115" s="150">
        <f t="shared" si="37"/>
        <v>127.27272727272727</v>
      </c>
      <c r="Z115" s="150">
        <f t="shared" si="38"/>
        <v>381.81818181818181</v>
      </c>
      <c r="AA115" s="150">
        <f t="shared" si="39"/>
        <v>1260.0000000000002</v>
      </c>
      <c r="AB115" s="182">
        <f t="shared" si="40"/>
        <v>71.272727272727266</v>
      </c>
      <c r="AC115" s="182">
        <f t="shared" si="41"/>
        <v>245</v>
      </c>
      <c r="AD115" s="182">
        <f t="shared" si="42"/>
        <v>458.18181818181813</v>
      </c>
      <c r="AE115" s="180">
        <f t="shared" si="43"/>
        <v>36.654545454545449</v>
      </c>
      <c r="AF115" s="150">
        <f t="shared" si="44"/>
        <v>412.36363636363637</v>
      </c>
      <c r="AG115" s="150"/>
      <c r="AH115" s="150">
        <f t="shared" si="45"/>
        <v>600</v>
      </c>
      <c r="AI115" s="150">
        <f t="shared" si="53"/>
        <v>6547.545454545454</v>
      </c>
      <c r="AJ115" s="154">
        <f t="shared" si="46"/>
        <v>4735.5442272727278</v>
      </c>
      <c r="AK115" s="70">
        <f t="shared" si="47"/>
        <v>4724.4148636363643</v>
      </c>
      <c r="AL115" s="155">
        <f t="shared" si="48"/>
        <v>0.2294594594594595</v>
      </c>
      <c r="AM115" s="155">
        <f t="shared" si="49"/>
        <v>0.29799929799929803</v>
      </c>
    </row>
    <row r="116" spans="2:39" s="102" customFormat="1" ht="15.75" hidden="1" customHeight="1" x14ac:dyDescent="0.2">
      <c r="B116" s="174" t="s">
        <v>363</v>
      </c>
      <c r="C116" s="171" t="s">
        <v>109</v>
      </c>
      <c r="D116" s="103">
        <v>168</v>
      </c>
      <c r="E116" s="104" t="s">
        <v>76</v>
      </c>
      <c r="F116" s="92">
        <v>0</v>
      </c>
      <c r="G116" s="219">
        <f>IF(F116&gt;0,F116,
IF(B116&lt;&gt;"",
IF(C116="CLT",VLOOKUP(B116,'Lista Profissionais'!$C$11:$H$348,3,0),
VLOOKUP(B116,'Lista Profissionais'!$C$11:$H$348,6,0)), 0))</f>
        <v>6800</v>
      </c>
      <c r="H116" s="219">
        <f>IF(B116&lt;&gt;"",
IF(C116="CLT",
       22*$M$5 + (G116*'Lista Profissionais'!$G$9),0),0)</f>
        <v>2460</v>
      </c>
      <c r="I116" s="66">
        <f t="shared" si="27"/>
        <v>6490.9090909090901</v>
      </c>
      <c r="J116" s="66">
        <f t="shared" si="28"/>
        <v>15058.26515151515</v>
      </c>
      <c r="K116" s="66">
        <f t="shared" si="29"/>
        <v>21465.556973484847</v>
      </c>
      <c r="L116" s="93">
        <f t="shared" si="50"/>
        <v>89.632530663780656</v>
      </c>
      <c r="M116" s="151"/>
      <c r="N116" s="152">
        <v>0</v>
      </c>
      <c r="O116" s="69">
        <f t="shared" si="30"/>
        <v>0</v>
      </c>
      <c r="P116" s="69">
        <f t="shared" si="31"/>
        <v>27857.790530303027</v>
      </c>
      <c r="Q116" s="70">
        <f t="shared" si="32"/>
        <v>27857.790530303027</v>
      </c>
      <c r="R116" s="153">
        <f t="shared" si="51"/>
        <v>0</v>
      </c>
      <c r="S116" s="70">
        <v>0</v>
      </c>
      <c r="T116" s="165">
        <f t="shared" si="33"/>
        <v>27857.790530303027</v>
      </c>
      <c r="U116" s="163">
        <f t="shared" si="34"/>
        <v>165.82018172799422</v>
      </c>
      <c r="V116" s="164">
        <f t="shared" si="52"/>
        <v>519.27272727272725</v>
      </c>
      <c r="W116" s="164">
        <f t="shared" si="35"/>
        <v>207.70909090909092</v>
      </c>
      <c r="X116" s="144">
        <f t="shared" si="36"/>
        <v>540.90909090909088</v>
      </c>
      <c r="Y116" s="150">
        <f t="shared" si="37"/>
        <v>180.30303030303028</v>
      </c>
      <c r="Z116" s="150">
        <f t="shared" si="38"/>
        <v>540.90909090909088</v>
      </c>
      <c r="AA116" s="150">
        <f t="shared" si="39"/>
        <v>1785</v>
      </c>
      <c r="AB116" s="182">
        <f t="shared" si="40"/>
        <v>100.96969696969697</v>
      </c>
      <c r="AC116" s="182">
        <f t="shared" si="41"/>
        <v>347.08333333333331</v>
      </c>
      <c r="AD116" s="182">
        <f t="shared" si="42"/>
        <v>649.09090909090901</v>
      </c>
      <c r="AE116" s="180">
        <f t="shared" si="43"/>
        <v>51.927272727272722</v>
      </c>
      <c r="AF116" s="150">
        <f t="shared" si="44"/>
        <v>584.18181818181813</v>
      </c>
      <c r="AG116" s="150"/>
      <c r="AH116" s="150">
        <f t="shared" si="45"/>
        <v>600</v>
      </c>
      <c r="AI116" s="150">
        <f t="shared" si="53"/>
        <v>8567.3560606060601</v>
      </c>
      <c r="AJ116" s="154">
        <f t="shared" si="46"/>
        <v>6407.2918219696967</v>
      </c>
      <c r="AK116" s="70">
        <f t="shared" si="47"/>
        <v>6392.2335568181825</v>
      </c>
      <c r="AL116" s="155">
        <f t="shared" si="48"/>
        <v>0.2294594594594595</v>
      </c>
      <c r="AM116" s="155">
        <f t="shared" si="49"/>
        <v>0.29799929799929803</v>
      </c>
    </row>
    <row r="117" spans="2:39" s="102" customFormat="1" ht="15.75" hidden="1" customHeight="1" x14ac:dyDescent="0.2">
      <c r="B117" s="174" t="s">
        <v>364</v>
      </c>
      <c r="C117" s="171" t="s">
        <v>109</v>
      </c>
      <c r="D117" s="103">
        <v>168</v>
      </c>
      <c r="E117" s="104" t="s">
        <v>76</v>
      </c>
      <c r="F117" s="92">
        <v>0</v>
      </c>
      <c r="G117" s="219">
        <f>IF(F117&gt;0,F117,
IF(B117&lt;&gt;"",
IF(C117="CLT",VLOOKUP(B117,'Lista Profissionais'!$C$11:$H$348,3,0),
VLOOKUP(B117,'Lista Profissionais'!$C$11:$H$348,6,0)), 0))</f>
        <v>9600</v>
      </c>
      <c r="H117" s="219">
        <f>IF(B117&lt;&gt;"",
IF(C117="CLT",
       22*$M$5 + (G117*'Lista Profissionais'!$G$9),0),0)</f>
        <v>3020</v>
      </c>
      <c r="I117" s="66">
        <f t="shared" si="27"/>
        <v>9163.636363636364</v>
      </c>
      <c r="J117" s="66">
        <f t="shared" si="28"/>
        <v>20558.727272727272</v>
      </c>
      <c r="K117" s="66">
        <f t="shared" si="29"/>
        <v>29306.465727272727</v>
      </c>
      <c r="L117" s="93">
        <f t="shared" si="50"/>
        <v>122.37337662337661</v>
      </c>
      <c r="M117" s="151"/>
      <c r="N117" s="152">
        <v>0</v>
      </c>
      <c r="O117" s="69">
        <f t="shared" si="30"/>
        <v>0</v>
      </c>
      <c r="P117" s="69">
        <f t="shared" si="31"/>
        <v>38033.645454545454</v>
      </c>
      <c r="Q117" s="70">
        <f t="shared" si="32"/>
        <v>38033.645454545454</v>
      </c>
      <c r="R117" s="153">
        <f t="shared" si="51"/>
        <v>0</v>
      </c>
      <c r="S117" s="70">
        <v>0</v>
      </c>
      <c r="T117" s="165">
        <f t="shared" si="33"/>
        <v>38033.645454545454</v>
      </c>
      <c r="U117" s="163">
        <f t="shared" si="34"/>
        <v>226.39074675324676</v>
      </c>
      <c r="V117" s="164">
        <f t="shared" si="52"/>
        <v>733.09090909090912</v>
      </c>
      <c r="W117" s="164">
        <f t="shared" si="35"/>
        <v>293.23636363636365</v>
      </c>
      <c r="X117" s="144">
        <f t="shared" si="36"/>
        <v>763.63636363636363</v>
      </c>
      <c r="Y117" s="150">
        <f t="shared" si="37"/>
        <v>254.54545454545453</v>
      </c>
      <c r="Z117" s="150">
        <f t="shared" si="38"/>
        <v>763.63636363636363</v>
      </c>
      <c r="AA117" s="150">
        <f t="shared" si="39"/>
        <v>2520.0000000000005</v>
      </c>
      <c r="AB117" s="182">
        <f t="shared" si="40"/>
        <v>142.54545454545453</v>
      </c>
      <c r="AC117" s="182">
        <f t="shared" si="41"/>
        <v>490</v>
      </c>
      <c r="AD117" s="182">
        <f t="shared" si="42"/>
        <v>916.36363636363626</v>
      </c>
      <c r="AE117" s="180">
        <f t="shared" si="43"/>
        <v>73.309090909090898</v>
      </c>
      <c r="AF117" s="150">
        <f t="shared" si="44"/>
        <v>824.72727272727275</v>
      </c>
      <c r="AG117" s="150"/>
      <c r="AH117" s="150">
        <f t="shared" si="45"/>
        <v>600</v>
      </c>
      <c r="AI117" s="150">
        <f t="shared" si="53"/>
        <v>11395.090909090908</v>
      </c>
      <c r="AJ117" s="154">
        <f t="shared" si="46"/>
        <v>8747.7384545454552</v>
      </c>
      <c r="AK117" s="70">
        <f t="shared" si="47"/>
        <v>8727.1797272727272</v>
      </c>
      <c r="AL117" s="155">
        <f t="shared" si="48"/>
        <v>0.22945945945945945</v>
      </c>
      <c r="AM117" s="155">
        <f t="shared" si="49"/>
        <v>0.29799929799929803</v>
      </c>
    </row>
    <row r="118" spans="2:39" s="102" customFormat="1" ht="15.75" hidden="1" customHeight="1" x14ac:dyDescent="0.2">
      <c r="B118" s="174" t="s">
        <v>336</v>
      </c>
      <c r="C118" s="171" t="s">
        <v>109</v>
      </c>
      <c r="D118" s="103">
        <v>168</v>
      </c>
      <c r="E118" s="104" t="s">
        <v>76</v>
      </c>
      <c r="F118" s="92">
        <v>0</v>
      </c>
      <c r="G118" s="219">
        <f>IF(F118&gt;0,F118,
IF(B118&lt;&gt;"",
IF(C118="CLT",VLOOKUP(B118,'Lista Profissionais'!$C$11:$H$348,3,0),
VLOOKUP(B118,'Lista Profissionais'!$C$11:$H$348,6,0)), 0))</f>
        <v>11600</v>
      </c>
      <c r="H118" s="219">
        <f>IF(B118&lt;&gt;"",
IF(C118="CLT",
       22*$M$5 + (G118*'Lista Profissionais'!$G$9),0),0)</f>
        <v>3420</v>
      </c>
      <c r="I118" s="66">
        <f t="shared" si="27"/>
        <v>11072.727272727272</v>
      </c>
      <c r="J118" s="66">
        <f t="shared" si="28"/>
        <v>24487.628787878784</v>
      </c>
      <c r="K118" s="66">
        <f t="shared" si="29"/>
        <v>34907.114837121204</v>
      </c>
      <c r="L118" s="93">
        <f t="shared" si="50"/>
        <v>145.75969516594515</v>
      </c>
      <c r="M118" s="151"/>
      <c r="N118" s="152">
        <v>0</v>
      </c>
      <c r="O118" s="69">
        <f t="shared" si="30"/>
        <v>0</v>
      </c>
      <c r="P118" s="69">
        <f t="shared" si="31"/>
        <v>45302.113257575751</v>
      </c>
      <c r="Q118" s="70">
        <f t="shared" si="32"/>
        <v>45302.113257575751</v>
      </c>
      <c r="R118" s="153">
        <f t="shared" si="51"/>
        <v>0</v>
      </c>
      <c r="S118" s="70">
        <v>0</v>
      </c>
      <c r="T118" s="165">
        <f t="shared" si="33"/>
        <v>45302.113257575751</v>
      </c>
      <c r="U118" s="163">
        <f t="shared" si="34"/>
        <v>269.6554360569985</v>
      </c>
      <c r="V118" s="164">
        <f t="shared" si="52"/>
        <v>885.81818181818176</v>
      </c>
      <c r="W118" s="164">
        <f t="shared" si="35"/>
        <v>354.32727272727271</v>
      </c>
      <c r="X118" s="144">
        <f t="shared" si="36"/>
        <v>922.72727272727263</v>
      </c>
      <c r="Y118" s="150">
        <f t="shared" si="37"/>
        <v>307.57575757575756</v>
      </c>
      <c r="Z118" s="150">
        <f t="shared" si="38"/>
        <v>922.72727272727263</v>
      </c>
      <c r="AA118" s="150">
        <f t="shared" si="39"/>
        <v>3045</v>
      </c>
      <c r="AB118" s="182">
        <f t="shared" si="40"/>
        <v>172.24242424242425</v>
      </c>
      <c r="AC118" s="182">
        <f t="shared" si="41"/>
        <v>592.08333333333337</v>
      </c>
      <c r="AD118" s="182">
        <f t="shared" si="42"/>
        <v>1107.2727272727273</v>
      </c>
      <c r="AE118" s="180">
        <f t="shared" si="43"/>
        <v>88.581818181818178</v>
      </c>
      <c r="AF118" s="150">
        <f t="shared" si="44"/>
        <v>996.5454545454545</v>
      </c>
      <c r="AG118" s="150"/>
      <c r="AH118" s="150">
        <f t="shared" si="45"/>
        <v>600</v>
      </c>
      <c r="AI118" s="150">
        <f t="shared" si="53"/>
        <v>13414.901515151512</v>
      </c>
      <c r="AJ118" s="154">
        <f t="shared" si="46"/>
        <v>10419.486049242423</v>
      </c>
      <c r="AK118" s="70">
        <f t="shared" si="47"/>
        <v>10394.998420454547</v>
      </c>
      <c r="AL118" s="155">
        <f t="shared" si="48"/>
        <v>0.22945945945945953</v>
      </c>
      <c r="AM118" s="155">
        <f t="shared" si="49"/>
        <v>0.29799929799929809</v>
      </c>
    </row>
    <row r="119" spans="2:39" s="102" customFormat="1" ht="15.75" hidden="1" customHeight="1" x14ac:dyDescent="0.2">
      <c r="B119" s="174" t="s">
        <v>337</v>
      </c>
      <c r="C119" s="171" t="s">
        <v>109</v>
      </c>
      <c r="D119" s="103">
        <v>168</v>
      </c>
      <c r="E119" s="104" t="s">
        <v>76</v>
      </c>
      <c r="F119" s="92">
        <v>0</v>
      </c>
      <c r="G119" s="219">
        <f>IF(F119&gt;0,F119,
IF(B119&lt;&gt;"",
IF(C119="CLT",VLOOKUP(B119,'Lista Profissionais'!$C$11:$H$348,3,0),
VLOOKUP(B119,'Lista Profissionais'!$C$11:$H$348,6,0)), 0))</f>
        <v>8400</v>
      </c>
      <c r="H119" s="219">
        <f>IF(B119&lt;&gt;"",
IF(C119="CLT",
       22*$M$5 + (G119*'Lista Profissionais'!$G$9),0),0)</f>
        <v>2780</v>
      </c>
      <c r="I119" s="66">
        <f t="shared" si="27"/>
        <v>8018.181818181818</v>
      </c>
      <c r="J119" s="66">
        <f t="shared" si="28"/>
        <v>18201.386363636364</v>
      </c>
      <c r="K119" s="66">
        <f t="shared" si="29"/>
        <v>25946.076261363636</v>
      </c>
      <c r="L119" s="93">
        <f t="shared" si="50"/>
        <v>108.3415854978355</v>
      </c>
      <c r="M119" s="151"/>
      <c r="N119" s="152">
        <v>0</v>
      </c>
      <c r="O119" s="69">
        <f t="shared" si="30"/>
        <v>0</v>
      </c>
      <c r="P119" s="69">
        <f t="shared" si="31"/>
        <v>33672.564772727274</v>
      </c>
      <c r="Q119" s="70">
        <f t="shared" si="32"/>
        <v>33672.564772727274</v>
      </c>
      <c r="R119" s="153">
        <f t="shared" si="51"/>
        <v>0</v>
      </c>
      <c r="S119" s="70">
        <v>0</v>
      </c>
      <c r="T119" s="165">
        <f t="shared" si="33"/>
        <v>33672.564772727274</v>
      </c>
      <c r="U119" s="163">
        <f t="shared" si="34"/>
        <v>200.43193317099568</v>
      </c>
      <c r="V119" s="164">
        <f t="shared" si="52"/>
        <v>641.4545454545455</v>
      </c>
      <c r="W119" s="164">
        <f t="shared" si="35"/>
        <v>256.58181818181822</v>
      </c>
      <c r="X119" s="144">
        <f t="shared" si="36"/>
        <v>668.18181818181813</v>
      </c>
      <c r="Y119" s="150">
        <f t="shared" si="37"/>
        <v>222.72727272727272</v>
      </c>
      <c r="Z119" s="150">
        <f t="shared" si="38"/>
        <v>668.18181818181813</v>
      </c>
      <c r="AA119" s="150">
        <f t="shared" si="39"/>
        <v>2205</v>
      </c>
      <c r="AB119" s="182">
        <f t="shared" si="40"/>
        <v>124.72727272727272</v>
      </c>
      <c r="AC119" s="182">
        <f t="shared" si="41"/>
        <v>428.75</v>
      </c>
      <c r="AD119" s="182">
        <f t="shared" si="42"/>
        <v>801.81818181818176</v>
      </c>
      <c r="AE119" s="180">
        <f t="shared" si="43"/>
        <v>64.145454545454541</v>
      </c>
      <c r="AF119" s="150">
        <f t="shared" si="44"/>
        <v>721.63636363636363</v>
      </c>
      <c r="AG119" s="150"/>
      <c r="AH119" s="150">
        <f t="shared" si="45"/>
        <v>600</v>
      </c>
      <c r="AI119" s="150">
        <f t="shared" si="53"/>
        <v>10183.204545454546</v>
      </c>
      <c r="AJ119" s="154">
        <f t="shared" si="46"/>
        <v>7744.6898977272731</v>
      </c>
      <c r="AK119" s="70">
        <f t="shared" si="47"/>
        <v>7726.4885113636374</v>
      </c>
      <c r="AL119" s="155">
        <f t="shared" si="48"/>
        <v>0.22945945945945947</v>
      </c>
      <c r="AM119" s="155">
        <f t="shared" si="49"/>
        <v>0.29799929799929803</v>
      </c>
    </row>
    <row r="120" spans="2:39" s="102" customFormat="1" ht="15.75" hidden="1" customHeight="1" x14ac:dyDescent="0.2">
      <c r="B120" s="174" t="s">
        <v>338</v>
      </c>
      <c r="C120" s="171" t="s">
        <v>109</v>
      </c>
      <c r="D120" s="103">
        <v>168</v>
      </c>
      <c r="E120" s="104" t="s">
        <v>76</v>
      </c>
      <c r="F120" s="92">
        <v>0</v>
      </c>
      <c r="G120" s="219">
        <f>IF(F120&gt;0,F120,
IF(B120&lt;&gt;"",
IF(C120="CLT",VLOOKUP(B120,'Lista Profissionais'!$C$11:$H$348,3,0),
VLOOKUP(B120,'Lista Profissionais'!$C$11:$H$348,6,0)), 0))</f>
        <v>10400</v>
      </c>
      <c r="H120" s="219">
        <f>IF(B120&lt;&gt;"",
IF(C120="CLT",
       22*$M$5 + (G120*'Lista Profissionais'!$G$9),0),0)</f>
        <v>3180</v>
      </c>
      <c r="I120" s="66">
        <f t="shared" si="27"/>
        <v>9927.2727272727279</v>
      </c>
      <c r="J120" s="66">
        <f t="shared" si="28"/>
        <v>22130.28787878788</v>
      </c>
      <c r="K120" s="66">
        <f t="shared" si="29"/>
        <v>31546.725371212124</v>
      </c>
      <c r="L120" s="93">
        <f t="shared" si="50"/>
        <v>131.72790404040404</v>
      </c>
      <c r="M120" s="151"/>
      <c r="N120" s="152">
        <v>0</v>
      </c>
      <c r="O120" s="69">
        <f t="shared" si="30"/>
        <v>0</v>
      </c>
      <c r="P120" s="69">
        <f t="shared" si="31"/>
        <v>40941.032575757577</v>
      </c>
      <c r="Q120" s="70">
        <f t="shared" si="32"/>
        <v>40941.032575757577</v>
      </c>
      <c r="R120" s="153">
        <f t="shared" si="51"/>
        <v>0</v>
      </c>
      <c r="S120" s="70">
        <v>0</v>
      </c>
      <c r="T120" s="165">
        <f t="shared" si="33"/>
        <v>40941.032575757577</v>
      </c>
      <c r="U120" s="163">
        <f t="shared" si="34"/>
        <v>243.69662247474747</v>
      </c>
      <c r="V120" s="164">
        <f t="shared" si="52"/>
        <v>794.18181818181824</v>
      </c>
      <c r="W120" s="164">
        <f t="shared" si="35"/>
        <v>317.67272727272734</v>
      </c>
      <c r="X120" s="144">
        <f t="shared" si="36"/>
        <v>827.27272727272737</v>
      </c>
      <c r="Y120" s="150">
        <f t="shared" si="37"/>
        <v>275.75757575757581</v>
      </c>
      <c r="Z120" s="150">
        <f t="shared" si="38"/>
        <v>827.27272727272737</v>
      </c>
      <c r="AA120" s="150">
        <f t="shared" si="39"/>
        <v>2730.0000000000005</v>
      </c>
      <c r="AB120" s="182">
        <f t="shared" si="40"/>
        <v>154.42424242424244</v>
      </c>
      <c r="AC120" s="182">
        <f t="shared" si="41"/>
        <v>530.83333333333337</v>
      </c>
      <c r="AD120" s="182">
        <f t="shared" si="42"/>
        <v>992.72727272727275</v>
      </c>
      <c r="AE120" s="180">
        <f t="shared" si="43"/>
        <v>79.418181818181822</v>
      </c>
      <c r="AF120" s="150">
        <f t="shared" si="44"/>
        <v>893.4545454545455</v>
      </c>
      <c r="AG120" s="150"/>
      <c r="AH120" s="150">
        <f t="shared" si="45"/>
        <v>600</v>
      </c>
      <c r="AI120" s="150">
        <f t="shared" si="53"/>
        <v>12203.015151515152</v>
      </c>
      <c r="AJ120" s="154">
        <f t="shared" si="46"/>
        <v>9416.4374924242438</v>
      </c>
      <c r="AK120" s="70">
        <f t="shared" si="47"/>
        <v>9394.3072045454537</v>
      </c>
      <c r="AL120" s="155">
        <f t="shared" si="48"/>
        <v>0.22945945945945942</v>
      </c>
      <c r="AM120" s="155">
        <f t="shared" si="49"/>
        <v>0.29799929799929797</v>
      </c>
    </row>
    <row r="121" spans="2:39" s="102" customFormat="1" ht="15.75" hidden="1" customHeight="1" x14ac:dyDescent="0.2">
      <c r="B121" s="174" t="s">
        <v>339</v>
      </c>
      <c r="C121" s="171" t="s">
        <v>109</v>
      </c>
      <c r="D121" s="103">
        <v>168</v>
      </c>
      <c r="E121" s="104" t="s">
        <v>76</v>
      </c>
      <c r="F121" s="92">
        <v>0</v>
      </c>
      <c r="G121" s="219">
        <f>IF(F121&gt;0,F121,
IF(B121&lt;&gt;"",
IF(C121="CLT",VLOOKUP(B121,'Lista Profissionais'!$C$11:$H$348,3,0),
VLOOKUP(B121,'Lista Profissionais'!$C$11:$H$348,6,0)), 0))</f>
        <v>2800</v>
      </c>
      <c r="H121" s="219">
        <f>IF(B121&lt;&gt;"",
IF(C121="CLT",
       22*$M$5 + (G121*'Lista Profissionais'!$G$9),0),0)</f>
        <v>1660</v>
      </c>
      <c r="I121" s="66">
        <f t="shared" si="27"/>
        <v>2672.7272727272725</v>
      </c>
      <c r="J121" s="66">
        <f t="shared" si="28"/>
        <v>7200.4621212121201</v>
      </c>
      <c r="K121" s="66">
        <f t="shared" si="29"/>
        <v>10264.258753787877</v>
      </c>
      <c r="L121" s="93">
        <f t="shared" si="50"/>
        <v>42.859893578643572</v>
      </c>
      <c r="M121" s="151"/>
      <c r="N121" s="152">
        <v>0</v>
      </c>
      <c r="O121" s="69">
        <f t="shared" si="30"/>
        <v>0</v>
      </c>
      <c r="P121" s="69">
        <f t="shared" si="31"/>
        <v>13320.854924242423</v>
      </c>
      <c r="Q121" s="70">
        <f t="shared" si="32"/>
        <v>13320.854924242423</v>
      </c>
      <c r="R121" s="153">
        <f t="shared" si="51"/>
        <v>0</v>
      </c>
      <c r="S121" s="70">
        <v>0</v>
      </c>
      <c r="T121" s="165">
        <f t="shared" si="33"/>
        <v>13320.854924242423</v>
      </c>
      <c r="U121" s="163">
        <f t="shared" si="34"/>
        <v>79.290803120490608</v>
      </c>
      <c r="V121" s="164">
        <f t="shared" si="52"/>
        <v>213.81818181818181</v>
      </c>
      <c r="W121" s="164">
        <f t="shared" si="35"/>
        <v>85.527272727272731</v>
      </c>
      <c r="X121" s="144">
        <f t="shared" si="36"/>
        <v>222.72727272727272</v>
      </c>
      <c r="Y121" s="150">
        <f t="shared" si="37"/>
        <v>74.242424242424235</v>
      </c>
      <c r="Z121" s="150">
        <f t="shared" si="38"/>
        <v>222.72727272727272</v>
      </c>
      <c r="AA121" s="150">
        <f t="shared" si="39"/>
        <v>735</v>
      </c>
      <c r="AB121" s="182">
        <f t="shared" si="40"/>
        <v>41.575757575757571</v>
      </c>
      <c r="AC121" s="182">
        <f t="shared" si="41"/>
        <v>142.91666666666666</v>
      </c>
      <c r="AD121" s="182">
        <f t="shared" si="42"/>
        <v>267.27272727272725</v>
      </c>
      <c r="AE121" s="180">
        <f t="shared" si="43"/>
        <v>21.381818181818179</v>
      </c>
      <c r="AF121" s="150">
        <f t="shared" si="44"/>
        <v>240.5454545454545</v>
      </c>
      <c r="AG121" s="150"/>
      <c r="AH121" s="150">
        <f t="shared" si="45"/>
        <v>600</v>
      </c>
      <c r="AI121" s="150">
        <f t="shared" si="53"/>
        <v>4527.734848484848</v>
      </c>
      <c r="AJ121" s="154">
        <f t="shared" si="46"/>
        <v>3063.7966325757575</v>
      </c>
      <c r="AK121" s="70">
        <f t="shared" si="47"/>
        <v>3056.5961704545462</v>
      </c>
      <c r="AL121" s="155">
        <f t="shared" si="48"/>
        <v>0.22945945945945953</v>
      </c>
      <c r="AM121" s="155">
        <f t="shared" si="49"/>
        <v>0.29799929799929809</v>
      </c>
    </row>
    <row r="122" spans="2:39" s="102" customFormat="1" ht="15.75" hidden="1" customHeight="1" x14ac:dyDescent="0.2">
      <c r="B122" s="174" t="s">
        <v>340</v>
      </c>
      <c r="C122" s="171" t="s">
        <v>109</v>
      </c>
      <c r="D122" s="103">
        <v>168</v>
      </c>
      <c r="E122" s="104" t="s">
        <v>76</v>
      </c>
      <c r="F122" s="92">
        <v>0</v>
      </c>
      <c r="G122" s="219">
        <f>IF(F122&gt;0,F122,
IF(B122&lt;&gt;"",
IF(C122="CLT",VLOOKUP(B122,'Lista Profissionais'!$C$11:$H$348,3,0),
VLOOKUP(B122,'Lista Profissionais'!$C$11:$H$348,6,0)), 0))</f>
        <v>3840</v>
      </c>
      <c r="H122" s="219">
        <f>IF(B122&lt;&gt;"",
IF(C122="CLT",
       22*$M$5 + (G122*'Lista Profissionais'!$G$9),0),0)</f>
        <v>1868</v>
      </c>
      <c r="I122" s="66">
        <f t="shared" si="27"/>
        <v>3665.454545454545</v>
      </c>
      <c r="J122" s="66">
        <f t="shared" si="28"/>
        <v>9243.4909090909096</v>
      </c>
      <c r="K122" s="66">
        <f t="shared" si="29"/>
        <v>13176.596290909092</v>
      </c>
      <c r="L122" s="93">
        <f t="shared" si="50"/>
        <v>55.020779220779225</v>
      </c>
      <c r="M122" s="151"/>
      <c r="N122" s="152">
        <v>0</v>
      </c>
      <c r="O122" s="69">
        <f t="shared" si="30"/>
        <v>0</v>
      </c>
      <c r="P122" s="69">
        <f t="shared" si="31"/>
        <v>17100.458181818183</v>
      </c>
      <c r="Q122" s="70">
        <f t="shared" si="32"/>
        <v>17100.458181818183</v>
      </c>
      <c r="R122" s="153">
        <f t="shared" si="51"/>
        <v>0</v>
      </c>
      <c r="S122" s="70">
        <v>0</v>
      </c>
      <c r="T122" s="165">
        <f t="shared" si="33"/>
        <v>17100.458181818183</v>
      </c>
      <c r="U122" s="163">
        <f t="shared" si="34"/>
        <v>101.78844155844156</v>
      </c>
      <c r="V122" s="164">
        <f t="shared" si="52"/>
        <v>293.23636363636359</v>
      </c>
      <c r="W122" s="164">
        <f t="shared" si="35"/>
        <v>117.29454545454544</v>
      </c>
      <c r="X122" s="144">
        <f t="shared" si="36"/>
        <v>305.45454545454544</v>
      </c>
      <c r="Y122" s="150">
        <f t="shared" si="37"/>
        <v>101.81818181818181</v>
      </c>
      <c r="Z122" s="150">
        <f t="shared" si="38"/>
        <v>305.45454545454544</v>
      </c>
      <c r="AA122" s="150">
        <f t="shared" si="39"/>
        <v>1008</v>
      </c>
      <c r="AB122" s="182">
        <f t="shared" si="40"/>
        <v>57.018181818181823</v>
      </c>
      <c r="AC122" s="182">
        <f t="shared" si="41"/>
        <v>196.00000000000003</v>
      </c>
      <c r="AD122" s="182">
        <f t="shared" si="42"/>
        <v>366.5454545454545</v>
      </c>
      <c r="AE122" s="180">
        <f t="shared" si="43"/>
        <v>29.323636363636361</v>
      </c>
      <c r="AF122" s="150">
        <f t="shared" si="44"/>
        <v>329.89090909090902</v>
      </c>
      <c r="AG122" s="150"/>
      <c r="AH122" s="150">
        <f t="shared" si="45"/>
        <v>600</v>
      </c>
      <c r="AI122" s="150">
        <f t="shared" si="53"/>
        <v>5578.0363636363636</v>
      </c>
      <c r="AJ122" s="154">
        <f t="shared" si="46"/>
        <v>3933.1053818181822</v>
      </c>
      <c r="AK122" s="70">
        <f t="shared" si="47"/>
        <v>3923.861890909091</v>
      </c>
      <c r="AL122" s="155">
        <f t="shared" si="48"/>
        <v>0.22945945945945945</v>
      </c>
      <c r="AM122" s="155">
        <f t="shared" si="49"/>
        <v>0.29799929799929797</v>
      </c>
    </row>
    <row r="123" spans="2:39" s="102" customFormat="1" ht="15.75" hidden="1" customHeight="1" x14ac:dyDescent="0.2">
      <c r="B123" s="174" t="s">
        <v>341</v>
      </c>
      <c r="C123" s="171" t="s">
        <v>109</v>
      </c>
      <c r="D123" s="103">
        <v>168</v>
      </c>
      <c r="E123" s="104" t="s">
        <v>76</v>
      </c>
      <c r="F123" s="92">
        <v>0</v>
      </c>
      <c r="G123" s="219">
        <f>IF(F123&gt;0,F123,
IF(B123&lt;&gt;"",
IF(C123="CLT",VLOOKUP(B123,'Lista Profissionais'!$C$11:$H$348,3,0),
VLOOKUP(B123,'Lista Profissionais'!$C$11:$H$348,6,0)), 0))</f>
        <v>6400</v>
      </c>
      <c r="H123" s="219">
        <f>IF(B123&lt;&gt;"",
IF(C123="CLT",
       22*$M$5 + (G123*'Lista Profissionais'!$G$9),0),0)</f>
        <v>2380</v>
      </c>
      <c r="I123" s="66">
        <f t="shared" si="27"/>
        <v>6109.0909090909099</v>
      </c>
      <c r="J123" s="66">
        <f t="shared" si="28"/>
        <v>14272.484848484852</v>
      </c>
      <c r="K123" s="66">
        <f t="shared" si="29"/>
        <v>20345.427151515156</v>
      </c>
      <c r="L123" s="93">
        <f t="shared" si="50"/>
        <v>84.955266955266978</v>
      </c>
      <c r="M123" s="151"/>
      <c r="N123" s="152">
        <v>0</v>
      </c>
      <c r="O123" s="69">
        <f t="shared" si="30"/>
        <v>0</v>
      </c>
      <c r="P123" s="69">
        <f t="shared" si="31"/>
        <v>26404.096969696977</v>
      </c>
      <c r="Q123" s="70">
        <f t="shared" si="32"/>
        <v>26404.096969696977</v>
      </c>
      <c r="R123" s="153">
        <f t="shared" si="51"/>
        <v>0</v>
      </c>
      <c r="S123" s="70">
        <v>0</v>
      </c>
      <c r="T123" s="165">
        <f t="shared" si="33"/>
        <v>26404.096969696977</v>
      </c>
      <c r="U123" s="163">
        <f t="shared" si="34"/>
        <v>157.16724386724391</v>
      </c>
      <c r="V123" s="164">
        <f t="shared" si="52"/>
        <v>488.7272727272728</v>
      </c>
      <c r="W123" s="164">
        <f t="shared" si="35"/>
        <v>195.49090909090913</v>
      </c>
      <c r="X123" s="144">
        <f t="shared" si="36"/>
        <v>509.09090909090918</v>
      </c>
      <c r="Y123" s="150">
        <f t="shared" si="37"/>
        <v>169.69696969696972</v>
      </c>
      <c r="Z123" s="150">
        <f t="shared" si="38"/>
        <v>509.09090909090918</v>
      </c>
      <c r="AA123" s="150">
        <f t="shared" si="39"/>
        <v>1680.0000000000005</v>
      </c>
      <c r="AB123" s="182">
        <f t="shared" si="40"/>
        <v>95.030303030303045</v>
      </c>
      <c r="AC123" s="182">
        <f t="shared" si="41"/>
        <v>326.66666666666674</v>
      </c>
      <c r="AD123" s="182">
        <f t="shared" si="42"/>
        <v>610.90909090909099</v>
      </c>
      <c r="AE123" s="180">
        <f t="shared" si="43"/>
        <v>48.872727272727282</v>
      </c>
      <c r="AF123" s="150">
        <f t="shared" si="44"/>
        <v>549.81818181818187</v>
      </c>
      <c r="AG123" s="150"/>
      <c r="AH123" s="150">
        <f t="shared" si="45"/>
        <v>600</v>
      </c>
      <c r="AI123" s="150">
        <f t="shared" si="53"/>
        <v>8163.3939393939409</v>
      </c>
      <c r="AJ123" s="154">
        <f t="shared" si="46"/>
        <v>6072.9423030303051</v>
      </c>
      <c r="AK123" s="70">
        <f t="shared" si="47"/>
        <v>6058.669818181821</v>
      </c>
      <c r="AL123" s="155">
        <f t="shared" si="48"/>
        <v>0.2294594594594595</v>
      </c>
      <c r="AM123" s="155">
        <f t="shared" si="49"/>
        <v>0.29799929799929803</v>
      </c>
    </row>
    <row r="124" spans="2:39" s="102" customFormat="1" ht="15.75" hidden="1" customHeight="1" x14ac:dyDescent="0.2">
      <c r="B124" s="174" t="s">
        <v>342</v>
      </c>
      <c r="C124" s="171" t="s">
        <v>109</v>
      </c>
      <c r="D124" s="103">
        <v>168</v>
      </c>
      <c r="E124" s="104" t="s">
        <v>76</v>
      </c>
      <c r="F124" s="92">
        <v>0</v>
      </c>
      <c r="G124" s="219">
        <f>IF(F124&gt;0,F124,
IF(B124&lt;&gt;"",
IF(C124="CLT",VLOOKUP(B124,'Lista Profissionais'!$C$11:$H$348,3,0),
VLOOKUP(B124,'Lista Profissionais'!$C$11:$H$348,6,0)), 0))</f>
        <v>11600</v>
      </c>
      <c r="H124" s="219">
        <f>IF(B124&lt;&gt;"",
IF(C124="CLT",
       22*$M$5 + (G124*'Lista Profissionais'!$G$9),0),0)</f>
        <v>3420</v>
      </c>
      <c r="I124" s="66">
        <f t="shared" si="27"/>
        <v>11072.727272727272</v>
      </c>
      <c r="J124" s="66">
        <f t="shared" si="28"/>
        <v>24487.628787878784</v>
      </c>
      <c r="K124" s="66">
        <f t="shared" si="29"/>
        <v>34907.114837121204</v>
      </c>
      <c r="L124" s="93">
        <f t="shared" si="50"/>
        <v>145.75969516594515</v>
      </c>
      <c r="M124" s="151"/>
      <c r="N124" s="152">
        <v>0</v>
      </c>
      <c r="O124" s="69">
        <f t="shared" si="30"/>
        <v>0</v>
      </c>
      <c r="P124" s="69">
        <f t="shared" si="31"/>
        <v>45302.113257575751</v>
      </c>
      <c r="Q124" s="70">
        <f t="shared" si="32"/>
        <v>45302.113257575751</v>
      </c>
      <c r="R124" s="153">
        <f t="shared" si="51"/>
        <v>0</v>
      </c>
      <c r="S124" s="70">
        <v>0</v>
      </c>
      <c r="T124" s="165">
        <f t="shared" si="33"/>
        <v>45302.113257575751</v>
      </c>
      <c r="U124" s="163">
        <f t="shared" si="34"/>
        <v>269.6554360569985</v>
      </c>
      <c r="V124" s="164">
        <f t="shared" si="52"/>
        <v>885.81818181818176</v>
      </c>
      <c r="W124" s="164">
        <f t="shared" si="35"/>
        <v>354.32727272727271</v>
      </c>
      <c r="X124" s="144">
        <f t="shared" si="36"/>
        <v>922.72727272727263</v>
      </c>
      <c r="Y124" s="150">
        <f t="shared" si="37"/>
        <v>307.57575757575756</v>
      </c>
      <c r="Z124" s="150">
        <f t="shared" si="38"/>
        <v>922.72727272727263</v>
      </c>
      <c r="AA124" s="150">
        <f t="shared" si="39"/>
        <v>3045</v>
      </c>
      <c r="AB124" s="182">
        <f t="shared" si="40"/>
        <v>172.24242424242425</v>
      </c>
      <c r="AC124" s="182">
        <f t="shared" si="41"/>
        <v>592.08333333333337</v>
      </c>
      <c r="AD124" s="182">
        <f t="shared" si="42"/>
        <v>1107.2727272727273</v>
      </c>
      <c r="AE124" s="180">
        <f t="shared" si="43"/>
        <v>88.581818181818178</v>
      </c>
      <c r="AF124" s="150">
        <f t="shared" si="44"/>
        <v>996.5454545454545</v>
      </c>
      <c r="AG124" s="150"/>
      <c r="AH124" s="150">
        <f t="shared" si="45"/>
        <v>600</v>
      </c>
      <c r="AI124" s="150">
        <f t="shared" si="53"/>
        <v>13414.901515151512</v>
      </c>
      <c r="AJ124" s="154">
        <f t="shared" si="46"/>
        <v>10419.486049242423</v>
      </c>
      <c r="AK124" s="70">
        <f t="shared" si="47"/>
        <v>10394.998420454547</v>
      </c>
      <c r="AL124" s="155">
        <f t="shared" si="48"/>
        <v>0.22945945945945953</v>
      </c>
      <c r="AM124" s="155">
        <f t="shared" si="49"/>
        <v>0.29799929799929809</v>
      </c>
    </row>
    <row r="125" spans="2:39" s="102" customFormat="1" ht="15.75" hidden="1" customHeight="1" x14ac:dyDescent="0.2">
      <c r="B125" s="174" t="s">
        <v>343</v>
      </c>
      <c r="C125" s="171" t="s">
        <v>109</v>
      </c>
      <c r="D125" s="103">
        <v>168</v>
      </c>
      <c r="E125" s="104" t="s">
        <v>76</v>
      </c>
      <c r="F125" s="92">
        <v>0</v>
      </c>
      <c r="G125" s="219">
        <f>IF(F125&gt;0,F125,
IF(B125&lt;&gt;"",
IF(C125="CLT",VLOOKUP(B125,'Lista Profissionais'!$C$11:$H$348,3,0),
VLOOKUP(B125,'Lista Profissionais'!$C$11:$H$348,6,0)), 0))</f>
        <v>4400</v>
      </c>
      <c r="H125" s="219">
        <f>IF(B125&lt;&gt;"",
IF(C125="CLT",
       22*$M$5 + (G125*'Lista Profissionais'!$G$9),0),0)</f>
        <v>1980</v>
      </c>
      <c r="I125" s="66">
        <f t="shared" si="27"/>
        <v>4200</v>
      </c>
      <c r="J125" s="66">
        <f t="shared" si="28"/>
        <v>10343.583333333334</v>
      </c>
      <c r="K125" s="66">
        <f t="shared" si="29"/>
        <v>14744.778041666668</v>
      </c>
      <c r="L125" s="93">
        <f t="shared" si="50"/>
        <v>61.568948412698418</v>
      </c>
      <c r="M125" s="151"/>
      <c r="N125" s="152">
        <v>0</v>
      </c>
      <c r="O125" s="69">
        <f t="shared" si="30"/>
        <v>0</v>
      </c>
      <c r="P125" s="69">
        <f t="shared" si="31"/>
        <v>19135.629166666669</v>
      </c>
      <c r="Q125" s="70">
        <f t="shared" si="32"/>
        <v>19135.629166666669</v>
      </c>
      <c r="R125" s="153">
        <f t="shared" si="51"/>
        <v>0</v>
      </c>
      <c r="S125" s="70">
        <v>0</v>
      </c>
      <c r="T125" s="165">
        <f t="shared" si="33"/>
        <v>19135.629166666669</v>
      </c>
      <c r="U125" s="163">
        <f t="shared" si="34"/>
        <v>113.90255456349207</v>
      </c>
      <c r="V125" s="164">
        <f t="shared" si="52"/>
        <v>336</v>
      </c>
      <c r="W125" s="164">
        <f t="shared" si="35"/>
        <v>134.4</v>
      </c>
      <c r="X125" s="144">
        <f t="shared" si="36"/>
        <v>350</v>
      </c>
      <c r="Y125" s="150">
        <f t="shared" si="37"/>
        <v>116.66666666666667</v>
      </c>
      <c r="Z125" s="150">
        <f t="shared" si="38"/>
        <v>350</v>
      </c>
      <c r="AA125" s="150">
        <f t="shared" si="39"/>
        <v>1155</v>
      </c>
      <c r="AB125" s="182">
        <f t="shared" si="40"/>
        <v>65.333333333333343</v>
      </c>
      <c r="AC125" s="182">
        <f t="shared" si="41"/>
        <v>224.58333333333337</v>
      </c>
      <c r="AD125" s="182">
        <f t="shared" si="42"/>
        <v>420</v>
      </c>
      <c r="AE125" s="180">
        <f t="shared" si="43"/>
        <v>33.6</v>
      </c>
      <c r="AF125" s="150">
        <f t="shared" si="44"/>
        <v>378</v>
      </c>
      <c r="AG125" s="150"/>
      <c r="AH125" s="150">
        <f t="shared" si="45"/>
        <v>600</v>
      </c>
      <c r="AI125" s="150">
        <f t="shared" si="53"/>
        <v>6143.5833333333339</v>
      </c>
      <c r="AJ125" s="154">
        <f t="shared" si="46"/>
        <v>4401.1947083333343</v>
      </c>
      <c r="AK125" s="70">
        <f t="shared" si="47"/>
        <v>4390.851125000001</v>
      </c>
      <c r="AL125" s="155">
        <f t="shared" si="48"/>
        <v>0.22945945945945947</v>
      </c>
      <c r="AM125" s="155">
        <f t="shared" si="49"/>
        <v>0.29799929799929803</v>
      </c>
    </row>
    <row r="126" spans="2:39" s="102" customFormat="1" ht="15.75" hidden="1" customHeight="1" x14ac:dyDescent="0.2">
      <c r="B126" s="174" t="s">
        <v>344</v>
      </c>
      <c r="C126" s="171" t="s">
        <v>109</v>
      </c>
      <c r="D126" s="103">
        <v>176</v>
      </c>
      <c r="E126" s="104" t="s">
        <v>76</v>
      </c>
      <c r="F126" s="92">
        <v>3100</v>
      </c>
      <c r="G126" s="219">
        <f>IF(F126&gt;0,F126,
IF(B126&lt;&gt;"",
IF(C126="CLT",VLOOKUP(B126,'Lista Profissionais'!$C$11:$H$348,3,0),
VLOOKUP(B126,'Lista Profissionais'!$C$11:$H$348,6,0)), 0))</f>
        <v>3100</v>
      </c>
      <c r="H126" s="219">
        <f>IF(B126&lt;&gt;"",
IF(C126="CLT",
       5*$M$5 + (G126*'Lista Profissionais'!$G$9),0),0)</f>
        <v>870</v>
      </c>
      <c r="I126" s="66">
        <f t="shared" si="27"/>
        <v>3100</v>
      </c>
      <c r="J126" s="66">
        <f t="shared" si="28"/>
        <v>7457.2638888888887</v>
      </c>
      <c r="K126" s="66">
        <f t="shared" si="29"/>
        <v>10199.323888888888</v>
      </c>
      <c r="L126" s="93">
        <f t="shared" si="50"/>
        <v>42.370817550505052</v>
      </c>
      <c r="M126" s="151">
        <v>11922</v>
      </c>
      <c r="N126" s="152">
        <v>0</v>
      </c>
      <c r="O126" s="69">
        <f t="shared" si="30"/>
        <v>0</v>
      </c>
      <c r="P126" s="69">
        <f t="shared" si="31"/>
        <v>11922</v>
      </c>
      <c r="Q126" s="70">
        <f t="shared" si="32"/>
        <v>11922</v>
      </c>
      <c r="R126" s="153">
        <f t="shared" si="51"/>
        <v>0</v>
      </c>
      <c r="S126" s="70">
        <v>0</v>
      </c>
      <c r="T126" s="165">
        <f t="shared" si="33"/>
        <v>11922</v>
      </c>
      <c r="U126" s="163">
        <f t="shared" si="34"/>
        <v>67.73863636363636</v>
      </c>
      <c r="V126" s="164">
        <f t="shared" si="52"/>
        <v>248</v>
      </c>
      <c r="W126" s="164">
        <f t="shared" si="35"/>
        <v>99.2</v>
      </c>
      <c r="X126" s="144">
        <f t="shared" si="36"/>
        <v>258.33333333333331</v>
      </c>
      <c r="Y126" s="150">
        <f t="shared" si="37"/>
        <v>86.1111111111111</v>
      </c>
      <c r="Z126" s="150">
        <f t="shared" si="38"/>
        <v>258.33333333333331</v>
      </c>
      <c r="AA126" s="150">
        <f t="shared" si="39"/>
        <v>852.50000000000011</v>
      </c>
      <c r="AB126" s="182">
        <f t="shared" si="40"/>
        <v>48.222222222222221</v>
      </c>
      <c r="AC126" s="182">
        <f t="shared" si="41"/>
        <v>165.76388888888889</v>
      </c>
      <c r="AD126" s="182">
        <f t="shared" si="42"/>
        <v>310</v>
      </c>
      <c r="AE126" s="180">
        <f t="shared" si="43"/>
        <v>24.8</v>
      </c>
      <c r="AF126" s="150">
        <f t="shared" si="44"/>
        <v>279</v>
      </c>
      <c r="AG126" s="150">
        <v>257</v>
      </c>
      <c r="AH126" s="150">
        <f t="shared" si="45"/>
        <v>600</v>
      </c>
      <c r="AI126" s="150">
        <f t="shared" si="53"/>
        <v>4357.2638888888887</v>
      </c>
      <c r="AJ126" s="154">
        <f t="shared" si="46"/>
        <v>2742.06</v>
      </c>
      <c r="AK126" s="70">
        <f t="shared" si="47"/>
        <v>1722.6761111111118</v>
      </c>
      <c r="AL126" s="155">
        <f t="shared" si="48"/>
        <v>0.14449556375701325</v>
      </c>
      <c r="AM126" s="155">
        <f t="shared" si="49"/>
        <v>0.18765657630780938</v>
      </c>
    </row>
    <row r="127" spans="2:39" s="102" customFormat="1" ht="15.75" hidden="1" customHeight="1" x14ac:dyDescent="0.2">
      <c r="B127" s="174" t="s">
        <v>345</v>
      </c>
      <c r="C127" s="171" t="s">
        <v>73</v>
      </c>
      <c r="D127" s="103">
        <v>176</v>
      </c>
      <c r="E127" s="104" t="s">
        <v>76</v>
      </c>
      <c r="F127" s="92">
        <v>6920</v>
      </c>
      <c r="G127" s="219">
        <f>IF(F127&gt;0,F127,
IF(B127&lt;&gt;"",
IF(C127="CLT",VLOOKUP(B127,'Lista Profissionais'!$C$11:$H$348,3,0),
VLOOKUP(B127,'Lista Profissionais'!$C$11:$H$348,6,0)), 0))</f>
        <v>6920</v>
      </c>
      <c r="H127" s="219">
        <f>IF(B127&lt;&gt;"",
IF(C127="CLT",
       22*$M$5 + (G127*'Lista Profissionais'!$G$9),0),0)</f>
        <v>0</v>
      </c>
      <c r="I127" s="66">
        <f t="shared" si="27"/>
        <v>6920</v>
      </c>
      <c r="J127" s="66">
        <f t="shared" si="28"/>
        <v>6920</v>
      </c>
      <c r="K127" s="66">
        <f t="shared" si="29"/>
        <v>9662.06</v>
      </c>
      <c r="L127" s="93">
        <f t="shared" si="50"/>
        <v>39.31818181818182</v>
      </c>
      <c r="M127" s="151">
        <v>11922</v>
      </c>
      <c r="N127" s="152">
        <v>0</v>
      </c>
      <c r="O127" s="69">
        <f t="shared" si="30"/>
        <v>0</v>
      </c>
      <c r="P127" s="69">
        <f t="shared" si="31"/>
        <v>11922</v>
      </c>
      <c r="Q127" s="70">
        <f t="shared" si="32"/>
        <v>11922</v>
      </c>
      <c r="R127" s="153">
        <f t="shared" si="51"/>
        <v>0</v>
      </c>
      <c r="S127" s="70">
        <v>0</v>
      </c>
      <c r="T127" s="165">
        <f t="shared" si="33"/>
        <v>11922</v>
      </c>
      <c r="U127" s="163">
        <f t="shared" si="34"/>
        <v>67.73863636363636</v>
      </c>
      <c r="V127" s="164">
        <f t="shared" si="52"/>
        <v>0</v>
      </c>
      <c r="W127" s="164">
        <f t="shared" si="35"/>
        <v>0</v>
      </c>
      <c r="X127" s="144">
        <f t="shared" si="36"/>
        <v>0</v>
      </c>
      <c r="Y127" s="150">
        <f t="shared" si="37"/>
        <v>0</v>
      </c>
      <c r="Z127" s="150">
        <f t="shared" si="38"/>
        <v>0</v>
      </c>
      <c r="AA127" s="150">
        <f t="shared" si="39"/>
        <v>0</v>
      </c>
      <c r="AB127" s="182">
        <f t="shared" si="40"/>
        <v>0</v>
      </c>
      <c r="AC127" s="182">
        <f t="shared" si="41"/>
        <v>0</v>
      </c>
      <c r="AD127" s="182">
        <f t="shared" si="42"/>
        <v>0</v>
      </c>
      <c r="AE127" s="180">
        <f t="shared" si="43"/>
        <v>0</v>
      </c>
      <c r="AF127" s="150">
        <f t="shared" si="44"/>
        <v>0</v>
      </c>
      <c r="AG127" s="150"/>
      <c r="AH127" s="150">
        <f t="shared" si="45"/>
        <v>0</v>
      </c>
      <c r="AI127" s="150">
        <f t="shared" si="53"/>
        <v>0</v>
      </c>
      <c r="AJ127" s="154">
        <f t="shared" si="46"/>
        <v>2742.06</v>
      </c>
      <c r="AK127" s="70">
        <f t="shared" si="47"/>
        <v>2259.9400000000005</v>
      </c>
      <c r="AL127" s="155">
        <f t="shared" si="48"/>
        <v>0.18956047643012922</v>
      </c>
      <c r="AM127" s="155">
        <f t="shared" si="49"/>
        <v>0.24618243692224573</v>
      </c>
    </row>
    <row r="128" spans="2:39" s="102" customFormat="1" ht="15.75" hidden="1" customHeight="1" x14ac:dyDescent="0.2">
      <c r="B128" s="174" t="s">
        <v>370</v>
      </c>
      <c r="C128" s="171" t="s">
        <v>109</v>
      </c>
      <c r="D128" s="103">
        <v>168</v>
      </c>
      <c r="E128" s="104" t="s">
        <v>76</v>
      </c>
      <c r="F128" s="92">
        <v>0</v>
      </c>
      <c r="G128" s="219">
        <f>IF(F128&gt;0,F128,
IF(B128&lt;&gt;"",
IF(C128="CLT",VLOOKUP(B128,'Lista Profissionais'!$C$11:$H$348,3,0),
VLOOKUP(B128,'Lista Profissionais'!$C$11:$H$348,6,0)), 0))</f>
        <v>12000</v>
      </c>
      <c r="H128" s="219">
        <f>IF(B128&lt;&gt;"",
IF(C128="CLT",
       22*$M$5 + (G128*'Lista Profissionais'!$G$9),0),0)</f>
        <v>3500</v>
      </c>
      <c r="I128" s="66">
        <f t="shared" si="27"/>
        <v>11454.545454545456</v>
      </c>
      <c r="J128" s="66">
        <f t="shared" si="28"/>
        <v>25273.409090909092</v>
      </c>
      <c r="K128" s="66">
        <f t="shared" si="29"/>
        <v>36027.244659090909</v>
      </c>
      <c r="L128" s="93">
        <f t="shared" si="50"/>
        <v>150.43695887445887</v>
      </c>
      <c r="M128" s="151"/>
      <c r="N128" s="152">
        <v>0</v>
      </c>
      <c r="O128" s="69">
        <f t="shared" si="30"/>
        <v>0</v>
      </c>
      <c r="P128" s="69">
        <f t="shared" si="31"/>
        <v>46755.806818181823</v>
      </c>
      <c r="Q128" s="70">
        <f t="shared" si="32"/>
        <v>46755.806818181823</v>
      </c>
      <c r="R128" s="153">
        <f t="shared" si="51"/>
        <v>0</v>
      </c>
      <c r="S128" s="70">
        <v>0</v>
      </c>
      <c r="T128" s="165">
        <f t="shared" si="33"/>
        <v>46755.806818181823</v>
      </c>
      <c r="U128" s="163">
        <f t="shared" si="34"/>
        <v>278.30837391774895</v>
      </c>
      <c r="V128" s="164">
        <f t="shared" si="52"/>
        <v>916.36363636363649</v>
      </c>
      <c r="W128" s="164">
        <f t="shared" si="35"/>
        <v>366.54545454545462</v>
      </c>
      <c r="X128" s="144">
        <f t="shared" si="36"/>
        <v>954.54545454545462</v>
      </c>
      <c r="Y128" s="150">
        <f t="shared" si="37"/>
        <v>318.18181818181819</v>
      </c>
      <c r="Z128" s="150">
        <f t="shared" si="38"/>
        <v>954.54545454545462</v>
      </c>
      <c r="AA128" s="150">
        <f t="shared" si="39"/>
        <v>3150.0000000000005</v>
      </c>
      <c r="AB128" s="182">
        <f t="shared" si="40"/>
        <v>178.18181818181822</v>
      </c>
      <c r="AC128" s="182">
        <f t="shared" si="41"/>
        <v>612.50000000000011</v>
      </c>
      <c r="AD128" s="182">
        <f t="shared" si="42"/>
        <v>1145.4545454545455</v>
      </c>
      <c r="AE128" s="180">
        <f t="shared" si="43"/>
        <v>91.63636363636364</v>
      </c>
      <c r="AF128" s="150">
        <f t="shared" si="44"/>
        <v>1030.909090909091</v>
      </c>
      <c r="AG128" s="150"/>
      <c r="AH128" s="150">
        <f t="shared" si="45"/>
        <v>600</v>
      </c>
      <c r="AI128" s="150">
        <f t="shared" si="53"/>
        <v>13818.863636363636</v>
      </c>
      <c r="AJ128" s="154">
        <f t="shared" si="46"/>
        <v>10753.835568181819</v>
      </c>
      <c r="AK128" s="70">
        <f t="shared" si="47"/>
        <v>10728.56215909091</v>
      </c>
      <c r="AL128" s="155">
        <f t="shared" si="48"/>
        <v>0.22945945945945947</v>
      </c>
      <c r="AM128" s="155">
        <f t="shared" si="49"/>
        <v>0.29799929799929803</v>
      </c>
    </row>
    <row r="129" spans="2:38" s="102" customFormat="1" ht="15.75" customHeight="1" x14ac:dyDescent="0.25">
      <c r="B129" s="31"/>
      <c r="C129" s="31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2:38" s="102" customFormat="1" ht="15.75" customHeight="1" x14ac:dyDescent="0.25">
      <c r="B130" s="31"/>
      <c r="C130" s="31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2:38" s="102" customFormat="1" ht="15.75" customHeight="1" x14ac:dyDescent="0.25">
      <c r="B131" s="31"/>
      <c r="C131" s="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2:38" s="102" customFormat="1" ht="15.75" customHeight="1" x14ac:dyDescent="0.25">
      <c r="B132" s="31"/>
      <c r="C132" s="31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>
        <f>2500/3</f>
        <v>833.33333333333337</v>
      </c>
      <c r="AD132"/>
      <c r="AE132"/>
      <c r="AF132"/>
      <c r="AG132"/>
      <c r="AH132"/>
      <c r="AI132">
        <v>5</v>
      </c>
      <c r="AJ132"/>
      <c r="AK132"/>
      <c r="AL132"/>
    </row>
    <row r="133" spans="2:38" s="102" customFormat="1" ht="15.75" customHeight="1" x14ac:dyDescent="0.25">
      <c r="B133" s="31"/>
      <c r="C133" s="31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 s="229">
        <f>176*U126</f>
        <v>11922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51.4</v>
      </c>
      <c r="AJ133"/>
      <c r="AK133"/>
      <c r="AL133"/>
    </row>
    <row r="134" spans="2:38" s="102" customFormat="1" ht="15.75" customHeight="1" x14ac:dyDescent="0.25">
      <c r="B134" s="31"/>
      <c r="C134" s="31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 s="140">
        <f>AI132*AI133</f>
        <v>257</v>
      </c>
      <c r="AJ134"/>
      <c r="AK134"/>
      <c r="AL134"/>
    </row>
    <row r="135" spans="2:38" s="102" customFormat="1" ht="15.75" customHeight="1" x14ac:dyDescent="0.25">
      <c r="B135" s="31"/>
      <c r="C135" s="31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2:38" s="102" customFormat="1" ht="15.75" customHeight="1" x14ac:dyDescent="0.25">
      <c r="B136" s="31"/>
      <c r="C136" s="31"/>
      <c r="E136"/>
      <c r="F136"/>
      <c r="G136"/>
      <c r="H136" s="136">
        <f>(F72-16000)/16000</f>
        <v>9.375E-2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2:38" s="102" customFormat="1" ht="15.75" customHeight="1" x14ac:dyDescent="0.25">
      <c r="B137" s="31"/>
      <c r="C137" s="31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2:38" s="102" customFormat="1" ht="15.75" customHeight="1" x14ac:dyDescent="0.25">
      <c r="B138" s="31"/>
      <c r="C138" s="31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2:38" s="102" customFormat="1" ht="15.75" customHeight="1" x14ac:dyDescent="0.25">
      <c r="B139" s="31"/>
      <c r="C139" s="31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0" spans="2:38" s="102" customFormat="1" ht="15.75" customHeight="1" x14ac:dyDescent="0.25">
      <c r="B140" s="31"/>
      <c r="C140" s="31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</row>
    <row r="141" spans="2:38" s="102" customFormat="1" ht="15.75" customHeight="1" x14ac:dyDescent="0.25">
      <c r="B141" s="31"/>
      <c r="C141" s="3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2:38" s="102" customFormat="1" ht="15.75" customHeight="1" x14ac:dyDescent="0.25">
      <c r="B142" s="31"/>
      <c r="C142" s="31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</row>
    <row r="143" spans="2:38" s="102" customFormat="1" ht="15.75" customHeight="1" x14ac:dyDescent="0.25">
      <c r="B143" s="31"/>
      <c r="C143" s="31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</row>
    <row r="144" spans="2:38" s="102" customFormat="1" ht="15.75" customHeight="1" x14ac:dyDescent="0.25">
      <c r="B144" s="31"/>
      <c r="C144" s="31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</row>
    <row r="145" spans="2:38" s="102" customFormat="1" ht="15.75" customHeight="1" x14ac:dyDescent="0.25">
      <c r="B145" s="31"/>
      <c r="C145" s="31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</row>
    <row r="146" spans="2:38" s="102" customFormat="1" ht="15.75" customHeight="1" x14ac:dyDescent="0.25">
      <c r="B146" s="31"/>
      <c r="C146" s="31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2:38" s="102" customFormat="1" ht="15.75" customHeight="1" x14ac:dyDescent="0.25">
      <c r="B147" s="31"/>
      <c r="C147" s="31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2:38" s="102" customFormat="1" ht="15.75" customHeight="1" x14ac:dyDescent="0.25">
      <c r="B148" s="31"/>
      <c r="C148" s="31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2:38" s="102" customFormat="1" ht="15.75" customHeight="1" x14ac:dyDescent="0.25">
      <c r="B149" s="31"/>
      <c r="C149" s="31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2:38" s="102" customFormat="1" ht="15.75" customHeight="1" x14ac:dyDescent="0.25">
      <c r="B150" s="31"/>
      <c r="C150" s="31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2:38" s="102" customFormat="1" ht="15.75" customHeight="1" x14ac:dyDescent="0.25">
      <c r="B151" s="31"/>
      <c r="C151" s="3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2:38" s="102" customFormat="1" ht="15.75" customHeight="1" x14ac:dyDescent="0.25">
      <c r="B152" s="31"/>
      <c r="C152" s="31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2:38" s="102" customFormat="1" ht="15.75" customHeight="1" x14ac:dyDescent="0.25">
      <c r="B153" s="31"/>
      <c r="C153" s="31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2:38" s="102" customFormat="1" ht="15.75" customHeight="1" x14ac:dyDescent="0.25">
      <c r="B154" s="31"/>
      <c r="C154" s="31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2:38" s="102" customFormat="1" ht="15.75" customHeight="1" x14ac:dyDescent="0.25">
      <c r="B155" s="31"/>
      <c r="C155" s="31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2:38" s="102" customFormat="1" ht="15.75" customHeight="1" x14ac:dyDescent="0.25">
      <c r="B156" s="31"/>
      <c r="C156" s="31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7" spans="2:38" s="102" customFormat="1" ht="15.75" customHeight="1" x14ac:dyDescent="0.25">
      <c r="B157" s="31"/>
      <c r="C157" s="31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</row>
    <row r="158" spans="2:38" s="102" customFormat="1" ht="15.75" customHeight="1" x14ac:dyDescent="0.25">
      <c r="B158" s="31"/>
      <c r="C158" s="31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 spans="2:38" s="102" customFormat="1" ht="15.75" customHeight="1" x14ac:dyDescent="0.25">
      <c r="B159" s="31"/>
      <c r="C159" s="31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</row>
    <row r="160" spans="2:38" s="102" customFormat="1" ht="15.75" customHeight="1" x14ac:dyDescent="0.25">
      <c r="B160" s="31"/>
      <c r="C160" s="31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</row>
    <row r="161" spans="2:38" s="102" customFormat="1" ht="15.75" customHeight="1" x14ac:dyDescent="0.25">
      <c r="B161" s="31"/>
      <c r="C161" s="3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</row>
    <row r="162" spans="2:38" s="102" customFormat="1" ht="15.75" customHeight="1" x14ac:dyDescent="0.25">
      <c r="B162" s="31"/>
      <c r="C162" s="31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</row>
    <row r="163" spans="2:38" s="102" customFormat="1" ht="15.75" customHeight="1" x14ac:dyDescent="0.25">
      <c r="B163" s="31"/>
      <c r="C163" s="31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2:38" s="102" customFormat="1" ht="15.75" customHeight="1" x14ac:dyDescent="0.25">
      <c r="B164" s="31"/>
      <c r="C164" s="31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2:38" s="102" customFormat="1" ht="15.75" customHeight="1" x14ac:dyDescent="0.25">
      <c r="B165" s="31"/>
      <c r="C165" s="31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2:38" s="102" customFormat="1" ht="15.75" customHeight="1" x14ac:dyDescent="0.25">
      <c r="B166" s="31"/>
      <c r="C166" s="31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2:38" s="102" customFormat="1" ht="15.75" customHeight="1" x14ac:dyDescent="0.25">
      <c r="B167" s="31"/>
      <c r="C167" s="31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2:38" s="102" customFormat="1" ht="15.75" customHeight="1" x14ac:dyDescent="0.25">
      <c r="B168" s="31"/>
      <c r="C168" s="31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2:38" s="102" customFormat="1" ht="15.75" customHeight="1" x14ac:dyDescent="0.25">
      <c r="B169" s="31"/>
      <c r="C169" s="31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2:38" s="102" customFormat="1" ht="15.75" customHeight="1" x14ac:dyDescent="0.25">
      <c r="B170" s="31"/>
      <c r="C170" s="31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2:38" s="102" customFormat="1" ht="15.75" customHeight="1" x14ac:dyDescent="0.25">
      <c r="B171" s="31"/>
      <c r="C171" s="3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2:38" s="102" customFormat="1" ht="15.75" customHeight="1" x14ac:dyDescent="0.25">
      <c r="B172" s="31"/>
      <c r="C172" s="31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2:38" s="102" customFormat="1" ht="15.75" customHeight="1" x14ac:dyDescent="0.25">
      <c r="B173" s="31"/>
      <c r="C173" s="31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4" spans="2:38" s="102" customFormat="1" ht="15.75" customHeight="1" x14ac:dyDescent="0.25">
      <c r="B174" s="31"/>
      <c r="C174" s="31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</row>
    <row r="175" spans="2:38" s="102" customFormat="1" ht="15.75" customHeight="1" x14ac:dyDescent="0.25">
      <c r="B175" s="31"/>
      <c r="C175" s="31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</row>
    <row r="176" spans="2:38" s="102" customFormat="1" ht="15.75" customHeight="1" x14ac:dyDescent="0.25">
      <c r="B176" s="31"/>
      <c r="C176" s="31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</row>
    <row r="177" spans="2:38" s="102" customFormat="1" ht="15.75" customHeight="1" x14ac:dyDescent="0.25">
      <c r="B177" s="31"/>
      <c r="C177" s="31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</row>
    <row r="178" spans="2:38" s="102" customFormat="1" ht="15.75" customHeight="1" x14ac:dyDescent="0.25">
      <c r="B178" s="31"/>
      <c r="C178" s="31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</row>
    <row r="179" spans="2:38" s="102" customFormat="1" ht="15.75" customHeight="1" x14ac:dyDescent="0.25">
      <c r="B179" s="31"/>
      <c r="C179" s="31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</row>
    <row r="180" spans="2:38" s="102" customFormat="1" ht="15.75" customHeight="1" x14ac:dyDescent="0.25">
      <c r="B180" s="31"/>
      <c r="C180" s="31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2:38" s="102" customFormat="1" ht="15.75" customHeight="1" x14ac:dyDescent="0.25">
      <c r="B181" s="31"/>
      <c r="C181" s="3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2:38" s="102" customFormat="1" ht="15.75" customHeight="1" x14ac:dyDescent="0.25">
      <c r="B182" s="31"/>
      <c r="C182" s="31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2:38" s="102" customFormat="1" ht="15.75" customHeight="1" x14ac:dyDescent="0.25">
      <c r="B183" s="31"/>
      <c r="C183" s="31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2:38" s="102" customFormat="1" ht="15.75" customHeight="1" x14ac:dyDescent="0.25">
      <c r="B184" s="31"/>
      <c r="C184" s="31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2:38" s="102" customFormat="1" ht="15.75" customHeight="1" x14ac:dyDescent="0.25">
      <c r="B185" s="31"/>
      <c r="C185" s="31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2:38" s="102" customFormat="1" ht="15.75" customHeight="1" x14ac:dyDescent="0.25">
      <c r="B186" s="31"/>
      <c r="C186" s="31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2:38" s="102" customFormat="1" ht="15.75" customHeight="1" x14ac:dyDescent="0.25">
      <c r="B187" s="31"/>
      <c r="C187" s="31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2:38" s="102" customFormat="1" ht="15.75" customHeight="1" x14ac:dyDescent="0.25">
      <c r="B188" s="31"/>
      <c r="C188" s="31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2:38" s="102" customFormat="1" ht="15.75" customHeight="1" x14ac:dyDescent="0.25">
      <c r="B189" s="31"/>
      <c r="C189" s="31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2:38" s="102" customFormat="1" ht="15.75" customHeight="1" x14ac:dyDescent="0.25">
      <c r="B190" s="31"/>
      <c r="C190" s="31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 spans="2:38" s="102" customFormat="1" ht="15.75" customHeight="1" x14ac:dyDescent="0.25">
      <c r="B191" s="31"/>
      <c r="C191" s="3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</row>
    <row r="192" spans="2:38" s="102" customFormat="1" ht="15.75" customHeight="1" x14ac:dyDescent="0.25">
      <c r="B192" s="31"/>
      <c r="C192" s="31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 spans="2:38" s="102" customFormat="1" ht="15.75" customHeight="1" x14ac:dyDescent="0.25">
      <c r="B193" s="31"/>
      <c r="C193" s="31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</row>
    <row r="194" spans="2:38" s="102" customFormat="1" ht="15.75" customHeight="1" x14ac:dyDescent="0.25">
      <c r="B194" s="31"/>
      <c r="C194" s="31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</row>
    <row r="195" spans="2:38" s="102" customFormat="1" ht="15.75" customHeight="1" x14ac:dyDescent="0.25">
      <c r="B195" s="31"/>
      <c r="C195" s="31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</row>
    <row r="196" spans="2:38" s="102" customFormat="1" ht="15.75" customHeight="1" x14ac:dyDescent="0.25">
      <c r="B196" s="31"/>
      <c r="C196" s="31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</row>
    <row r="197" spans="2:38" s="102" customFormat="1" ht="15.75" customHeight="1" x14ac:dyDescent="0.25">
      <c r="B197" s="31"/>
      <c r="C197" s="31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2:38" s="102" customFormat="1" ht="15.75" customHeight="1" x14ac:dyDescent="0.25">
      <c r="B198" s="31"/>
      <c r="C198" s="31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2:38" s="102" customFormat="1" ht="15.75" customHeight="1" x14ac:dyDescent="0.25">
      <c r="B199" s="31"/>
      <c r="C199" s="31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2:38" s="102" customFormat="1" ht="15.75" customHeight="1" x14ac:dyDescent="0.25">
      <c r="B200" s="31"/>
      <c r="C200" s="31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2:38" s="102" customFormat="1" ht="15.75" customHeight="1" x14ac:dyDescent="0.25">
      <c r="B201" s="31"/>
      <c r="C201" s="3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2:38" s="102" customFormat="1" ht="15.75" customHeight="1" x14ac:dyDescent="0.25">
      <c r="B202" s="31"/>
      <c r="C202" s="31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2:38" s="102" customFormat="1" ht="15.75" customHeight="1" x14ac:dyDescent="0.25">
      <c r="B203" s="31"/>
      <c r="C203" s="31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2:38" s="102" customFormat="1" ht="15.75" customHeight="1" x14ac:dyDescent="0.25">
      <c r="B204" s="31"/>
      <c r="C204" s="31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2:38" s="102" customFormat="1" ht="15.75" customHeight="1" x14ac:dyDescent="0.25">
      <c r="B205" s="31"/>
      <c r="C205" s="31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2:38" s="102" customFormat="1" ht="15.75" customHeight="1" x14ac:dyDescent="0.25">
      <c r="B206" s="31"/>
      <c r="C206" s="31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2:38" s="102" customFormat="1" ht="15.75" customHeight="1" x14ac:dyDescent="0.25">
      <c r="B207" s="31"/>
      <c r="C207" s="31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8" spans="2:38" s="102" customFormat="1" ht="15.75" customHeight="1" x14ac:dyDescent="0.25">
      <c r="B208" s="31"/>
      <c r="C208" s="31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</row>
    <row r="209" spans="2:38" s="102" customFormat="1" ht="15.75" customHeight="1" x14ac:dyDescent="0.25">
      <c r="B209" s="31"/>
      <c r="C209" s="31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 spans="2:38" s="102" customFormat="1" ht="15.75" customHeight="1" x14ac:dyDescent="0.25">
      <c r="B210" s="31"/>
      <c r="C210" s="31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11" spans="2:38" s="102" customFormat="1" ht="15.75" customHeight="1" x14ac:dyDescent="0.25">
      <c r="B211" s="31"/>
      <c r="C211" s="3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</row>
    <row r="212" spans="2:38" s="102" customFormat="1" ht="15.75" customHeight="1" x14ac:dyDescent="0.25">
      <c r="B212" s="31"/>
      <c r="C212" s="31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</row>
    <row r="213" spans="2:38" s="102" customFormat="1" ht="15.75" customHeight="1" x14ac:dyDescent="0.25">
      <c r="B213" s="31"/>
      <c r="C213" s="3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2:38" s="102" customFormat="1" ht="15.75" customHeight="1" x14ac:dyDescent="0.25">
      <c r="B214" s="31"/>
      <c r="C214" s="3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2:38" s="102" customFormat="1" ht="15.75" customHeight="1" x14ac:dyDescent="0.25">
      <c r="B215" s="31"/>
      <c r="C215" s="3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2:38" s="102" customFormat="1" ht="15.75" customHeight="1" x14ac:dyDescent="0.25">
      <c r="B216" s="31"/>
      <c r="C216" s="31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2:38" s="102" customFormat="1" ht="15.75" customHeight="1" x14ac:dyDescent="0.25">
      <c r="B217" s="31"/>
      <c r="C217" s="31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2:38" s="102" customFormat="1" ht="15.75" customHeight="1" x14ac:dyDescent="0.25">
      <c r="B218" s="31"/>
      <c r="C218" s="31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2:38" s="102" customFormat="1" ht="15.75" customHeight="1" x14ac:dyDescent="0.25">
      <c r="B219" s="31"/>
      <c r="C219" s="31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2:38" s="102" customFormat="1" ht="15.75" customHeight="1" x14ac:dyDescent="0.25">
      <c r="B220" s="31"/>
      <c r="C220" s="31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2:38" s="102" customFormat="1" ht="15.75" customHeight="1" x14ac:dyDescent="0.25">
      <c r="B221" s="31"/>
      <c r="C221" s="3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2:38" s="102" customFormat="1" ht="15.75" customHeight="1" x14ac:dyDescent="0.25">
      <c r="B222" s="31"/>
      <c r="C222" s="31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2:38" s="102" customFormat="1" ht="15.75" customHeight="1" x14ac:dyDescent="0.25">
      <c r="B223" s="31"/>
      <c r="C223" s="31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2:38" s="102" customFormat="1" ht="15.75" customHeight="1" x14ac:dyDescent="0.25">
      <c r="B224" s="31"/>
      <c r="C224" s="31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5" spans="2:38" s="102" customFormat="1" ht="15.75" customHeight="1" x14ac:dyDescent="0.25">
      <c r="B225" s="31"/>
      <c r="C225" s="31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2:38" s="102" customFormat="1" ht="15.75" customHeight="1" x14ac:dyDescent="0.25">
      <c r="B226" s="31"/>
      <c r="C226" s="31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</row>
    <row r="227" spans="2:38" s="102" customFormat="1" ht="15.75" customHeight="1" x14ac:dyDescent="0.25">
      <c r="B227" s="31"/>
      <c r="C227" s="31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2:38" s="102" customFormat="1" ht="15.75" customHeight="1" x14ac:dyDescent="0.25">
      <c r="B228" s="31"/>
      <c r="C228" s="31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2:38" s="102" customFormat="1" ht="15.75" customHeight="1" x14ac:dyDescent="0.25">
      <c r="B229" s="31"/>
      <c r="C229" s="31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</row>
    <row r="230" spans="2:38" s="102" customFormat="1" ht="15.75" customHeight="1" x14ac:dyDescent="0.25">
      <c r="B230" s="31"/>
      <c r="C230" s="31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</row>
    <row r="231" spans="2:38" s="102" customFormat="1" ht="15.75" customHeight="1" x14ac:dyDescent="0.25">
      <c r="B231" s="31"/>
      <c r="C231" s="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2:38" s="102" customFormat="1" ht="15.75" customHeight="1" x14ac:dyDescent="0.25">
      <c r="B232" s="31"/>
      <c r="C232" s="31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2:38" s="102" customFormat="1" ht="15.75" customHeight="1" x14ac:dyDescent="0.25">
      <c r="B233" s="31"/>
      <c r="C233" s="31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2:38" s="102" customFormat="1" ht="15.75" customHeight="1" x14ac:dyDescent="0.25">
      <c r="B234" s="31"/>
      <c r="C234" s="31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2:38" s="102" customFormat="1" ht="15.75" customHeight="1" x14ac:dyDescent="0.25">
      <c r="B235" s="31"/>
      <c r="C235" s="31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2:38" s="102" customFormat="1" ht="15.75" customHeight="1" x14ac:dyDescent="0.25">
      <c r="B236" s="31"/>
      <c r="C236" s="31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2:38" s="102" customFormat="1" ht="15.75" customHeight="1" x14ac:dyDescent="0.25">
      <c r="B237" s="31"/>
      <c r="C237" s="31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2:38" s="102" customFormat="1" ht="15.75" customHeight="1" x14ac:dyDescent="0.25">
      <c r="B238" s="31"/>
      <c r="C238" s="31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2:38" s="102" customFormat="1" ht="15.75" customHeight="1" x14ac:dyDescent="0.25">
      <c r="B239" s="31"/>
      <c r="C239" s="31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2:38" s="102" customFormat="1" ht="15.75" customHeight="1" x14ac:dyDescent="0.25">
      <c r="B240" s="31"/>
      <c r="C240" s="31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2:38" s="102" customFormat="1" ht="15.75" customHeight="1" x14ac:dyDescent="0.25">
      <c r="B241" s="31"/>
      <c r="C241" s="3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2" spans="2:38" s="102" customFormat="1" ht="15.75" customHeight="1" x14ac:dyDescent="0.25">
      <c r="B242" s="31"/>
      <c r="C242" s="31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</row>
    <row r="243" spans="2:38" s="102" customFormat="1" ht="15.75" customHeight="1" x14ac:dyDescent="0.25">
      <c r="B243" s="31"/>
      <c r="C243" s="31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2:38" s="102" customFormat="1" ht="15.75" customHeight="1" x14ac:dyDescent="0.25">
      <c r="B244" s="31"/>
      <c r="C244" s="31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 spans="2:38" s="102" customFormat="1" ht="15.75" customHeight="1" x14ac:dyDescent="0.25">
      <c r="B245" s="31"/>
      <c r="C245" s="31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</row>
    <row r="246" spans="2:38" s="102" customFormat="1" ht="15.75" customHeight="1" x14ac:dyDescent="0.25">
      <c r="B246" s="31"/>
      <c r="C246" s="31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</row>
    <row r="247" spans="2:38" s="102" customFormat="1" ht="15.75" customHeight="1" x14ac:dyDescent="0.25">
      <c r="B247" s="31"/>
      <c r="C247" s="31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</row>
    <row r="248" spans="2:38" s="102" customFormat="1" ht="15.75" customHeight="1" x14ac:dyDescent="0.25">
      <c r="B248" s="31"/>
      <c r="C248" s="31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2:38" s="102" customFormat="1" ht="15.75" customHeight="1" x14ac:dyDescent="0.25">
      <c r="B249" s="31"/>
      <c r="C249" s="31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2:38" s="102" customFormat="1" ht="15.75" customHeight="1" x14ac:dyDescent="0.25">
      <c r="B250" s="31"/>
      <c r="C250" s="31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2:38" s="102" customFormat="1" ht="15.75" customHeight="1" x14ac:dyDescent="0.25">
      <c r="B251" s="31"/>
      <c r="C251" s="3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2:38" s="102" customFormat="1" ht="15.75" customHeight="1" x14ac:dyDescent="0.25">
      <c r="B252" s="31"/>
      <c r="C252" s="31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2:38" s="102" customFormat="1" ht="15.75" customHeight="1" x14ac:dyDescent="0.25">
      <c r="B253" s="31"/>
      <c r="C253" s="31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2:38" s="102" customFormat="1" ht="15.75" customHeight="1" x14ac:dyDescent="0.25">
      <c r="B254" s="31"/>
      <c r="C254" s="31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2:38" s="102" customFormat="1" ht="15.75" customHeight="1" x14ac:dyDescent="0.25">
      <c r="B255" s="31"/>
      <c r="C255" s="31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2:38" s="102" customFormat="1" ht="15.75" customHeight="1" x14ac:dyDescent="0.25">
      <c r="B256" s="31"/>
      <c r="C256" s="31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2:38" s="102" customFormat="1" ht="15.75" customHeight="1" x14ac:dyDescent="0.25">
      <c r="B257" s="31"/>
      <c r="C257" s="31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2:38" s="102" customFormat="1" ht="15.75" customHeight="1" x14ac:dyDescent="0.25">
      <c r="B258" s="31"/>
      <c r="C258" s="31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59" spans="2:38" s="102" customFormat="1" ht="15.75" customHeight="1" x14ac:dyDescent="0.25">
      <c r="B259" s="31"/>
      <c r="C259" s="31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</row>
    <row r="260" spans="2:38" s="102" customFormat="1" ht="15.75" customHeight="1" x14ac:dyDescent="0.25">
      <c r="B260" s="31"/>
      <c r="C260" s="31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</row>
    <row r="261" spans="2:38" s="102" customFormat="1" ht="15.75" customHeight="1" x14ac:dyDescent="0.25">
      <c r="B261" s="31"/>
      <c r="C261" s="3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</row>
    <row r="262" spans="2:38" s="102" customFormat="1" ht="15.75" customHeight="1" x14ac:dyDescent="0.25">
      <c r="B262" s="31"/>
      <c r="C262" s="31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</row>
    <row r="263" spans="2:38" s="102" customFormat="1" ht="15.75" customHeight="1" x14ac:dyDescent="0.25">
      <c r="B263" s="31"/>
      <c r="C263" s="31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</row>
    <row r="264" spans="2:38" s="102" customFormat="1" ht="15.75" customHeight="1" x14ac:dyDescent="0.25">
      <c r="B264" s="31"/>
      <c r="C264" s="31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</row>
    <row r="265" spans="2:38" s="102" customFormat="1" ht="15.75" customHeight="1" x14ac:dyDescent="0.25">
      <c r="B265" s="31"/>
      <c r="C265" s="31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2:38" s="102" customFormat="1" ht="15.75" customHeight="1" x14ac:dyDescent="0.25">
      <c r="B266" s="31"/>
      <c r="C266" s="31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2:38" s="102" customFormat="1" ht="15.75" customHeight="1" x14ac:dyDescent="0.25">
      <c r="B267" s="31"/>
      <c r="C267" s="31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2:38" s="102" customFormat="1" ht="15.75" customHeight="1" x14ac:dyDescent="0.25">
      <c r="B268" s="31"/>
      <c r="C268" s="31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2:38" s="102" customFormat="1" ht="15.75" customHeight="1" x14ac:dyDescent="0.25">
      <c r="B269" s="31"/>
      <c r="C269" s="31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2:38" s="102" customFormat="1" ht="15.75" customHeight="1" x14ac:dyDescent="0.25">
      <c r="B270" s="31"/>
      <c r="C270" s="31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2:38" s="102" customFormat="1" ht="15.75" customHeight="1" x14ac:dyDescent="0.25">
      <c r="B271" s="31"/>
      <c r="C271" s="3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2:38" s="102" customFormat="1" ht="15.75" customHeight="1" x14ac:dyDescent="0.25">
      <c r="B272" s="31"/>
      <c r="C272" s="31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2:38" s="102" customFormat="1" ht="15.75" customHeight="1" x14ac:dyDescent="0.25">
      <c r="B273" s="31"/>
      <c r="C273" s="31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2:38" s="102" customFormat="1" ht="15.75" customHeight="1" x14ac:dyDescent="0.25">
      <c r="B274" s="31"/>
      <c r="C274" s="31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2:38" s="102" customFormat="1" ht="15.75" customHeight="1" x14ac:dyDescent="0.25">
      <c r="B275" s="31"/>
      <c r="C275" s="31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  <row r="276" spans="2:38" s="102" customFormat="1" ht="15.75" customHeight="1" x14ac:dyDescent="0.25">
      <c r="B276" s="31"/>
      <c r="C276" s="31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</row>
    <row r="277" spans="2:38" s="102" customFormat="1" ht="15.75" customHeight="1" x14ac:dyDescent="0.25">
      <c r="B277" s="31"/>
      <c r="C277" s="31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</row>
    <row r="278" spans="2:38" s="102" customFormat="1" ht="15.75" customHeight="1" x14ac:dyDescent="0.25">
      <c r="B278" s="31"/>
      <c r="C278" s="31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</row>
    <row r="279" spans="2:38" s="102" customFormat="1" ht="15.75" customHeight="1" x14ac:dyDescent="0.25">
      <c r="B279" s="31"/>
      <c r="C279" s="31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</row>
    <row r="280" spans="2:38" s="102" customFormat="1" ht="15.75" customHeight="1" x14ac:dyDescent="0.25">
      <c r="B280" s="31"/>
      <c r="C280" s="31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</row>
    <row r="281" spans="2:38" s="102" customFormat="1" ht="15.75" customHeight="1" x14ac:dyDescent="0.25">
      <c r="B281" s="31"/>
      <c r="C281" s="3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</row>
    <row r="282" spans="2:38" s="102" customFormat="1" ht="15.75" customHeight="1" x14ac:dyDescent="0.25">
      <c r="B282" s="31"/>
      <c r="C282" s="31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</row>
    <row r="283" spans="2:38" s="102" customFormat="1" ht="15.75" customHeight="1" x14ac:dyDescent="0.25">
      <c r="B283" s="31"/>
      <c r="C283" s="31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2:38" s="102" customFormat="1" ht="15.75" customHeight="1" x14ac:dyDescent="0.25">
      <c r="B284" s="31"/>
      <c r="C284" s="31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</row>
    <row r="285" spans="2:38" s="102" customFormat="1" ht="15.75" customHeight="1" x14ac:dyDescent="0.25">
      <c r="B285" s="31"/>
      <c r="C285" s="31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</row>
    <row r="286" spans="2:38" s="102" customFormat="1" ht="15.75" customHeight="1" x14ac:dyDescent="0.25">
      <c r="B286" s="31"/>
      <c r="C286" s="31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</row>
    <row r="287" spans="2:38" s="102" customFormat="1" ht="15.75" customHeight="1" x14ac:dyDescent="0.25">
      <c r="B287" s="31"/>
      <c r="C287" s="31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</row>
    <row r="288" spans="2:38" s="102" customFormat="1" ht="15.75" customHeight="1" x14ac:dyDescent="0.25">
      <c r="B288" s="31"/>
      <c r="C288" s="31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</row>
    <row r="289" spans="2:38" s="102" customFormat="1" ht="15.75" customHeight="1" x14ac:dyDescent="0.25">
      <c r="B289" s="31"/>
      <c r="C289" s="31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</row>
    <row r="290" spans="2:38" s="102" customFormat="1" ht="15.75" customHeight="1" x14ac:dyDescent="0.25">
      <c r="B290" s="31"/>
      <c r="C290" s="31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</row>
    <row r="291" spans="2:38" s="102" customFormat="1" ht="15.75" customHeight="1" x14ac:dyDescent="0.25">
      <c r="B291" s="31"/>
      <c r="C291" s="3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</row>
    <row r="292" spans="2:38" s="102" customFormat="1" ht="15.75" customHeight="1" x14ac:dyDescent="0.25">
      <c r="B292" s="31"/>
      <c r="C292" s="31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</row>
    <row r="293" spans="2:38" s="102" customFormat="1" ht="15.75" customHeight="1" x14ac:dyDescent="0.25">
      <c r="B293" s="31"/>
      <c r="C293" s="31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</row>
    <row r="294" spans="2:38" s="102" customFormat="1" ht="15.75" customHeight="1" x14ac:dyDescent="0.25">
      <c r="B294" s="31"/>
      <c r="C294" s="31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2:38" s="102" customFormat="1" ht="15.75" customHeight="1" x14ac:dyDescent="0.25">
      <c r="B295" s="31"/>
      <c r="C295" s="31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</row>
    <row r="296" spans="2:38" s="102" customFormat="1" ht="15.75" customHeight="1" x14ac:dyDescent="0.25">
      <c r="B296" s="31"/>
      <c r="C296" s="31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</row>
    <row r="297" spans="2:38" s="102" customFormat="1" ht="15.75" customHeight="1" x14ac:dyDescent="0.25">
      <c r="B297" s="31"/>
      <c r="C297" s="31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2:38" s="102" customFormat="1" ht="15.75" customHeight="1" x14ac:dyDescent="0.25">
      <c r="B298" s="31"/>
      <c r="C298" s="31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2:38" s="102" customFormat="1" ht="15.75" customHeight="1" x14ac:dyDescent="0.25">
      <c r="B299" s="31"/>
      <c r="C299" s="31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</row>
    <row r="300" spans="2:38" s="102" customFormat="1" ht="15.75" customHeight="1" x14ac:dyDescent="0.25">
      <c r="B300" s="31"/>
      <c r="C300" s="31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2:38" s="102" customFormat="1" ht="15.75" customHeight="1" x14ac:dyDescent="0.25">
      <c r="B301" s="31"/>
      <c r="C301" s="3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</row>
    <row r="302" spans="2:38" s="102" customFormat="1" ht="15.75" customHeight="1" x14ac:dyDescent="0.25">
      <c r="B302" s="31"/>
      <c r="C302" s="31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</row>
    <row r="303" spans="2:38" s="102" customFormat="1" ht="15.75" customHeight="1" x14ac:dyDescent="0.25">
      <c r="B303" s="31"/>
      <c r="C303" s="31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</row>
    <row r="304" spans="2:38" s="102" customFormat="1" ht="15.75" customHeight="1" x14ac:dyDescent="0.25">
      <c r="B304" s="31"/>
      <c r="C304" s="31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2:38" s="102" customFormat="1" ht="15.75" customHeight="1" x14ac:dyDescent="0.25">
      <c r="B305" s="31"/>
      <c r="C305" s="31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</row>
    <row r="306" spans="2:38" s="102" customFormat="1" ht="15.75" customHeight="1" x14ac:dyDescent="0.25">
      <c r="B306" s="31"/>
      <c r="C306" s="31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</row>
    <row r="307" spans="2:38" s="102" customFormat="1" ht="15.75" customHeight="1" x14ac:dyDescent="0.25">
      <c r="B307" s="31"/>
      <c r="C307" s="31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</row>
    <row r="308" spans="2:38" s="102" customFormat="1" ht="15.75" customHeight="1" x14ac:dyDescent="0.25">
      <c r="B308" s="31"/>
      <c r="C308" s="31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</row>
    <row r="309" spans="2:38" s="102" customFormat="1" ht="15.75" customHeight="1" x14ac:dyDescent="0.25">
      <c r="B309" s="31"/>
      <c r="C309" s="31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</row>
    <row r="310" spans="2:38" s="102" customFormat="1" ht="15.75" customHeight="1" x14ac:dyDescent="0.25">
      <c r="B310" s="31"/>
      <c r="C310" s="31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</row>
    <row r="311" spans="2:38" s="102" customFormat="1" ht="15.75" customHeight="1" x14ac:dyDescent="0.25">
      <c r="B311" s="31"/>
      <c r="C311" s="3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</row>
    <row r="312" spans="2:38" s="102" customFormat="1" ht="15.75" customHeight="1" x14ac:dyDescent="0.25">
      <c r="B312" s="31"/>
      <c r="C312" s="31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</row>
    <row r="313" spans="2:38" s="102" customFormat="1" ht="15.75" customHeight="1" x14ac:dyDescent="0.25">
      <c r="B313" s="31"/>
      <c r="C313" s="31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2:38" s="102" customFormat="1" ht="15.75" customHeight="1" x14ac:dyDescent="0.25">
      <c r="B314" s="31"/>
      <c r="C314" s="31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</row>
    <row r="315" spans="2:38" s="102" customFormat="1" ht="15.75" customHeight="1" x14ac:dyDescent="0.25">
      <c r="B315" s="31"/>
      <c r="C315" s="31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 spans="2:38" s="102" customFormat="1" ht="15.75" customHeight="1" x14ac:dyDescent="0.25">
      <c r="B316" s="31"/>
      <c r="C316" s="31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</row>
    <row r="317" spans="2:38" s="102" customFormat="1" ht="15.75" customHeight="1" x14ac:dyDescent="0.25">
      <c r="B317" s="31"/>
      <c r="C317" s="31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</row>
    <row r="318" spans="2:38" s="102" customFormat="1" ht="15.75" customHeight="1" x14ac:dyDescent="0.25">
      <c r="B318" s="31"/>
      <c r="C318" s="31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</row>
    <row r="319" spans="2:38" s="102" customFormat="1" ht="15.75" customHeight="1" x14ac:dyDescent="0.25">
      <c r="B319" s="31"/>
      <c r="C319" s="31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</row>
    <row r="320" spans="2:38" s="102" customFormat="1" ht="15.75" customHeight="1" x14ac:dyDescent="0.25">
      <c r="B320" s="31"/>
      <c r="C320" s="31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</row>
    <row r="321" spans="2:38" s="102" customFormat="1" ht="15.75" customHeight="1" x14ac:dyDescent="0.25">
      <c r="B321" s="31"/>
      <c r="C321" s="3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</row>
    <row r="322" spans="2:38" s="102" customFormat="1" ht="15.75" customHeight="1" x14ac:dyDescent="0.25">
      <c r="B322" s="31"/>
      <c r="C322" s="31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</row>
    <row r="323" spans="2:38" s="102" customFormat="1" ht="15.75" customHeight="1" x14ac:dyDescent="0.25">
      <c r="B323" s="31"/>
      <c r="C323" s="31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</row>
    <row r="324" spans="2:38" s="102" customFormat="1" ht="15.75" customHeight="1" x14ac:dyDescent="0.25">
      <c r="B324" s="31"/>
      <c r="C324" s="31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</row>
    <row r="325" spans="2:38" s="102" customFormat="1" ht="15.75" customHeight="1" x14ac:dyDescent="0.25">
      <c r="B325" s="31"/>
      <c r="C325" s="31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 spans="2:38" s="102" customFormat="1" ht="15.75" customHeight="1" x14ac:dyDescent="0.25">
      <c r="B326" s="31"/>
      <c r="C326" s="31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</row>
    <row r="327" spans="2:38" s="102" customFormat="1" ht="15.75" customHeight="1" x14ac:dyDescent="0.25">
      <c r="B327" s="31"/>
      <c r="C327" s="31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 spans="2:38" s="102" customFormat="1" ht="15.75" customHeight="1" x14ac:dyDescent="0.25">
      <c r="B328" s="31"/>
      <c r="C328" s="31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</row>
    <row r="329" spans="2:38" s="102" customFormat="1" ht="15.75" customHeight="1" x14ac:dyDescent="0.25">
      <c r="B329" s="31"/>
      <c r="C329" s="31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</row>
    <row r="330" spans="2:38" s="102" customFormat="1" ht="15.75" customHeight="1" x14ac:dyDescent="0.25">
      <c r="B330" s="31"/>
      <c r="C330" s="31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</row>
    <row r="331" spans="2:38" s="102" customFormat="1" ht="15.75" customHeight="1" x14ac:dyDescent="0.25">
      <c r="B331" s="31"/>
      <c r="C331" s="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</row>
    <row r="332" spans="2:38" s="102" customFormat="1" ht="15.75" customHeight="1" x14ac:dyDescent="0.25">
      <c r="B332" s="31"/>
      <c r="C332" s="31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</row>
    <row r="333" spans="2:38" s="102" customFormat="1" ht="15.75" customHeight="1" x14ac:dyDescent="0.25">
      <c r="B333" s="31"/>
      <c r="C333" s="31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</row>
    <row r="334" spans="2:38" s="102" customFormat="1" ht="15.75" customHeight="1" x14ac:dyDescent="0.25">
      <c r="B334" s="31"/>
      <c r="C334" s="31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</row>
    <row r="335" spans="2:38" s="102" customFormat="1" ht="15.75" customHeight="1" x14ac:dyDescent="0.25">
      <c r="B335" s="31"/>
      <c r="C335" s="31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</row>
    <row r="336" spans="2:38" s="102" customFormat="1" ht="15.75" customHeight="1" x14ac:dyDescent="0.25">
      <c r="B336" s="31"/>
      <c r="C336" s="31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</row>
    <row r="337" spans="2:38" s="102" customFormat="1" ht="15.75" customHeight="1" x14ac:dyDescent="0.25">
      <c r="B337" s="31"/>
      <c r="C337" s="31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</row>
    <row r="338" spans="2:38" s="102" customFormat="1" ht="15.75" customHeight="1" x14ac:dyDescent="0.25">
      <c r="B338" s="31"/>
      <c r="C338" s="31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</row>
    <row r="339" spans="2:38" s="102" customFormat="1" ht="15.75" customHeight="1" x14ac:dyDescent="0.25">
      <c r="B339" s="31"/>
      <c r="C339" s="31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</row>
    <row r="340" spans="2:38" s="102" customFormat="1" ht="15.75" customHeight="1" x14ac:dyDescent="0.25">
      <c r="B340" s="31"/>
      <c r="C340" s="31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</row>
    <row r="341" spans="2:38" s="102" customFormat="1" ht="15.75" customHeight="1" x14ac:dyDescent="0.25">
      <c r="B341" s="31"/>
      <c r="C341" s="3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</row>
    <row r="342" spans="2:38" s="102" customFormat="1" ht="15.75" customHeight="1" x14ac:dyDescent="0.25">
      <c r="B342" s="31"/>
      <c r="C342" s="31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</row>
    <row r="343" spans="2:38" s="102" customFormat="1" ht="15.75" customHeight="1" x14ac:dyDescent="0.25">
      <c r="B343" s="31"/>
      <c r="C343" s="31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</row>
    <row r="344" spans="2:38" s="102" customFormat="1" ht="15.75" customHeight="1" x14ac:dyDescent="0.25">
      <c r="B344" s="31"/>
      <c r="C344" s="31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</row>
    <row r="345" spans="2:38" s="102" customFormat="1" ht="15.75" customHeight="1" x14ac:dyDescent="0.25">
      <c r="B345" s="31"/>
      <c r="C345" s="31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</row>
    <row r="346" spans="2:38" s="102" customFormat="1" ht="15.75" customHeight="1" x14ac:dyDescent="0.25">
      <c r="B346" s="31"/>
      <c r="C346" s="31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</row>
    <row r="347" spans="2:38" s="102" customFormat="1" ht="15.75" customHeight="1" x14ac:dyDescent="0.25">
      <c r="B347" s="31"/>
      <c r="C347" s="31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</row>
    <row r="348" spans="2:38" s="102" customFormat="1" ht="15.75" customHeight="1" x14ac:dyDescent="0.25">
      <c r="B348" s="31"/>
      <c r="C348" s="31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</row>
    <row r="349" spans="2:38" s="102" customFormat="1" ht="15.75" customHeight="1" x14ac:dyDescent="0.25">
      <c r="B349" s="31"/>
      <c r="C349" s="31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</row>
    <row r="350" spans="2:38" s="102" customFormat="1" ht="15.75" customHeight="1" x14ac:dyDescent="0.25">
      <c r="B350" s="31"/>
      <c r="C350" s="31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</row>
    <row r="351" spans="2:38" s="102" customFormat="1" ht="15.75" customHeight="1" x14ac:dyDescent="0.25">
      <c r="B351" s="31"/>
      <c r="C351" s="3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</row>
    <row r="352" spans="2:38" s="102" customFormat="1" ht="15.75" customHeight="1" x14ac:dyDescent="0.25">
      <c r="B352" s="31"/>
      <c r="C352" s="31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</row>
    <row r="353" spans="2:38" s="102" customFormat="1" ht="15.75" customHeight="1" x14ac:dyDescent="0.25">
      <c r="B353" s="31"/>
      <c r="C353" s="31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</row>
    <row r="354" spans="2:38" s="102" customFormat="1" ht="15.75" customHeight="1" x14ac:dyDescent="0.25">
      <c r="B354" s="31"/>
      <c r="C354" s="31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</row>
    <row r="355" spans="2:38" s="102" customFormat="1" ht="15.75" customHeight="1" x14ac:dyDescent="0.25">
      <c r="B355" s="31"/>
      <c r="C355" s="31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</row>
    <row r="356" spans="2:38" s="102" customFormat="1" ht="15.75" customHeight="1" x14ac:dyDescent="0.25">
      <c r="B356" s="31"/>
      <c r="C356" s="31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</row>
    <row r="357" spans="2:38" s="102" customFormat="1" ht="15.75" customHeight="1" x14ac:dyDescent="0.25">
      <c r="B357" s="31"/>
      <c r="C357" s="31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</row>
    <row r="358" spans="2:38" s="102" customFormat="1" ht="15.75" customHeight="1" x14ac:dyDescent="0.25">
      <c r="B358" s="31"/>
      <c r="C358" s="31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</row>
    <row r="359" spans="2:38" s="102" customFormat="1" ht="15.75" customHeight="1" x14ac:dyDescent="0.25">
      <c r="B359" s="31"/>
      <c r="C359" s="31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</row>
    <row r="360" spans="2:38" s="102" customFormat="1" ht="15.75" customHeight="1" x14ac:dyDescent="0.25">
      <c r="B360" s="31"/>
      <c r="C360" s="31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</row>
    <row r="361" spans="2:38" s="102" customFormat="1" ht="15.75" customHeight="1" x14ac:dyDescent="0.25">
      <c r="B361" s="31"/>
      <c r="C361" s="3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</row>
    <row r="362" spans="2:38" s="102" customFormat="1" ht="15.75" customHeight="1" x14ac:dyDescent="0.25">
      <c r="B362" s="31"/>
      <c r="C362" s="31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</row>
    <row r="363" spans="2:38" s="102" customFormat="1" ht="15.75" customHeight="1" x14ac:dyDescent="0.25">
      <c r="B363" s="31"/>
      <c r="C363" s="31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</row>
    <row r="364" spans="2:38" s="102" customFormat="1" ht="15.75" customHeight="1" x14ac:dyDescent="0.25">
      <c r="B364" s="31"/>
      <c r="C364" s="31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</row>
    <row r="365" spans="2:38" s="102" customFormat="1" ht="15.75" customHeight="1" x14ac:dyDescent="0.25">
      <c r="B365" s="31"/>
      <c r="C365" s="31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</row>
    <row r="366" spans="2:38" s="102" customFormat="1" ht="15.75" customHeight="1" x14ac:dyDescent="0.25">
      <c r="B366" s="31"/>
      <c r="C366" s="31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</row>
    <row r="367" spans="2:38" s="102" customFormat="1" ht="15.75" customHeight="1" x14ac:dyDescent="0.25">
      <c r="B367" s="31"/>
      <c r="C367" s="31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</row>
    <row r="368" spans="2:38" s="102" customFormat="1" ht="15.75" customHeight="1" x14ac:dyDescent="0.25">
      <c r="B368" s="31"/>
      <c r="C368" s="31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</row>
    <row r="369" spans="2:38" s="102" customFormat="1" ht="15.75" customHeight="1" x14ac:dyDescent="0.25">
      <c r="B369" s="31"/>
      <c r="C369" s="31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</row>
    <row r="370" spans="2:38" s="102" customFormat="1" ht="15.75" customHeight="1" x14ac:dyDescent="0.25">
      <c r="B370" s="31"/>
      <c r="C370" s="31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</row>
    <row r="371" spans="2:38" s="102" customFormat="1" ht="15.75" customHeight="1" x14ac:dyDescent="0.25">
      <c r="B371" s="31"/>
      <c r="C371" s="3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</row>
    <row r="372" spans="2:38" s="102" customFormat="1" ht="15.75" customHeight="1" x14ac:dyDescent="0.25">
      <c r="B372" s="31"/>
      <c r="C372" s="31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</row>
    <row r="373" spans="2:38" s="102" customFormat="1" ht="15.75" customHeight="1" x14ac:dyDescent="0.25">
      <c r="B373" s="31"/>
      <c r="C373" s="31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</row>
    <row r="374" spans="2:38" s="102" customFormat="1" ht="15.75" customHeight="1" x14ac:dyDescent="0.25">
      <c r="B374" s="31"/>
      <c r="C374" s="31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</row>
    <row r="375" spans="2:38" s="102" customFormat="1" ht="15.75" customHeight="1" x14ac:dyDescent="0.25">
      <c r="B375" s="31"/>
      <c r="C375" s="31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</row>
    <row r="376" spans="2:38" s="102" customFormat="1" ht="15.75" customHeight="1" x14ac:dyDescent="0.25">
      <c r="B376" s="31"/>
      <c r="C376" s="31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</row>
    <row r="377" spans="2:38" s="102" customFormat="1" ht="15.75" customHeight="1" x14ac:dyDescent="0.25">
      <c r="B377" s="31"/>
      <c r="C377" s="31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</row>
    <row r="378" spans="2:38" s="102" customFormat="1" ht="15.75" customHeight="1" x14ac:dyDescent="0.25">
      <c r="B378" s="31"/>
      <c r="C378" s="31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</row>
    <row r="379" spans="2:38" s="102" customFormat="1" ht="15.75" customHeight="1" x14ac:dyDescent="0.25">
      <c r="B379" s="31"/>
      <c r="C379" s="31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</row>
    <row r="380" spans="2:38" s="102" customFormat="1" ht="15.75" customHeight="1" x14ac:dyDescent="0.25">
      <c r="B380" s="31"/>
      <c r="C380" s="31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</row>
    <row r="381" spans="2:38" s="102" customFormat="1" ht="15.75" customHeight="1" x14ac:dyDescent="0.25">
      <c r="B381" s="31"/>
      <c r="C381" s="3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</row>
    <row r="382" spans="2:38" s="102" customFormat="1" ht="15.75" customHeight="1" x14ac:dyDescent="0.25">
      <c r="B382" s="31"/>
      <c r="C382" s="31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</row>
    <row r="383" spans="2:38" s="102" customFormat="1" ht="15.75" customHeight="1" x14ac:dyDescent="0.25">
      <c r="B383" s="31"/>
      <c r="C383" s="31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</row>
    <row r="384" spans="2:38" s="102" customFormat="1" ht="15.75" customHeight="1" x14ac:dyDescent="0.25">
      <c r="B384" s="31"/>
      <c r="C384" s="31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</row>
    <row r="385" spans="2:38" s="102" customFormat="1" ht="15.75" customHeight="1" x14ac:dyDescent="0.25">
      <c r="B385" s="31"/>
      <c r="C385" s="31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</row>
    <row r="386" spans="2:38" s="102" customFormat="1" ht="15.75" customHeight="1" x14ac:dyDescent="0.25">
      <c r="B386" s="31"/>
      <c r="C386" s="31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</row>
    <row r="387" spans="2:38" s="102" customFormat="1" ht="15.75" customHeight="1" x14ac:dyDescent="0.25">
      <c r="B387" s="31"/>
      <c r="C387" s="31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</row>
    <row r="388" spans="2:38" s="102" customFormat="1" ht="15.75" customHeight="1" x14ac:dyDescent="0.25">
      <c r="B388" s="31"/>
      <c r="C388" s="31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</row>
    <row r="389" spans="2:38" s="102" customFormat="1" ht="15.75" customHeight="1" x14ac:dyDescent="0.25">
      <c r="B389" s="31"/>
      <c r="C389" s="31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</row>
    <row r="390" spans="2:38" s="102" customFormat="1" ht="15.75" customHeight="1" x14ac:dyDescent="0.25">
      <c r="B390" s="31"/>
      <c r="C390" s="31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</row>
    <row r="391" spans="2:38" s="102" customFormat="1" ht="15.75" customHeight="1" x14ac:dyDescent="0.25">
      <c r="B391" s="31"/>
      <c r="C391" s="3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</row>
    <row r="392" spans="2:38" s="102" customFormat="1" ht="15.75" customHeight="1" x14ac:dyDescent="0.25">
      <c r="B392" s="31"/>
      <c r="C392" s="31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</row>
    <row r="393" spans="2:38" s="102" customFormat="1" ht="15.75" customHeight="1" x14ac:dyDescent="0.25">
      <c r="B393" s="31"/>
      <c r="C393" s="31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</row>
    <row r="394" spans="2:38" s="102" customFormat="1" ht="15.75" customHeight="1" x14ac:dyDescent="0.25">
      <c r="B394" s="31"/>
      <c r="C394" s="31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</row>
    <row r="395" spans="2:38" s="102" customFormat="1" ht="15.75" customHeight="1" x14ac:dyDescent="0.25">
      <c r="B395" s="31"/>
      <c r="C395" s="31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</row>
    <row r="396" spans="2:38" s="102" customFormat="1" ht="15.75" customHeight="1" x14ac:dyDescent="0.25">
      <c r="B396" s="31"/>
      <c r="C396" s="31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</row>
    <row r="397" spans="2:38" s="102" customFormat="1" ht="15.75" customHeight="1" x14ac:dyDescent="0.25">
      <c r="B397" s="31"/>
      <c r="C397" s="31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</row>
    <row r="398" spans="2:38" s="102" customFormat="1" ht="15.75" customHeight="1" x14ac:dyDescent="0.25">
      <c r="B398" s="31"/>
      <c r="C398" s="31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</row>
    <row r="399" spans="2:38" s="102" customFormat="1" ht="15.75" customHeight="1" x14ac:dyDescent="0.25">
      <c r="B399" s="31"/>
      <c r="C399" s="31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 spans="2:38" s="102" customFormat="1" ht="15.75" customHeight="1" x14ac:dyDescent="0.25">
      <c r="B400" s="31"/>
      <c r="C400" s="31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</row>
    <row r="401" spans="2:38" s="102" customFormat="1" ht="15.75" customHeight="1" x14ac:dyDescent="0.25">
      <c r="B401" s="31"/>
      <c r="C401" s="3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</row>
    <row r="402" spans="2:38" s="102" customFormat="1" ht="15.75" customHeight="1" x14ac:dyDescent="0.25">
      <c r="B402" s="31"/>
      <c r="C402" s="31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2:38" s="102" customFormat="1" ht="15.75" customHeight="1" x14ac:dyDescent="0.25">
      <c r="B403" s="31"/>
      <c r="C403" s="31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</row>
    <row r="404" spans="2:38" s="102" customFormat="1" ht="15.75" customHeight="1" x14ac:dyDescent="0.25">
      <c r="B404" s="31"/>
      <c r="C404" s="31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</row>
    <row r="405" spans="2:38" s="102" customFormat="1" ht="15.75" customHeight="1" x14ac:dyDescent="0.25">
      <c r="B405" s="31"/>
      <c r="C405" s="31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</row>
    <row r="406" spans="2:38" s="102" customFormat="1" ht="15.75" customHeight="1" x14ac:dyDescent="0.25">
      <c r="B406" s="31"/>
      <c r="C406" s="31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</row>
    <row r="407" spans="2:38" s="102" customFormat="1" ht="15.75" customHeight="1" x14ac:dyDescent="0.25">
      <c r="B407" s="31"/>
      <c r="C407" s="31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</row>
    <row r="408" spans="2:38" s="102" customFormat="1" ht="15.75" customHeight="1" x14ac:dyDescent="0.25">
      <c r="B408" s="31"/>
      <c r="C408" s="31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</row>
    <row r="409" spans="2:38" s="102" customFormat="1" ht="15.75" customHeight="1" x14ac:dyDescent="0.25">
      <c r="B409" s="31"/>
      <c r="C409" s="31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 spans="2:38" s="102" customFormat="1" ht="15.75" customHeight="1" x14ac:dyDescent="0.25">
      <c r="B410" s="31"/>
      <c r="C410" s="31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</row>
    <row r="411" spans="2:38" s="102" customFormat="1" ht="15.75" customHeight="1" x14ac:dyDescent="0.25">
      <c r="B411" s="31"/>
      <c r="C411" s="3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</row>
    <row r="412" spans="2:38" s="102" customFormat="1" ht="15.75" customHeight="1" x14ac:dyDescent="0.25">
      <c r="B412" s="31"/>
      <c r="C412" s="31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</row>
    <row r="413" spans="2:38" s="102" customFormat="1" ht="15.75" customHeight="1" x14ac:dyDescent="0.25">
      <c r="B413" s="31"/>
      <c r="C413" s="31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</row>
    <row r="414" spans="2:38" s="102" customFormat="1" ht="15.75" customHeight="1" x14ac:dyDescent="0.25">
      <c r="B414" s="31"/>
      <c r="C414" s="31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</row>
    <row r="415" spans="2:38" s="102" customFormat="1" ht="15.75" customHeight="1" x14ac:dyDescent="0.25">
      <c r="B415" s="31"/>
      <c r="C415" s="31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</row>
    <row r="416" spans="2:38" s="102" customFormat="1" ht="15.75" customHeight="1" x14ac:dyDescent="0.25">
      <c r="B416" s="31"/>
      <c r="C416" s="31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</row>
    <row r="417" spans="2:38" s="102" customFormat="1" ht="15.75" customHeight="1" x14ac:dyDescent="0.25">
      <c r="B417" s="31"/>
      <c r="C417" s="31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</row>
    <row r="418" spans="2:38" s="102" customFormat="1" ht="15.75" customHeight="1" x14ac:dyDescent="0.25">
      <c r="B418" s="31"/>
      <c r="C418" s="31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</row>
    <row r="419" spans="2:38" s="102" customFormat="1" ht="15.75" customHeight="1" x14ac:dyDescent="0.25">
      <c r="B419" s="31"/>
      <c r="C419" s="31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</row>
    <row r="420" spans="2:38" s="102" customFormat="1" ht="15.75" customHeight="1" x14ac:dyDescent="0.25">
      <c r="B420" s="31"/>
      <c r="C420" s="31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</row>
    <row r="421" spans="2:38" s="102" customFormat="1" ht="15.75" customHeight="1" x14ac:dyDescent="0.25">
      <c r="B421" s="31"/>
      <c r="C421" s="3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</row>
    <row r="422" spans="2:38" s="102" customFormat="1" ht="15.75" customHeight="1" x14ac:dyDescent="0.25">
      <c r="B422" s="31"/>
      <c r="C422" s="31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</row>
    <row r="423" spans="2:38" s="102" customFormat="1" ht="15.75" customHeight="1" x14ac:dyDescent="0.25">
      <c r="B423" s="31"/>
      <c r="C423" s="31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</row>
    <row r="424" spans="2:38" s="102" customFormat="1" ht="15.75" customHeight="1" x14ac:dyDescent="0.25">
      <c r="B424" s="31"/>
      <c r="C424" s="31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</row>
    <row r="425" spans="2:38" s="102" customFormat="1" ht="15.75" customHeight="1" x14ac:dyDescent="0.25">
      <c r="B425" s="31"/>
      <c r="C425" s="31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</row>
    <row r="426" spans="2:38" s="102" customFormat="1" ht="15.75" customHeight="1" x14ac:dyDescent="0.25">
      <c r="B426" s="31"/>
      <c r="C426" s="31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 spans="2:38" s="102" customFormat="1" ht="15.75" customHeight="1" x14ac:dyDescent="0.25">
      <c r="B427" s="31"/>
      <c r="C427" s="31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</row>
    <row r="428" spans="2:38" s="102" customFormat="1" ht="15.75" customHeight="1" x14ac:dyDescent="0.25">
      <c r="B428" s="31"/>
      <c r="C428" s="31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</row>
    <row r="429" spans="2:38" s="102" customFormat="1" ht="15.75" customHeight="1" x14ac:dyDescent="0.25">
      <c r="B429" s="31"/>
      <c r="C429" s="31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</row>
    <row r="430" spans="2:38" s="102" customFormat="1" ht="15.75" customHeight="1" x14ac:dyDescent="0.25">
      <c r="B430" s="31"/>
      <c r="C430" s="31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</row>
    <row r="431" spans="2:38" s="102" customFormat="1" ht="15.75" customHeight="1" x14ac:dyDescent="0.25">
      <c r="B431" s="31"/>
      <c r="C431" s="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</row>
    <row r="432" spans="2:38" s="102" customFormat="1" ht="15.75" customHeight="1" x14ac:dyDescent="0.25">
      <c r="B432" s="31"/>
      <c r="C432" s="31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</row>
    <row r="433" spans="2:38" s="102" customFormat="1" ht="15.75" customHeight="1" x14ac:dyDescent="0.25">
      <c r="B433" s="31"/>
      <c r="C433" s="31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</row>
    <row r="434" spans="2:38" s="102" customFormat="1" ht="15.75" customHeight="1" x14ac:dyDescent="0.25">
      <c r="B434" s="31"/>
      <c r="C434" s="31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</row>
    <row r="435" spans="2:38" s="102" customFormat="1" ht="15.75" customHeight="1" x14ac:dyDescent="0.25">
      <c r="B435" s="31"/>
      <c r="C435" s="31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</row>
    <row r="436" spans="2:38" s="102" customFormat="1" ht="15.75" customHeight="1" x14ac:dyDescent="0.25">
      <c r="B436" s="31"/>
      <c r="C436" s="31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</row>
    <row r="437" spans="2:38" s="102" customFormat="1" ht="15.75" customHeight="1" x14ac:dyDescent="0.25">
      <c r="B437" s="31"/>
      <c r="C437" s="31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</row>
    <row r="438" spans="2:38" s="102" customFormat="1" ht="15.75" customHeight="1" x14ac:dyDescent="0.25">
      <c r="B438" s="31"/>
      <c r="C438" s="31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</row>
    <row r="439" spans="2:38" s="102" customFormat="1" ht="15.75" customHeight="1" x14ac:dyDescent="0.25">
      <c r="B439" s="31"/>
      <c r="C439" s="31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 spans="2:38" s="102" customFormat="1" ht="15.75" customHeight="1" x14ac:dyDescent="0.25">
      <c r="B440" s="31"/>
      <c r="C440" s="31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 spans="2:38" s="102" customFormat="1" ht="15.75" customHeight="1" x14ac:dyDescent="0.25">
      <c r="B441" s="31"/>
      <c r="C441" s="3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</row>
    <row r="442" spans="2:38" s="102" customFormat="1" ht="15.75" customHeight="1" x14ac:dyDescent="0.25">
      <c r="B442" s="31"/>
      <c r="C442" s="31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 spans="2:38" s="102" customFormat="1" ht="15.75" customHeight="1" x14ac:dyDescent="0.25">
      <c r="B443" s="31"/>
      <c r="C443" s="31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</row>
    <row r="444" spans="2:38" s="102" customFormat="1" ht="15.75" customHeight="1" x14ac:dyDescent="0.25">
      <c r="B444" s="31"/>
      <c r="C444" s="31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</row>
    <row r="445" spans="2:38" s="102" customFormat="1" ht="15.75" customHeight="1" x14ac:dyDescent="0.25">
      <c r="B445" s="31"/>
      <c r="C445" s="31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</row>
    <row r="446" spans="2:38" s="102" customFormat="1" ht="15.75" customHeight="1" x14ac:dyDescent="0.25">
      <c r="B446" s="31"/>
      <c r="C446" s="31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</row>
    <row r="447" spans="2:38" s="102" customFormat="1" ht="15.75" customHeight="1" x14ac:dyDescent="0.25">
      <c r="B447" s="31"/>
      <c r="C447" s="31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 spans="2:38" s="102" customFormat="1" ht="15.75" customHeight="1" x14ac:dyDescent="0.25">
      <c r="B448" s="31"/>
      <c r="C448" s="31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 spans="2:38" s="102" customFormat="1" ht="15.75" customHeight="1" x14ac:dyDescent="0.25">
      <c r="B449" s="31"/>
      <c r="C449" s="31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</row>
    <row r="450" spans="2:38" s="102" customFormat="1" ht="15.75" customHeight="1" x14ac:dyDescent="0.25">
      <c r="B450" s="31"/>
      <c r="C450" s="31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 spans="2:38" s="102" customFormat="1" ht="15.75" customHeight="1" x14ac:dyDescent="0.25">
      <c r="B451" s="31"/>
      <c r="C451" s="3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</row>
    <row r="452" spans="2:38" s="102" customFormat="1" ht="15.75" customHeight="1" x14ac:dyDescent="0.25">
      <c r="B452" s="31"/>
      <c r="C452" s="31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</row>
    <row r="453" spans="2:38" s="102" customFormat="1" ht="15.75" customHeight="1" x14ac:dyDescent="0.25">
      <c r="B453" s="31"/>
      <c r="C453" s="31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</row>
    <row r="454" spans="2:38" s="102" customFormat="1" ht="15.75" customHeight="1" x14ac:dyDescent="0.25">
      <c r="B454" s="31"/>
      <c r="C454" s="31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</row>
    <row r="455" spans="2:38" s="102" customFormat="1" ht="15.75" customHeight="1" x14ac:dyDescent="0.25">
      <c r="B455" s="31"/>
      <c r="C455" s="31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</row>
    <row r="456" spans="2:38" s="102" customFormat="1" ht="15.75" customHeight="1" x14ac:dyDescent="0.25">
      <c r="B456" s="31"/>
      <c r="C456" s="31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</row>
    <row r="457" spans="2:38" s="102" customFormat="1" ht="15.75" customHeight="1" x14ac:dyDescent="0.25">
      <c r="B457" s="31"/>
      <c r="C457" s="31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</row>
    <row r="458" spans="2:38" s="102" customFormat="1" ht="15.75" customHeight="1" x14ac:dyDescent="0.25">
      <c r="B458" s="31"/>
      <c r="C458" s="31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</row>
    <row r="459" spans="2:38" s="102" customFormat="1" ht="15.75" customHeight="1" x14ac:dyDescent="0.25">
      <c r="B459" s="31"/>
      <c r="C459" s="31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</row>
    <row r="460" spans="2:38" s="102" customFormat="1" ht="15.75" customHeight="1" x14ac:dyDescent="0.25">
      <c r="B460" s="31"/>
      <c r="C460" s="31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</row>
    <row r="461" spans="2:38" s="102" customFormat="1" ht="15.75" customHeight="1" x14ac:dyDescent="0.25">
      <c r="B461" s="31"/>
      <c r="C461" s="3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</row>
    <row r="462" spans="2:38" s="102" customFormat="1" ht="15.75" customHeight="1" x14ac:dyDescent="0.25">
      <c r="B462" s="31"/>
      <c r="C462" s="31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</row>
    <row r="463" spans="2:38" s="102" customFormat="1" ht="15.75" customHeight="1" x14ac:dyDescent="0.25">
      <c r="B463" s="31"/>
      <c r="C463" s="31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</row>
    <row r="464" spans="2:38" s="102" customFormat="1" ht="15.75" customHeight="1" x14ac:dyDescent="0.25">
      <c r="B464" s="31"/>
      <c r="C464" s="31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</row>
    <row r="465" spans="2:38" s="102" customFormat="1" ht="15.75" customHeight="1" x14ac:dyDescent="0.25">
      <c r="B465" s="31"/>
      <c r="C465" s="31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</row>
    <row r="466" spans="2:38" s="102" customFormat="1" ht="15.75" customHeight="1" x14ac:dyDescent="0.25">
      <c r="B466" s="31"/>
      <c r="C466" s="31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</row>
    <row r="467" spans="2:38" s="102" customFormat="1" ht="15.75" customHeight="1" x14ac:dyDescent="0.25">
      <c r="B467" s="31"/>
      <c r="C467" s="31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</row>
    <row r="468" spans="2:38" s="102" customFormat="1" ht="15.75" customHeight="1" x14ac:dyDescent="0.25">
      <c r="B468" s="31"/>
      <c r="C468" s="31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</row>
    <row r="469" spans="2:38" s="102" customFormat="1" ht="15.75" customHeight="1" x14ac:dyDescent="0.25">
      <c r="B469" s="31"/>
      <c r="C469" s="31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</row>
    <row r="470" spans="2:38" s="102" customFormat="1" ht="15.75" customHeight="1" x14ac:dyDescent="0.25">
      <c r="B470" s="31"/>
      <c r="C470" s="31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</row>
    <row r="471" spans="2:38" s="102" customFormat="1" ht="15.75" customHeight="1" x14ac:dyDescent="0.25">
      <c r="B471" s="31"/>
      <c r="C471" s="3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</row>
    <row r="472" spans="2:38" s="102" customFormat="1" ht="15.75" customHeight="1" x14ac:dyDescent="0.25">
      <c r="B472" s="31"/>
      <c r="C472" s="31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</row>
    <row r="473" spans="2:38" s="102" customFormat="1" ht="15.75" customHeight="1" x14ac:dyDescent="0.25">
      <c r="B473" s="31"/>
      <c r="C473" s="31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</row>
    <row r="474" spans="2:38" s="102" customFormat="1" ht="15.75" customHeight="1" x14ac:dyDescent="0.25">
      <c r="B474" s="31"/>
      <c r="C474" s="31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</row>
    <row r="475" spans="2:38" s="102" customFormat="1" ht="15.75" customHeight="1" x14ac:dyDescent="0.25">
      <c r="B475" s="31"/>
      <c r="C475" s="31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</row>
    <row r="476" spans="2:38" s="102" customFormat="1" ht="15.75" customHeight="1" x14ac:dyDescent="0.25">
      <c r="B476" s="31"/>
      <c r="C476" s="31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</row>
    <row r="477" spans="2:38" s="102" customFormat="1" ht="15.75" customHeight="1" x14ac:dyDescent="0.25">
      <c r="B477" s="31"/>
      <c r="C477" s="31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 spans="2:38" s="102" customFormat="1" ht="15.75" customHeight="1" x14ac:dyDescent="0.25">
      <c r="B478" s="31"/>
      <c r="C478" s="31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 spans="2:38" s="102" customFormat="1" ht="15.75" customHeight="1" x14ac:dyDescent="0.25">
      <c r="B479" s="31"/>
      <c r="C479" s="31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</row>
    <row r="480" spans="2:38" s="102" customFormat="1" ht="15.75" customHeight="1" x14ac:dyDescent="0.25">
      <c r="B480" s="31"/>
      <c r="C480" s="31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</row>
    <row r="481" spans="2:38" s="102" customFormat="1" ht="15.75" customHeight="1" x14ac:dyDescent="0.25">
      <c r="B481" s="31"/>
      <c r="C481" s="3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 spans="2:38" s="102" customFormat="1" ht="15.75" customHeight="1" x14ac:dyDescent="0.25">
      <c r="B482" s="31"/>
      <c r="C482" s="31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</row>
    <row r="483" spans="2:38" s="102" customFormat="1" ht="15.75" customHeight="1" x14ac:dyDescent="0.25">
      <c r="B483" s="31"/>
      <c r="C483" s="31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</row>
    <row r="484" spans="2:38" s="102" customFormat="1" ht="15.75" customHeight="1" x14ac:dyDescent="0.25">
      <c r="B484" s="31"/>
      <c r="C484" s="31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</row>
    <row r="485" spans="2:38" s="102" customFormat="1" ht="15.75" customHeight="1" x14ac:dyDescent="0.25">
      <c r="B485" s="31"/>
      <c r="C485" s="31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</row>
    <row r="486" spans="2:38" s="102" customFormat="1" ht="15.75" customHeight="1" x14ac:dyDescent="0.25">
      <c r="B486" s="31"/>
      <c r="C486" s="31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</row>
    <row r="487" spans="2:38" s="102" customFormat="1" ht="15.75" customHeight="1" x14ac:dyDescent="0.25">
      <c r="B487" s="31"/>
      <c r="C487" s="31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</row>
    <row r="488" spans="2:38" s="102" customFormat="1" ht="15.75" customHeight="1" x14ac:dyDescent="0.25">
      <c r="B488" s="31"/>
      <c r="C488" s="31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</row>
    <row r="489" spans="2:38" s="102" customFormat="1" ht="15.75" customHeight="1" x14ac:dyDescent="0.25">
      <c r="B489" s="31"/>
      <c r="C489" s="31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</row>
    <row r="490" spans="2:38" s="102" customFormat="1" ht="15.75" customHeight="1" x14ac:dyDescent="0.25">
      <c r="B490" s="31"/>
      <c r="C490" s="31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</row>
    <row r="491" spans="2:38" s="102" customFormat="1" ht="15.75" customHeight="1" x14ac:dyDescent="0.25">
      <c r="B491" s="31"/>
      <c r="C491" s="3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</row>
    <row r="492" spans="2:38" s="102" customFormat="1" ht="15.75" customHeight="1" x14ac:dyDescent="0.25">
      <c r="B492" s="31"/>
      <c r="C492" s="31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</row>
    <row r="493" spans="2:38" s="102" customFormat="1" ht="15.75" customHeight="1" x14ac:dyDescent="0.25">
      <c r="B493" s="31"/>
      <c r="C493" s="31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</row>
    <row r="494" spans="2:38" s="102" customFormat="1" ht="15.75" customHeight="1" x14ac:dyDescent="0.25">
      <c r="B494" s="31"/>
      <c r="C494" s="31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</row>
    <row r="495" spans="2:38" s="102" customFormat="1" ht="15.75" customHeight="1" x14ac:dyDescent="0.25">
      <c r="B495" s="31"/>
      <c r="C495" s="31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</row>
    <row r="496" spans="2:38" s="102" customFormat="1" ht="15.75" customHeight="1" x14ac:dyDescent="0.25">
      <c r="B496" s="31"/>
      <c r="C496" s="31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</row>
    <row r="497" spans="2:38" s="102" customFormat="1" ht="15.75" customHeight="1" x14ac:dyDescent="0.25">
      <c r="B497" s="31"/>
      <c r="C497" s="31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</row>
    <row r="498" spans="2:38" s="102" customFormat="1" ht="15.75" customHeight="1" x14ac:dyDescent="0.25">
      <c r="B498" s="31"/>
      <c r="C498" s="31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</row>
    <row r="499" spans="2:38" s="102" customFormat="1" ht="15.75" customHeight="1" x14ac:dyDescent="0.25">
      <c r="B499" s="31"/>
      <c r="C499" s="31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</row>
    <row r="500" spans="2:38" s="102" customFormat="1" ht="15.75" customHeight="1" x14ac:dyDescent="0.25">
      <c r="B500" s="31"/>
      <c r="C500" s="31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</row>
    <row r="501" spans="2:38" s="102" customFormat="1" ht="15.75" customHeight="1" x14ac:dyDescent="0.25">
      <c r="B501" s="31"/>
      <c r="C501" s="3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</row>
    <row r="502" spans="2:38" s="102" customFormat="1" ht="15.75" customHeight="1" x14ac:dyDescent="0.25">
      <c r="B502" s="31"/>
      <c r="C502" s="31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</row>
    <row r="503" spans="2:38" s="102" customFormat="1" ht="15.75" customHeight="1" x14ac:dyDescent="0.25">
      <c r="B503" s="31"/>
      <c r="C503" s="31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</row>
    <row r="504" spans="2:38" s="102" customFormat="1" ht="15.75" customHeight="1" x14ac:dyDescent="0.25">
      <c r="B504" s="31"/>
      <c r="C504" s="31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</row>
    <row r="505" spans="2:38" s="102" customFormat="1" ht="15.75" customHeight="1" x14ac:dyDescent="0.25">
      <c r="B505" s="31"/>
      <c r="C505" s="31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 spans="2:38" s="102" customFormat="1" ht="15.75" customHeight="1" x14ac:dyDescent="0.25">
      <c r="B506" s="31"/>
      <c r="C506" s="31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</row>
    <row r="507" spans="2:38" s="102" customFormat="1" ht="15.75" customHeight="1" x14ac:dyDescent="0.25">
      <c r="B507" s="31"/>
      <c r="C507" s="31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 spans="2:38" s="102" customFormat="1" ht="15.75" customHeight="1" x14ac:dyDescent="0.25">
      <c r="B508" s="31"/>
      <c r="C508" s="31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</row>
    <row r="509" spans="2:38" s="102" customFormat="1" ht="15.75" customHeight="1" x14ac:dyDescent="0.25">
      <c r="B509" s="31"/>
      <c r="C509" s="31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</row>
    <row r="510" spans="2:38" s="102" customFormat="1" ht="15.75" customHeight="1" x14ac:dyDescent="0.25">
      <c r="B510" s="31"/>
      <c r="C510" s="31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</row>
    <row r="511" spans="2:38" s="102" customFormat="1" ht="15.75" customHeight="1" x14ac:dyDescent="0.25">
      <c r="B511" s="31"/>
      <c r="C511" s="3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</row>
    <row r="512" spans="2:38" s="102" customFormat="1" ht="15.75" customHeight="1" x14ac:dyDescent="0.25">
      <c r="B512" s="31"/>
      <c r="C512" s="31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</row>
    <row r="513" spans="2:38" s="102" customFormat="1" ht="15.75" customHeight="1" x14ac:dyDescent="0.25">
      <c r="B513" s="31"/>
      <c r="C513" s="31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</row>
    <row r="514" spans="2:38" s="102" customFormat="1" ht="15.75" customHeight="1" x14ac:dyDescent="0.25">
      <c r="B514" s="31"/>
      <c r="C514" s="31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</row>
    <row r="515" spans="2:38" s="102" customFormat="1" ht="15.75" customHeight="1" x14ac:dyDescent="0.25">
      <c r="B515" s="31"/>
      <c r="C515" s="31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</row>
    <row r="516" spans="2:38" s="102" customFormat="1" ht="15.75" customHeight="1" x14ac:dyDescent="0.25">
      <c r="B516" s="31"/>
      <c r="C516" s="31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</row>
    <row r="517" spans="2:38" s="102" customFormat="1" ht="15.75" customHeight="1" x14ac:dyDescent="0.25">
      <c r="B517" s="31"/>
      <c r="C517" s="31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</row>
    <row r="518" spans="2:38" s="102" customFormat="1" ht="15.75" customHeight="1" x14ac:dyDescent="0.25">
      <c r="B518" s="31"/>
      <c r="C518" s="31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</row>
    <row r="519" spans="2:38" s="102" customFormat="1" ht="15.75" customHeight="1" x14ac:dyDescent="0.25">
      <c r="B519" s="31"/>
      <c r="C519" s="31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</row>
    <row r="520" spans="2:38" s="102" customFormat="1" ht="15.75" customHeight="1" x14ac:dyDescent="0.25">
      <c r="B520" s="31"/>
      <c r="C520" s="31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</row>
    <row r="521" spans="2:38" s="102" customFormat="1" ht="15.75" customHeight="1" x14ac:dyDescent="0.25">
      <c r="B521" s="31"/>
      <c r="C521" s="3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</row>
    <row r="522" spans="2:38" s="102" customFormat="1" ht="15.75" customHeight="1" x14ac:dyDescent="0.25">
      <c r="B522" s="31"/>
      <c r="C522" s="31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</row>
    <row r="523" spans="2:38" s="102" customFormat="1" ht="15.75" customHeight="1" x14ac:dyDescent="0.25">
      <c r="B523" s="31"/>
      <c r="C523" s="31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</row>
    <row r="524" spans="2:38" s="102" customFormat="1" ht="15.75" customHeight="1" x14ac:dyDescent="0.25">
      <c r="B524" s="31"/>
      <c r="C524" s="31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</row>
    <row r="525" spans="2:38" s="102" customFormat="1" ht="15.75" customHeight="1" x14ac:dyDescent="0.25">
      <c r="B525" s="31"/>
      <c r="C525" s="31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</row>
    <row r="526" spans="2:38" s="102" customFormat="1" ht="15.75" customHeight="1" x14ac:dyDescent="0.25">
      <c r="B526" s="31"/>
      <c r="C526" s="31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</row>
    <row r="527" spans="2:38" s="102" customFormat="1" ht="15.75" customHeight="1" x14ac:dyDescent="0.25">
      <c r="B527" s="31"/>
      <c r="C527" s="31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</row>
    <row r="528" spans="2:38" s="102" customFormat="1" ht="15.75" customHeight="1" x14ac:dyDescent="0.25">
      <c r="B528" s="31"/>
      <c r="C528" s="31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</row>
    <row r="529" spans="2:38" s="102" customFormat="1" ht="15.75" customHeight="1" x14ac:dyDescent="0.25">
      <c r="B529" s="31"/>
      <c r="C529" s="31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</row>
    <row r="530" spans="2:38" s="102" customFormat="1" ht="15.75" customHeight="1" x14ac:dyDescent="0.25">
      <c r="B530" s="31"/>
      <c r="C530" s="31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</row>
    <row r="531" spans="2:38" s="102" customFormat="1" ht="15.75" customHeight="1" x14ac:dyDescent="0.25">
      <c r="B531" s="31"/>
      <c r="C531" s="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</row>
    <row r="532" spans="2:38" s="102" customFormat="1" ht="15.75" customHeight="1" x14ac:dyDescent="0.25">
      <c r="B532" s="31"/>
      <c r="C532" s="31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</row>
    <row r="533" spans="2:38" s="102" customFormat="1" ht="15.75" customHeight="1" x14ac:dyDescent="0.25">
      <c r="B533" s="31"/>
      <c r="C533" s="31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</row>
    <row r="534" spans="2:38" s="102" customFormat="1" ht="15.75" customHeight="1" x14ac:dyDescent="0.25">
      <c r="B534" s="31"/>
      <c r="C534" s="31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</row>
    <row r="535" spans="2:38" s="102" customFormat="1" ht="15.75" customHeight="1" x14ac:dyDescent="0.25">
      <c r="B535" s="31"/>
      <c r="C535" s="31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</row>
    <row r="536" spans="2:38" s="102" customFormat="1" ht="15.75" customHeight="1" x14ac:dyDescent="0.25">
      <c r="B536" s="31"/>
      <c r="C536" s="31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</row>
    <row r="537" spans="2:38" s="102" customFormat="1" ht="15.75" customHeight="1" x14ac:dyDescent="0.25">
      <c r="B537" s="31"/>
      <c r="C537" s="31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</row>
    <row r="538" spans="2:38" s="102" customFormat="1" ht="15.75" customHeight="1" x14ac:dyDescent="0.25">
      <c r="B538" s="31"/>
      <c r="C538" s="31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</row>
    <row r="539" spans="2:38" s="102" customFormat="1" ht="15.75" customHeight="1" x14ac:dyDescent="0.25">
      <c r="B539" s="31"/>
      <c r="C539" s="31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</row>
    <row r="540" spans="2:38" s="102" customFormat="1" ht="15.75" customHeight="1" x14ac:dyDescent="0.25">
      <c r="B540" s="31"/>
      <c r="C540" s="31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</row>
    <row r="541" spans="2:38" s="102" customFormat="1" ht="15.75" customHeight="1" x14ac:dyDescent="0.25">
      <c r="B541" s="31"/>
      <c r="C541" s="3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 spans="2:38" s="102" customFormat="1" ht="15.75" customHeight="1" x14ac:dyDescent="0.25">
      <c r="B542" s="31"/>
      <c r="C542" s="31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 spans="2:38" s="102" customFormat="1" ht="15.75" customHeight="1" x14ac:dyDescent="0.25">
      <c r="B543" s="31"/>
      <c r="C543" s="31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</row>
    <row r="544" spans="2:38" s="102" customFormat="1" ht="15.75" customHeight="1" x14ac:dyDescent="0.25">
      <c r="B544" s="31"/>
      <c r="C544" s="31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</row>
    <row r="545" spans="2:38" s="102" customFormat="1" ht="15.75" customHeight="1" x14ac:dyDescent="0.25">
      <c r="B545" s="31"/>
      <c r="C545" s="31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</row>
    <row r="546" spans="2:38" s="102" customFormat="1" ht="15.75" customHeight="1" x14ac:dyDescent="0.25">
      <c r="B546" s="31"/>
      <c r="C546" s="31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</row>
    <row r="547" spans="2:38" s="102" customFormat="1" ht="15.75" customHeight="1" x14ac:dyDescent="0.25">
      <c r="B547" s="31"/>
      <c r="C547" s="31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</row>
    <row r="548" spans="2:38" s="102" customFormat="1" ht="15.75" customHeight="1" x14ac:dyDescent="0.25">
      <c r="B548" s="31"/>
      <c r="C548" s="31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</row>
    <row r="549" spans="2:38" s="102" customFormat="1" ht="15.75" customHeight="1" x14ac:dyDescent="0.25">
      <c r="B549" s="31"/>
      <c r="C549" s="31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</row>
    <row r="550" spans="2:38" s="102" customFormat="1" ht="15.75" customHeight="1" x14ac:dyDescent="0.25">
      <c r="B550" s="31"/>
      <c r="C550" s="31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</row>
    <row r="551" spans="2:38" s="102" customFormat="1" ht="15.75" customHeight="1" x14ac:dyDescent="0.25">
      <c r="B551" s="31"/>
      <c r="C551" s="3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</row>
    <row r="552" spans="2:38" s="102" customFormat="1" ht="15.75" customHeight="1" x14ac:dyDescent="0.25">
      <c r="B552" s="31"/>
      <c r="C552" s="31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</row>
    <row r="553" spans="2:38" s="102" customFormat="1" ht="15.75" customHeight="1" x14ac:dyDescent="0.25">
      <c r="B553" s="31"/>
      <c r="C553" s="31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</row>
    <row r="554" spans="2:38" s="102" customFormat="1" ht="15.75" customHeight="1" x14ac:dyDescent="0.25">
      <c r="B554" s="31"/>
      <c r="C554" s="31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</row>
    <row r="555" spans="2:38" s="102" customFormat="1" ht="15.75" customHeight="1" x14ac:dyDescent="0.25">
      <c r="B555" s="31"/>
      <c r="C555" s="31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</row>
    <row r="556" spans="2:38" s="102" customFormat="1" ht="15.75" customHeight="1" x14ac:dyDescent="0.25">
      <c r="B556" s="31"/>
      <c r="C556" s="31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</row>
    <row r="557" spans="2:38" s="102" customFormat="1" ht="15.75" customHeight="1" x14ac:dyDescent="0.25">
      <c r="B557" s="31"/>
      <c r="C557" s="31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</row>
    <row r="558" spans="2:38" s="102" customFormat="1" ht="15.75" customHeight="1" x14ac:dyDescent="0.25">
      <c r="B558" s="31"/>
      <c r="C558" s="31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</row>
    <row r="559" spans="2:38" s="102" customFormat="1" ht="15.75" customHeight="1" x14ac:dyDescent="0.25">
      <c r="B559" s="31"/>
      <c r="C559" s="31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</row>
    <row r="560" spans="2:38" s="102" customFormat="1" ht="15.75" customHeight="1" x14ac:dyDescent="0.25">
      <c r="B560" s="31"/>
      <c r="C560" s="31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</row>
    <row r="561" spans="2:38" s="102" customFormat="1" ht="15.75" customHeight="1" x14ac:dyDescent="0.25">
      <c r="B561" s="31"/>
      <c r="C561" s="3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</row>
    <row r="562" spans="2:38" s="102" customFormat="1" ht="15.75" customHeight="1" x14ac:dyDescent="0.25">
      <c r="B562" s="31"/>
      <c r="C562" s="31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</row>
    <row r="563" spans="2:38" s="102" customFormat="1" ht="15.75" customHeight="1" x14ac:dyDescent="0.25">
      <c r="B563" s="31"/>
      <c r="C563" s="31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</row>
    <row r="564" spans="2:38" s="102" customFormat="1" ht="15.75" customHeight="1" x14ac:dyDescent="0.25">
      <c r="B564" s="31"/>
      <c r="C564" s="31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</row>
    <row r="565" spans="2:38" s="102" customFormat="1" ht="15.75" customHeight="1" x14ac:dyDescent="0.25">
      <c r="B565" s="31"/>
      <c r="C565" s="31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</row>
    <row r="566" spans="2:38" s="102" customFormat="1" ht="15.75" customHeight="1" x14ac:dyDescent="0.25">
      <c r="B566" s="31"/>
      <c r="C566" s="31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</row>
    <row r="567" spans="2:38" s="102" customFormat="1" ht="15.75" customHeight="1" x14ac:dyDescent="0.25">
      <c r="B567" s="31"/>
      <c r="C567" s="31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</row>
    <row r="568" spans="2:38" s="102" customFormat="1" ht="15.75" customHeight="1" x14ac:dyDescent="0.25">
      <c r="B568" s="31"/>
      <c r="C568" s="31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</row>
    <row r="569" spans="2:38" s="102" customFormat="1" ht="15.75" customHeight="1" x14ac:dyDescent="0.25">
      <c r="B569" s="31"/>
      <c r="C569" s="31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</row>
    <row r="570" spans="2:38" s="102" customFormat="1" ht="15.75" customHeight="1" x14ac:dyDescent="0.25">
      <c r="B570" s="31"/>
      <c r="C570" s="31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</row>
    <row r="571" spans="2:38" s="102" customFormat="1" ht="15.75" customHeight="1" x14ac:dyDescent="0.25">
      <c r="B571" s="31"/>
      <c r="C571" s="3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</row>
    <row r="572" spans="2:38" s="102" customFormat="1" ht="15.75" customHeight="1" x14ac:dyDescent="0.25">
      <c r="B572" s="31"/>
      <c r="C572" s="31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</row>
    <row r="573" spans="2:38" s="102" customFormat="1" ht="15.75" customHeight="1" x14ac:dyDescent="0.25">
      <c r="B573" s="31"/>
      <c r="C573" s="31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</row>
    <row r="574" spans="2:38" s="102" customFormat="1" ht="15.75" customHeight="1" x14ac:dyDescent="0.25">
      <c r="B574" s="31"/>
      <c r="C574" s="31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</row>
    <row r="575" spans="2:38" s="102" customFormat="1" ht="15.75" customHeight="1" x14ac:dyDescent="0.25">
      <c r="B575" s="31"/>
      <c r="C575" s="31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</row>
    <row r="576" spans="2:38" s="102" customFormat="1" ht="15.75" customHeight="1" x14ac:dyDescent="0.25">
      <c r="B576" s="31"/>
      <c r="C576" s="31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</row>
    <row r="577" spans="2:38" s="102" customFormat="1" ht="15.75" customHeight="1" x14ac:dyDescent="0.25">
      <c r="B577" s="31"/>
      <c r="C577" s="31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</row>
    <row r="578" spans="2:38" s="102" customFormat="1" ht="15.75" customHeight="1" x14ac:dyDescent="0.25">
      <c r="B578" s="31"/>
      <c r="C578" s="31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</row>
    <row r="579" spans="2:38" s="102" customFormat="1" ht="15.75" customHeight="1" x14ac:dyDescent="0.25">
      <c r="B579" s="31"/>
      <c r="C579" s="31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</row>
    <row r="580" spans="2:38" s="102" customFormat="1" ht="15.75" customHeight="1" x14ac:dyDescent="0.25">
      <c r="B580" s="31"/>
      <c r="C580" s="31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</row>
    <row r="581" spans="2:38" s="102" customFormat="1" ht="15.75" customHeight="1" x14ac:dyDescent="0.25">
      <c r="B581" s="31"/>
      <c r="C581" s="3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</row>
    <row r="582" spans="2:38" s="102" customFormat="1" ht="15.75" customHeight="1" x14ac:dyDescent="0.25">
      <c r="B582" s="31"/>
      <c r="C582" s="31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</row>
    <row r="583" spans="2:38" s="102" customFormat="1" ht="15.75" customHeight="1" x14ac:dyDescent="0.25">
      <c r="B583" s="31"/>
      <c r="C583" s="31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</row>
    <row r="584" spans="2:38" s="102" customFormat="1" ht="15.75" customHeight="1" x14ac:dyDescent="0.25">
      <c r="B584" s="31"/>
      <c r="C584" s="31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</row>
    <row r="585" spans="2:38" s="102" customFormat="1" ht="15.75" customHeight="1" x14ac:dyDescent="0.25">
      <c r="B585" s="31"/>
      <c r="C585" s="31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 spans="2:38" s="102" customFormat="1" ht="15.75" customHeight="1" x14ac:dyDescent="0.25">
      <c r="B586" s="31"/>
      <c r="C586" s="31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</row>
    <row r="587" spans="2:38" s="102" customFormat="1" ht="15.75" customHeight="1" x14ac:dyDescent="0.25">
      <c r="B587" s="31"/>
      <c r="C587" s="31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</row>
    <row r="588" spans="2:38" s="102" customFormat="1" ht="15.75" customHeight="1" x14ac:dyDescent="0.25">
      <c r="B588" s="31"/>
      <c r="C588" s="31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</row>
    <row r="589" spans="2:38" s="102" customFormat="1" ht="15.75" customHeight="1" x14ac:dyDescent="0.25">
      <c r="B589" s="31"/>
      <c r="C589" s="31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</row>
    <row r="590" spans="2:38" s="102" customFormat="1" ht="15.75" customHeight="1" x14ac:dyDescent="0.25">
      <c r="B590" s="31"/>
      <c r="C590" s="31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</row>
    <row r="591" spans="2:38" s="102" customFormat="1" ht="15.75" customHeight="1" x14ac:dyDescent="0.25">
      <c r="B591" s="31"/>
      <c r="C591" s="3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</row>
    <row r="592" spans="2:38" s="102" customFormat="1" ht="15.75" customHeight="1" x14ac:dyDescent="0.25">
      <c r="B592" s="31"/>
      <c r="C592" s="31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</row>
    <row r="593" spans="2:38" s="102" customFormat="1" ht="15.75" customHeight="1" x14ac:dyDescent="0.25">
      <c r="B593" s="31"/>
      <c r="C593" s="31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</row>
    <row r="594" spans="2:38" s="102" customFormat="1" ht="15.75" customHeight="1" x14ac:dyDescent="0.25">
      <c r="B594" s="31"/>
      <c r="C594" s="31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</row>
    <row r="595" spans="2:38" s="102" customFormat="1" ht="15.75" customHeight="1" x14ac:dyDescent="0.25">
      <c r="B595" s="31"/>
      <c r="C595" s="31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</row>
    <row r="596" spans="2:38" s="102" customFormat="1" ht="15.75" customHeight="1" x14ac:dyDescent="0.25">
      <c r="B596" s="31"/>
      <c r="C596" s="31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</row>
    <row r="597" spans="2:38" s="102" customFormat="1" ht="15.75" customHeight="1" x14ac:dyDescent="0.25">
      <c r="B597" s="31"/>
      <c r="C597" s="31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</row>
    <row r="598" spans="2:38" s="102" customFormat="1" ht="15.75" customHeight="1" x14ac:dyDescent="0.25">
      <c r="B598" s="31"/>
      <c r="C598" s="31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</row>
    <row r="599" spans="2:38" s="102" customFormat="1" ht="15.75" customHeight="1" x14ac:dyDescent="0.25">
      <c r="B599" s="31"/>
      <c r="C599" s="31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</row>
    <row r="600" spans="2:38" s="102" customFormat="1" ht="15.75" customHeight="1" x14ac:dyDescent="0.25">
      <c r="B600" s="31"/>
      <c r="C600" s="31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</row>
    <row r="601" spans="2:38" s="102" customFormat="1" ht="15.75" customHeight="1" x14ac:dyDescent="0.25">
      <c r="B601" s="31"/>
      <c r="C601" s="3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</row>
    <row r="602" spans="2:38" s="102" customFormat="1" ht="15.75" customHeight="1" x14ac:dyDescent="0.25">
      <c r="B602" s="31"/>
      <c r="C602" s="31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</row>
    <row r="603" spans="2:38" s="102" customFormat="1" ht="15.75" customHeight="1" x14ac:dyDescent="0.25">
      <c r="B603" s="31"/>
      <c r="C603" s="31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</row>
    <row r="604" spans="2:38" s="102" customFormat="1" ht="15.75" customHeight="1" x14ac:dyDescent="0.25">
      <c r="B604" s="31"/>
      <c r="C604" s="31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</row>
    <row r="605" spans="2:38" s="102" customFormat="1" ht="15.75" customHeight="1" x14ac:dyDescent="0.25">
      <c r="B605" s="31"/>
      <c r="C605" s="31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</row>
    <row r="606" spans="2:38" s="102" customFormat="1" ht="15.75" customHeight="1" x14ac:dyDescent="0.25">
      <c r="B606" s="31"/>
      <c r="C606" s="31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</row>
    <row r="607" spans="2:38" s="102" customFormat="1" ht="15.75" customHeight="1" x14ac:dyDescent="0.25">
      <c r="B607" s="31"/>
      <c r="C607" s="31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</row>
    <row r="608" spans="2:38" s="102" customFormat="1" ht="15.75" customHeight="1" x14ac:dyDescent="0.25">
      <c r="B608" s="31"/>
      <c r="C608" s="31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</row>
    <row r="609" spans="2:38" s="102" customFormat="1" ht="15.75" customHeight="1" x14ac:dyDescent="0.25">
      <c r="B609" s="31"/>
      <c r="C609" s="31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</row>
    <row r="610" spans="2:38" s="102" customFormat="1" ht="15.75" customHeight="1" x14ac:dyDescent="0.25">
      <c r="B610" s="31"/>
      <c r="C610" s="31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</row>
    <row r="611" spans="2:38" s="102" customFormat="1" ht="15.75" customHeight="1" x14ac:dyDescent="0.25">
      <c r="B611" s="31"/>
      <c r="C611" s="3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</row>
    <row r="612" spans="2:38" s="102" customFormat="1" ht="15.75" customHeight="1" x14ac:dyDescent="0.25">
      <c r="B612" s="31"/>
      <c r="C612" s="31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</row>
    <row r="613" spans="2:38" s="102" customFormat="1" ht="15.75" customHeight="1" x14ac:dyDescent="0.25">
      <c r="B613" s="31"/>
      <c r="C613" s="31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</row>
    <row r="614" spans="2:38" s="102" customFormat="1" ht="15.75" customHeight="1" x14ac:dyDescent="0.25">
      <c r="B614" s="31"/>
      <c r="C614" s="31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</row>
    <row r="615" spans="2:38" s="102" customFormat="1" ht="15.75" customHeight="1" x14ac:dyDescent="0.25">
      <c r="B615" s="31"/>
      <c r="C615" s="31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</row>
    <row r="616" spans="2:38" s="102" customFormat="1" ht="15.75" customHeight="1" x14ac:dyDescent="0.25">
      <c r="B616" s="31"/>
      <c r="C616" s="31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</row>
    <row r="617" spans="2:38" s="102" customFormat="1" ht="15.75" customHeight="1" x14ac:dyDescent="0.25">
      <c r="B617" s="31"/>
      <c r="C617" s="31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</row>
    <row r="618" spans="2:38" s="102" customFormat="1" ht="15.75" customHeight="1" x14ac:dyDescent="0.25">
      <c r="B618" s="31"/>
      <c r="C618" s="31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</row>
    <row r="619" spans="2:38" s="102" customFormat="1" ht="15.75" customHeight="1" x14ac:dyDescent="0.25">
      <c r="B619" s="31"/>
      <c r="C619" s="31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</row>
    <row r="620" spans="2:38" s="102" customFormat="1" ht="15.75" customHeight="1" x14ac:dyDescent="0.25">
      <c r="B620" s="31"/>
      <c r="C620" s="31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</row>
    <row r="621" spans="2:38" s="102" customFormat="1" ht="15.75" customHeight="1" x14ac:dyDescent="0.25">
      <c r="B621" s="31"/>
      <c r="C621" s="3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</row>
    <row r="622" spans="2:38" s="102" customFormat="1" ht="15.75" customHeight="1" x14ac:dyDescent="0.25">
      <c r="B622" s="31"/>
      <c r="C622" s="31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</row>
    <row r="623" spans="2:38" s="102" customFormat="1" ht="15.75" customHeight="1" x14ac:dyDescent="0.25">
      <c r="B623" s="31"/>
      <c r="C623" s="31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</row>
    <row r="624" spans="2:38" s="102" customFormat="1" ht="15.75" customHeight="1" x14ac:dyDescent="0.25">
      <c r="B624" s="31"/>
      <c r="C624" s="31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</row>
    <row r="625" spans="2:38" s="102" customFormat="1" ht="15.75" customHeight="1" x14ac:dyDescent="0.25">
      <c r="B625" s="31"/>
      <c r="C625" s="31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</row>
    <row r="626" spans="2:38" s="102" customFormat="1" ht="15.75" customHeight="1" x14ac:dyDescent="0.25">
      <c r="B626" s="31"/>
      <c r="C626" s="31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</row>
    <row r="627" spans="2:38" s="102" customFormat="1" ht="15.75" customHeight="1" x14ac:dyDescent="0.25">
      <c r="B627" s="31"/>
      <c r="C627" s="31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</row>
    <row r="628" spans="2:38" s="102" customFormat="1" ht="15.75" customHeight="1" x14ac:dyDescent="0.25">
      <c r="B628" s="31"/>
      <c r="C628" s="31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</row>
    <row r="629" spans="2:38" s="102" customFormat="1" ht="15.75" customHeight="1" x14ac:dyDescent="0.25">
      <c r="B629" s="31"/>
      <c r="C629" s="31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</row>
    <row r="630" spans="2:38" s="102" customFormat="1" ht="15.75" customHeight="1" x14ac:dyDescent="0.25">
      <c r="B630" s="31"/>
      <c r="C630" s="31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</row>
    <row r="631" spans="2:38" s="102" customFormat="1" ht="15.75" customHeight="1" x14ac:dyDescent="0.25">
      <c r="B631" s="31"/>
      <c r="C631" s="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</row>
    <row r="632" spans="2:38" s="102" customFormat="1" ht="15.75" customHeight="1" x14ac:dyDescent="0.25">
      <c r="B632" s="31"/>
      <c r="C632" s="31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</row>
    <row r="633" spans="2:38" s="102" customFormat="1" ht="15.75" customHeight="1" x14ac:dyDescent="0.25">
      <c r="B633" s="31"/>
      <c r="C633" s="31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</row>
    <row r="634" spans="2:38" s="102" customFormat="1" ht="15.75" customHeight="1" x14ac:dyDescent="0.25">
      <c r="B634" s="31"/>
      <c r="C634" s="31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</row>
    <row r="635" spans="2:38" s="102" customFormat="1" ht="15.75" customHeight="1" x14ac:dyDescent="0.25">
      <c r="B635" s="31"/>
      <c r="C635" s="31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</row>
    <row r="636" spans="2:38" s="102" customFormat="1" ht="15.75" customHeight="1" x14ac:dyDescent="0.25">
      <c r="B636" s="31"/>
      <c r="C636" s="31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</row>
    <row r="637" spans="2:38" s="102" customFormat="1" ht="15.75" customHeight="1" x14ac:dyDescent="0.25">
      <c r="B637" s="31"/>
      <c r="C637" s="31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</row>
    <row r="638" spans="2:38" s="102" customFormat="1" ht="15.75" customHeight="1" x14ac:dyDescent="0.25">
      <c r="B638" s="31"/>
      <c r="C638" s="31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</row>
    <row r="639" spans="2:38" s="102" customFormat="1" ht="15.75" customHeight="1" x14ac:dyDescent="0.25">
      <c r="B639" s="31"/>
      <c r="C639" s="31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</row>
    <row r="640" spans="2:38" s="102" customFormat="1" ht="15.75" customHeight="1" x14ac:dyDescent="0.25">
      <c r="B640" s="31"/>
      <c r="C640" s="31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</row>
    <row r="641" spans="2:38" s="102" customFormat="1" ht="15.75" customHeight="1" x14ac:dyDescent="0.25">
      <c r="B641" s="31"/>
      <c r="C641" s="3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</row>
    <row r="642" spans="2:38" s="102" customFormat="1" ht="15.75" customHeight="1" x14ac:dyDescent="0.25">
      <c r="B642" s="31"/>
      <c r="C642" s="31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</row>
    <row r="643" spans="2:38" s="102" customFormat="1" ht="15.75" customHeight="1" x14ac:dyDescent="0.25">
      <c r="B643" s="31"/>
      <c r="C643" s="31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</row>
    <row r="644" spans="2:38" s="102" customFormat="1" ht="15.75" customHeight="1" x14ac:dyDescent="0.25">
      <c r="B644" s="31"/>
      <c r="C644" s="31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</row>
    <row r="645" spans="2:38" s="102" customFormat="1" ht="15.75" customHeight="1" x14ac:dyDescent="0.25">
      <c r="B645" s="31"/>
      <c r="C645" s="31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</row>
    <row r="646" spans="2:38" s="102" customFormat="1" ht="15.75" customHeight="1" x14ac:dyDescent="0.25">
      <c r="B646" s="31"/>
      <c r="C646" s="31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</row>
    <row r="647" spans="2:38" s="102" customFormat="1" ht="15.75" customHeight="1" x14ac:dyDescent="0.25">
      <c r="B647" s="31"/>
      <c r="C647" s="31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</row>
    <row r="648" spans="2:38" s="102" customFormat="1" ht="15.75" customHeight="1" x14ac:dyDescent="0.25">
      <c r="B648" s="31"/>
      <c r="C648" s="31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</row>
    <row r="649" spans="2:38" s="102" customFormat="1" ht="15.75" customHeight="1" x14ac:dyDescent="0.25">
      <c r="B649" s="31"/>
      <c r="C649" s="31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</row>
    <row r="650" spans="2:38" s="102" customFormat="1" ht="15.75" customHeight="1" x14ac:dyDescent="0.25">
      <c r="B650" s="31"/>
      <c r="C650" s="31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</row>
    <row r="651" spans="2:38" s="102" customFormat="1" ht="15.75" customHeight="1" x14ac:dyDescent="0.25">
      <c r="B651" s="31"/>
      <c r="C651" s="3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</row>
    <row r="652" spans="2:38" s="102" customFormat="1" ht="15.75" customHeight="1" x14ac:dyDescent="0.25">
      <c r="B652" s="31"/>
      <c r="C652" s="31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</row>
    <row r="653" spans="2:38" s="102" customFormat="1" ht="15.75" customHeight="1" x14ac:dyDescent="0.25">
      <c r="B653" s="31"/>
      <c r="C653" s="31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</row>
    <row r="654" spans="2:38" s="102" customFormat="1" ht="15.75" customHeight="1" x14ac:dyDescent="0.25">
      <c r="B654" s="31"/>
      <c r="C654" s="31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</row>
    <row r="655" spans="2:38" s="102" customFormat="1" ht="15.75" customHeight="1" x14ac:dyDescent="0.25">
      <c r="B655" s="31"/>
      <c r="C655" s="31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</row>
    <row r="656" spans="2:38" s="102" customFormat="1" ht="15.75" customHeight="1" x14ac:dyDescent="0.25">
      <c r="B656" s="31"/>
      <c r="C656" s="31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</row>
    <row r="657" spans="2:38" s="102" customFormat="1" ht="15.75" customHeight="1" x14ac:dyDescent="0.25">
      <c r="B657" s="31"/>
      <c r="C657" s="31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</row>
    <row r="658" spans="2:38" s="102" customFormat="1" ht="15.75" customHeight="1" x14ac:dyDescent="0.25">
      <c r="B658" s="31"/>
      <c r="C658" s="31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</row>
    <row r="659" spans="2:38" s="102" customFormat="1" ht="15.75" customHeight="1" x14ac:dyDescent="0.25">
      <c r="B659" s="31"/>
      <c r="C659" s="31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</row>
    <row r="660" spans="2:38" s="102" customFormat="1" ht="15.75" customHeight="1" x14ac:dyDescent="0.25">
      <c r="B660" s="31"/>
      <c r="C660" s="31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</row>
    <row r="661" spans="2:38" s="102" customFormat="1" ht="15.75" customHeight="1" x14ac:dyDescent="0.25">
      <c r="B661" s="31"/>
      <c r="C661" s="3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</row>
    <row r="662" spans="2:38" s="102" customFormat="1" ht="15.75" customHeight="1" x14ac:dyDescent="0.25">
      <c r="B662" s="31"/>
      <c r="C662" s="31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</row>
    <row r="663" spans="2:38" s="102" customFormat="1" ht="15.75" customHeight="1" x14ac:dyDescent="0.25">
      <c r="B663" s="31"/>
      <c r="C663" s="31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</row>
    <row r="664" spans="2:38" s="102" customFormat="1" ht="15.75" customHeight="1" x14ac:dyDescent="0.25">
      <c r="B664" s="31"/>
      <c r="C664" s="31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</row>
    <row r="665" spans="2:38" s="102" customFormat="1" ht="15.75" customHeight="1" x14ac:dyDescent="0.25">
      <c r="B665" s="31"/>
      <c r="C665" s="31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</row>
    <row r="666" spans="2:38" s="102" customFormat="1" ht="15.75" customHeight="1" x14ac:dyDescent="0.25">
      <c r="B666" s="31"/>
      <c r="C666" s="31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</row>
    <row r="667" spans="2:38" s="102" customFormat="1" ht="15.75" customHeight="1" x14ac:dyDescent="0.25">
      <c r="B667" s="31"/>
      <c r="C667" s="31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</row>
    <row r="668" spans="2:38" s="102" customFormat="1" ht="15.75" customHeight="1" x14ac:dyDescent="0.25">
      <c r="B668" s="31"/>
      <c r="C668" s="31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</row>
    <row r="669" spans="2:38" s="102" customFormat="1" ht="15.75" customHeight="1" x14ac:dyDescent="0.25">
      <c r="B669" s="31"/>
      <c r="C669" s="31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</row>
    <row r="670" spans="2:38" s="102" customFormat="1" ht="15.75" customHeight="1" x14ac:dyDescent="0.25">
      <c r="B670" s="31"/>
      <c r="C670" s="31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</row>
    <row r="671" spans="2:38" s="102" customFormat="1" ht="15.75" customHeight="1" x14ac:dyDescent="0.25">
      <c r="B671" s="31"/>
      <c r="C671" s="3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</row>
    <row r="672" spans="2:38" s="102" customFormat="1" ht="15.75" customHeight="1" x14ac:dyDescent="0.25">
      <c r="B672" s="31"/>
      <c r="C672" s="31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</row>
    <row r="673" spans="2:38" s="102" customFormat="1" ht="15.75" customHeight="1" x14ac:dyDescent="0.25">
      <c r="B673" s="31"/>
      <c r="C673" s="31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</row>
    <row r="674" spans="2:38" s="102" customFormat="1" ht="15.75" customHeight="1" x14ac:dyDescent="0.25">
      <c r="B674" s="31"/>
      <c r="C674" s="31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</row>
    <row r="675" spans="2:38" s="102" customFormat="1" ht="15.75" customHeight="1" x14ac:dyDescent="0.25">
      <c r="B675" s="31"/>
      <c r="C675" s="31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</row>
    <row r="676" spans="2:38" s="102" customFormat="1" ht="15.75" customHeight="1" x14ac:dyDescent="0.25">
      <c r="B676" s="31"/>
      <c r="C676" s="31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</row>
    <row r="677" spans="2:38" s="102" customFormat="1" ht="15.75" customHeight="1" x14ac:dyDescent="0.25">
      <c r="B677" s="31"/>
      <c r="C677" s="31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</row>
    <row r="678" spans="2:38" s="102" customFormat="1" ht="15.75" customHeight="1" x14ac:dyDescent="0.25">
      <c r="B678" s="31"/>
      <c r="C678" s="31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</row>
    <row r="679" spans="2:38" s="102" customFormat="1" ht="15.75" customHeight="1" x14ac:dyDescent="0.25">
      <c r="B679" s="31"/>
      <c r="C679" s="31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</row>
    <row r="680" spans="2:38" s="102" customFormat="1" ht="15.75" customHeight="1" x14ac:dyDescent="0.25">
      <c r="B680" s="31"/>
      <c r="C680" s="31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</row>
    <row r="681" spans="2:38" s="102" customFormat="1" ht="15.75" customHeight="1" x14ac:dyDescent="0.25">
      <c r="B681" s="31"/>
      <c r="C681" s="3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</row>
    <row r="682" spans="2:38" s="102" customFormat="1" ht="15.75" customHeight="1" x14ac:dyDescent="0.25">
      <c r="B682" s="31"/>
      <c r="C682" s="31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</row>
    <row r="683" spans="2:38" s="102" customFormat="1" ht="15.75" customHeight="1" x14ac:dyDescent="0.25">
      <c r="B683" s="31"/>
      <c r="C683" s="31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</row>
    <row r="684" spans="2:38" s="102" customFormat="1" ht="15.75" customHeight="1" x14ac:dyDescent="0.25">
      <c r="B684" s="31"/>
      <c r="C684" s="31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</row>
    <row r="685" spans="2:38" s="102" customFormat="1" ht="15.75" customHeight="1" x14ac:dyDescent="0.25">
      <c r="B685" s="31"/>
      <c r="C685" s="31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</row>
    <row r="686" spans="2:38" s="102" customFormat="1" ht="15.75" customHeight="1" x14ac:dyDescent="0.25">
      <c r="B686" s="31"/>
      <c r="C686" s="31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</row>
    <row r="687" spans="2:38" s="102" customFormat="1" ht="15.75" customHeight="1" x14ac:dyDescent="0.25">
      <c r="B687" s="31"/>
      <c r="C687" s="31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</row>
    <row r="688" spans="2:38" s="102" customFormat="1" ht="15.75" customHeight="1" x14ac:dyDescent="0.25">
      <c r="B688" s="31"/>
      <c r="C688" s="31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</row>
    <row r="689" spans="2:38" s="102" customFormat="1" ht="15.75" customHeight="1" x14ac:dyDescent="0.25">
      <c r="B689" s="31"/>
      <c r="C689" s="31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</row>
    <row r="690" spans="2:38" s="102" customFormat="1" ht="15.75" customHeight="1" x14ac:dyDescent="0.25">
      <c r="B690" s="31"/>
      <c r="C690" s="31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</row>
    <row r="691" spans="2:38" s="102" customFormat="1" ht="15.75" customHeight="1" x14ac:dyDescent="0.25">
      <c r="B691" s="31"/>
      <c r="C691" s="3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</row>
    <row r="692" spans="2:38" s="102" customFormat="1" ht="15.75" customHeight="1" x14ac:dyDescent="0.25">
      <c r="B692" s="31"/>
      <c r="C692" s="31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</row>
    <row r="693" spans="2:38" s="102" customFormat="1" ht="15.75" customHeight="1" x14ac:dyDescent="0.25">
      <c r="B693" s="31"/>
      <c r="C693" s="31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</row>
    <row r="694" spans="2:38" s="102" customFormat="1" ht="15.75" customHeight="1" x14ac:dyDescent="0.25">
      <c r="B694" s="31"/>
      <c r="C694" s="31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</row>
    <row r="695" spans="2:38" s="102" customFormat="1" ht="15.75" customHeight="1" x14ac:dyDescent="0.25">
      <c r="B695" s="31"/>
      <c r="C695" s="31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</row>
    <row r="696" spans="2:38" s="102" customFormat="1" ht="15.75" customHeight="1" x14ac:dyDescent="0.25">
      <c r="B696" s="31"/>
      <c r="C696" s="31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</row>
    <row r="697" spans="2:38" s="102" customFormat="1" ht="15.75" customHeight="1" x14ac:dyDescent="0.25">
      <c r="B697" s="31"/>
      <c r="C697" s="31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</row>
    <row r="698" spans="2:38" s="102" customFormat="1" ht="15.75" customHeight="1" x14ac:dyDescent="0.25">
      <c r="B698" s="31"/>
      <c r="C698" s="31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</row>
    <row r="699" spans="2:38" s="102" customFormat="1" ht="15.75" customHeight="1" x14ac:dyDescent="0.25">
      <c r="B699" s="31"/>
      <c r="C699" s="31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</row>
    <row r="700" spans="2:38" s="102" customFormat="1" ht="15.75" customHeight="1" x14ac:dyDescent="0.25">
      <c r="B700" s="31"/>
      <c r="C700" s="31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</row>
    <row r="701" spans="2:38" s="102" customFormat="1" ht="15.75" customHeight="1" x14ac:dyDescent="0.25">
      <c r="B701" s="31"/>
      <c r="C701" s="3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</row>
    <row r="702" spans="2:38" s="102" customFormat="1" ht="15.75" customHeight="1" x14ac:dyDescent="0.25">
      <c r="B702" s="31"/>
      <c r="C702" s="31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</row>
    <row r="703" spans="2:38" s="102" customFormat="1" ht="15.75" customHeight="1" x14ac:dyDescent="0.25">
      <c r="B703" s="31"/>
      <c r="C703" s="31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</row>
    <row r="704" spans="2:38" s="102" customFormat="1" ht="15.75" customHeight="1" x14ac:dyDescent="0.25">
      <c r="B704" s="31"/>
      <c r="C704" s="31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</row>
    <row r="705" spans="2:38" s="102" customFormat="1" ht="15.75" customHeight="1" x14ac:dyDescent="0.25">
      <c r="B705" s="31"/>
      <c r="C705" s="31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</row>
    <row r="706" spans="2:38" s="102" customFormat="1" ht="15.75" customHeight="1" x14ac:dyDescent="0.25">
      <c r="B706" s="31"/>
      <c r="C706" s="31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</row>
    <row r="707" spans="2:38" s="102" customFormat="1" ht="15.75" customHeight="1" x14ac:dyDescent="0.25">
      <c r="B707" s="31"/>
      <c r="C707" s="31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</row>
    <row r="708" spans="2:38" s="102" customFormat="1" ht="15.75" customHeight="1" x14ac:dyDescent="0.25">
      <c r="B708" s="31"/>
      <c r="C708" s="31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</row>
    <row r="709" spans="2:38" s="102" customFormat="1" ht="15.75" customHeight="1" x14ac:dyDescent="0.25">
      <c r="B709" s="31"/>
      <c r="C709" s="31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</row>
    <row r="710" spans="2:38" s="102" customFormat="1" ht="15.75" customHeight="1" x14ac:dyDescent="0.25">
      <c r="B710" s="31"/>
      <c r="C710" s="31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</row>
    <row r="711" spans="2:38" s="102" customFormat="1" ht="15.75" customHeight="1" x14ac:dyDescent="0.25">
      <c r="B711" s="31"/>
      <c r="C711" s="3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</row>
    <row r="712" spans="2:38" s="102" customFormat="1" ht="15.75" customHeight="1" x14ac:dyDescent="0.25">
      <c r="B712" s="31"/>
      <c r="C712" s="31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</row>
    <row r="713" spans="2:38" s="102" customFormat="1" ht="15.75" customHeight="1" x14ac:dyDescent="0.25">
      <c r="B713" s="31"/>
      <c r="C713" s="31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</row>
    <row r="714" spans="2:38" s="102" customFormat="1" ht="15.75" customHeight="1" x14ac:dyDescent="0.25">
      <c r="B714" s="31"/>
      <c r="C714" s="31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</row>
    <row r="715" spans="2:38" s="102" customFormat="1" ht="15.75" customHeight="1" x14ac:dyDescent="0.25">
      <c r="B715" s="31"/>
      <c r="C715" s="31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</row>
    <row r="716" spans="2:38" s="102" customFormat="1" ht="15.75" customHeight="1" x14ac:dyDescent="0.25">
      <c r="B716" s="31"/>
      <c r="C716" s="31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</row>
    <row r="717" spans="2:38" s="102" customFormat="1" ht="15.75" customHeight="1" x14ac:dyDescent="0.25">
      <c r="B717" s="31"/>
      <c r="C717" s="31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</row>
    <row r="718" spans="2:38" s="102" customFormat="1" ht="15.75" customHeight="1" x14ac:dyDescent="0.25">
      <c r="B718" s="31"/>
      <c r="C718" s="31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</row>
    <row r="719" spans="2:38" s="102" customFormat="1" ht="15.75" customHeight="1" x14ac:dyDescent="0.25">
      <c r="B719" s="31"/>
      <c r="C719" s="31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</row>
    <row r="720" spans="2:38" s="102" customFormat="1" ht="15.75" customHeight="1" x14ac:dyDescent="0.25">
      <c r="B720" s="31"/>
      <c r="C720" s="31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</row>
    <row r="721" spans="2:38" s="102" customFormat="1" ht="15.75" customHeight="1" x14ac:dyDescent="0.25">
      <c r="B721" s="31"/>
      <c r="C721" s="3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</row>
    <row r="722" spans="2:38" s="102" customFormat="1" ht="15.75" customHeight="1" x14ac:dyDescent="0.25">
      <c r="B722" s="31"/>
      <c r="C722" s="31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</row>
    <row r="723" spans="2:38" s="102" customFormat="1" ht="15.75" customHeight="1" x14ac:dyDescent="0.25">
      <c r="B723" s="31"/>
      <c r="C723" s="31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</row>
    <row r="724" spans="2:38" s="102" customFormat="1" ht="15.75" customHeight="1" x14ac:dyDescent="0.25">
      <c r="B724" s="31"/>
      <c r="C724" s="31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</row>
    <row r="725" spans="2:38" s="102" customFormat="1" ht="15.75" customHeight="1" x14ac:dyDescent="0.25">
      <c r="B725" s="31"/>
      <c r="C725" s="31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</row>
    <row r="726" spans="2:38" s="102" customFormat="1" ht="15.75" customHeight="1" x14ac:dyDescent="0.25">
      <c r="B726" s="31"/>
      <c r="C726" s="31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</row>
    <row r="727" spans="2:38" s="102" customFormat="1" ht="15.75" customHeight="1" x14ac:dyDescent="0.25">
      <c r="B727" s="31"/>
      <c r="C727" s="31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</row>
    <row r="728" spans="2:38" s="102" customFormat="1" ht="15.75" customHeight="1" x14ac:dyDescent="0.25">
      <c r="B728" s="31"/>
      <c r="C728" s="31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</row>
    <row r="729" spans="2:38" s="102" customFormat="1" ht="15.75" customHeight="1" x14ac:dyDescent="0.25">
      <c r="B729" s="31"/>
      <c r="C729" s="31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</row>
    <row r="730" spans="2:38" s="102" customFormat="1" ht="15.75" customHeight="1" x14ac:dyDescent="0.25">
      <c r="B730" s="31"/>
      <c r="C730" s="31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</row>
    <row r="731" spans="2:38" s="102" customFormat="1" ht="15.75" customHeight="1" x14ac:dyDescent="0.25">
      <c r="B731" s="31"/>
      <c r="C731" s="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</row>
    <row r="732" spans="2:38" s="102" customFormat="1" ht="15.75" customHeight="1" x14ac:dyDescent="0.25">
      <c r="B732" s="31"/>
      <c r="C732" s="31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</row>
    <row r="733" spans="2:38" s="102" customFormat="1" ht="15.75" customHeight="1" x14ac:dyDescent="0.25">
      <c r="B733" s="31"/>
      <c r="C733" s="31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</row>
    <row r="734" spans="2:38" s="102" customFormat="1" ht="15.75" customHeight="1" x14ac:dyDescent="0.25">
      <c r="B734" s="31"/>
      <c r="C734" s="31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</row>
    <row r="735" spans="2:38" s="102" customFormat="1" ht="15.75" customHeight="1" x14ac:dyDescent="0.25">
      <c r="B735" s="31"/>
      <c r="C735" s="31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</row>
    <row r="736" spans="2:38" s="102" customFormat="1" ht="15.75" customHeight="1" x14ac:dyDescent="0.25">
      <c r="B736" s="31"/>
      <c r="C736" s="31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</row>
    <row r="737" spans="2:38" s="102" customFormat="1" ht="15.75" customHeight="1" x14ac:dyDescent="0.25">
      <c r="B737" s="31"/>
      <c r="C737" s="31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</row>
    <row r="738" spans="2:38" s="102" customFormat="1" ht="15.75" customHeight="1" x14ac:dyDescent="0.25">
      <c r="B738" s="31"/>
      <c r="C738" s="31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</row>
    <row r="739" spans="2:38" s="102" customFormat="1" ht="15.75" customHeight="1" x14ac:dyDescent="0.25">
      <c r="B739" s="31"/>
      <c r="C739" s="31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</row>
    <row r="740" spans="2:38" s="102" customFormat="1" ht="15.75" customHeight="1" x14ac:dyDescent="0.25">
      <c r="B740" s="31"/>
      <c r="C740" s="31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</row>
    <row r="741" spans="2:38" s="102" customFormat="1" ht="15.75" customHeight="1" x14ac:dyDescent="0.25">
      <c r="B741" s="31"/>
      <c r="C741" s="3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</row>
    <row r="742" spans="2:38" s="102" customFormat="1" ht="15.75" customHeight="1" x14ac:dyDescent="0.25">
      <c r="B742" s="31"/>
      <c r="C742" s="31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</row>
    <row r="743" spans="2:38" s="102" customFormat="1" ht="15.75" customHeight="1" x14ac:dyDescent="0.25">
      <c r="B743" s="31"/>
      <c r="C743" s="31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</row>
    <row r="744" spans="2:38" s="102" customFormat="1" ht="15.75" customHeight="1" x14ac:dyDescent="0.25">
      <c r="B744" s="31"/>
      <c r="C744" s="31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</row>
    <row r="745" spans="2:38" s="102" customFormat="1" ht="15.75" customHeight="1" x14ac:dyDescent="0.25">
      <c r="B745" s="31"/>
      <c r="C745" s="31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</row>
    <row r="746" spans="2:38" s="102" customFormat="1" ht="15.75" customHeight="1" x14ac:dyDescent="0.25">
      <c r="B746" s="31"/>
      <c r="C746" s="31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</row>
    <row r="747" spans="2:38" s="102" customFormat="1" ht="15.75" customHeight="1" x14ac:dyDescent="0.25">
      <c r="B747" s="31"/>
      <c r="C747" s="31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</row>
    <row r="748" spans="2:38" s="102" customFormat="1" ht="15.75" customHeight="1" x14ac:dyDescent="0.25">
      <c r="B748" s="31"/>
      <c r="C748" s="31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</row>
    <row r="749" spans="2:38" s="102" customFormat="1" ht="15.75" customHeight="1" x14ac:dyDescent="0.25">
      <c r="B749" s="31"/>
      <c r="C749" s="31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</row>
    <row r="750" spans="2:38" s="102" customFormat="1" ht="15.75" customHeight="1" x14ac:dyDescent="0.25">
      <c r="B750" s="31"/>
      <c r="C750" s="31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</row>
    <row r="751" spans="2:38" s="102" customFormat="1" ht="15.75" customHeight="1" x14ac:dyDescent="0.25">
      <c r="B751" s="31"/>
      <c r="C751" s="3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</row>
    <row r="752" spans="2:38" s="102" customFormat="1" ht="15.75" customHeight="1" x14ac:dyDescent="0.25">
      <c r="B752" s="31"/>
      <c r="C752" s="31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</row>
    <row r="753" spans="2:38" s="102" customFormat="1" ht="15.75" customHeight="1" x14ac:dyDescent="0.25">
      <c r="B753" s="31"/>
      <c r="C753" s="31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</row>
    <row r="754" spans="2:38" s="102" customFormat="1" ht="15.75" customHeight="1" x14ac:dyDescent="0.25">
      <c r="B754" s="31"/>
      <c r="C754" s="31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</row>
    <row r="755" spans="2:38" s="102" customFormat="1" ht="15.75" customHeight="1" x14ac:dyDescent="0.25">
      <c r="B755" s="31"/>
      <c r="C755" s="31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</row>
    <row r="756" spans="2:38" s="102" customFormat="1" ht="15.75" customHeight="1" x14ac:dyDescent="0.25">
      <c r="B756" s="31"/>
      <c r="C756" s="31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</row>
    <row r="757" spans="2:38" s="102" customFormat="1" ht="15.75" customHeight="1" x14ac:dyDescent="0.25">
      <c r="B757" s="31"/>
      <c r="C757" s="31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</row>
    <row r="758" spans="2:38" s="102" customFormat="1" ht="15.75" customHeight="1" x14ac:dyDescent="0.25">
      <c r="B758" s="31"/>
      <c r="C758" s="31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</row>
    <row r="759" spans="2:38" s="102" customFormat="1" ht="15.75" customHeight="1" x14ac:dyDescent="0.25">
      <c r="B759" s="31"/>
      <c r="C759" s="31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</row>
    <row r="760" spans="2:38" s="102" customFormat="1" ht="15.75" customHeight="1" x14ac:dyDescent="0.25">
      <c r="B760" s="31"/>
      <c r="C760" s="31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</row>
    <row r="761" spans="2:38" s="102" customFormat="1" ht="15.75" customHeight="1" x14ac:dyDescent="0.25">
      <c r="B761" s="31"/>
      <c r="C761" s="3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</row>
    <row r="762" spans="2:38" s="102" customFormat="1" ht="15.75" customHeight="1" x14ac:dyDescent="0.25">
      <c r="B762" s="31"/>
      <c r="C762" s="31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</row>
    <row r="763" spans="2:38" s="102" customFormat="1" ht="15.75" customHeight="1" x14ac:dyDescent="0.25">
      <c r="B763" s="31"/>
      <c r="C763" s="31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</row>
    <row r="764" spans="2:38" s="102" customFormat="1" ht="15.75" customHeight="1" x14ac:dyDescent="0.25">
      <c r="B764" s="31"/>
      <c r="C764" s="31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</row>
    <row r="765" spans="2:38" s="102" customFormat="1" ht="15.75" customHeight="1" x14ac:dyDescent="0.25">
      <c r="B765" s="31"/>
      <c r="C765" s="31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</row>
    <row r="766" spans="2:38" s="102" customFormat="1" ht="15.75" customHeight="1" x14ac:dyDescent="0.25">
      <c r="B766" s="31"/>
      <c r="C766" s="31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</row>
    <row r="767" spans="2:38" s="102" customFormat="1" ht="15.75" customHeight="1" x14ac:dyDescent="0.25">
      <c r="B767" s="31"/>
      <c r="C767" s="31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</row>
    <row r="768" spans="2:38" s="102" customFormat="1" ht="15.75" customHeight="1" x14ac:dyDescent="0.25">
      <c r="B768" s="31"/>
      <c r="C768" s="31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</row>
    <row r="769" spans="2:38" s="102" customFormat="1" ht="15.75" customHeight="1" x14ac:dyDescent="0.25">
      <c r="B769" s="31"/>
      <c r="C769" s="31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</row>
    <row r="770" spans="2:38" s="102" customFormat="1" ht="15.75" customHeight="1" x14ac:dyDescent="0.25">
      <c r="B770" s="31"/>
      <c r="C770" s="31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</row>
    <row r="771" spans="2:38" s="102" customFormat="1" ht="15.75" customHeight="1" x14ac:dyDescent="0.25">
      <c r="B771" s="31"/>
      <c r="C771" s="3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</row>
    <row r="772" spans="2:38" s="102" customFormat="1" ht="15.75" customHeight="1" x14ac:dyDescent="0.25">
      <c r="B772" s="31"/>
      <c r="C772" s="31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</row>
    <row r="773" spans="2:38" s="102" customFormat="1" ht="15.75" customHeight="1" x14ac:dyDescent="0.25">
      <c r="B773" s="31"/>
      <c r="C773" s="31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</row>
    <row r="774" spans="2:38" s="102" customFormat="1" ht="15.75" customHeight="1" x14ac:dyDescent="0.25">
      <c r="B774" s="31"/>
      <c r="C774" s="31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</row>
    <row r="775" spans="2:38" s="102" customFormat="1" ht="15.75" customHeight="1" x14ac:dyDescent="0.25">
      <c r="B775" s="31"/>
      <c r="C775" s="31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</row>
    <row r="776" spans="2:38" s="102" customFormat="1" ht="15.75" customHeight="1" x14ac:dyDescent="0.25">
      <c r="B776" s="31"/>
      <c r="C776" s="31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</row>
    <row r="777" spans="2:38" s="102" customFormat="1" ht="15.75" customHeight="1" x14ac:dyDescent="0.25">
      <c r="B777" s="31"/>
      <c r="C777" s="31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</row>
    <row r="778" spans="2:38" s="102" customFormat="1" ht="15.75" customHeight="1" x14ac:dyDescent="0.25">
      <c r="B778" s="31"/>
      <c r="C778" s="31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</row>
    <row r="779" spans="2:38" s="102" customFormat="1" ht="15.75" customHeight="1" x14ac:dyDescent="0.25">
      <c r="B779" s="31"/>
      <c r="C779" s="31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</row>
    <row r="780" spans="2:38" s="102" customFormat="1" ht="15.75" customHeight="1" x14ac:dyDescent="0.25">
      <c r="B780" s="31"/>
      <c r="C780" s="31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</row>
    <row r="781" spans="2:38" s="102" customFormat="1" ht="15.75" customHeight="1" x14ac:dyDescent="0.25">
      <c r="B781" s="31"/>
      <c r="C781" s="3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</row>
    <row r="782" spans="2:38" s="102" customFormat="1" ht="15.75" customHeight="1" x14ac:dyDescent="0.25">
      <c r="B782" s="31"/>
      <c r="C782" s="31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</row>
    <row r="783" spans="2:38" s="102" customFormat="1" ht="15.75" customHeight="1" x14ac:dyDescent="0.25">
      <c r="B783" s="31"/>
      <c r="C783" s="31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</row>
    <row r="784" spans="2:38" s="102" customFormat="1" ht="15.75" customHeight="1" x14ac:dyDescent="0.25">
      <c r="B784" s="31"/>
      <c r="C784" s="31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</row>
    <row r="785" spans="2:38" s="102" customFormat="1" ht="15.75" customHeight="1" x14ac:dyDescent="0.25">
      <c r="B785" s="31"/>
      <c r="C785" s="31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</row>
    <row r="786" spans="2:38" s="102" customFormat="1" ht="15.75" customHeight="1" x14ac:dyDescent="0.25">
      <c r="B786" s="31"/>
      <c r="C786" s="31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</row>
    <row r="787" spans="2:38" s="102" customFormat="1" ht="15.75" customHeight="1" x14ac:dyDescent="0.25">
      <c r="B787" s="31"/>
      <c r="C787" s="31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</row>
    <row r="788" spans="2:38" s="102" customFormat="1" ht="15.75" customHeight="1" x14ac:dyDescent="0.25">
      <c r="B788" s="31"/>
      <c r="C788" s="31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</row>
    <row r="789" spans="2:38" s="102" customFormat="1" ht="15.75" customHeight="1" x14ac:dyDescent="0.25">
      <c r="B789" s="31"/>
      <c r="C789" s="31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</row>
    <row r="790" spans="2:38" s="102" customFormat="1" ht="15.75" customHeight="1" x14ac:dyDescent="0.25">
      <c r="B790" s="31"/>
      <c r="C790" s="31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</row>
    <row r="791" spans="2:38" s="102" customFormat="1" ht="15.75" customHeight="1" x14ac:dyDescent="0.25">
      <c r="B791" s="31"/>
      <c r="C791" s="3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</row>
    <row r="792" spans="2:38" s="102" customFormat="1" ht="15.75" customHeight="1" x14ac:dyDescent="0.25">
      <c r="B792" s="31"/>
      <c r="C792" s="31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</row>
    <row r="793" spans="2:38" s="102" customFormat="1" ht="15.75" customHeight="1" x14ac:dyDescent="0.25">
      <c r="B793" s="31"/>
      <c r="C793" s="31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</row>
    <row r="794" spans="2:38" s="102" customFormat="1" ht="15.75" customHeight="1" x14ac:dyDescent="0.25">
      <c r="B794" s="31"/>
      <c r="C794" s="31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</row>
    <row r="795" spans="2:38" s="102" customFormat="1" ht="15.75" customHeight="1" x14ac:dyDescent="0.25">
      <c r="B795" s="31"/>
      <c r="C795" s="31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</row>
    <row r="796" spans="2:38" s="102" customFormat="1" ht="15.75" customHeight="1" x14ac:dyDescent="0.25">
      <c r="B796" s="31"/>
      <c r="C796" s="31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</row>
    <row r="797" spans="2:38" s="102" customFormat="1" ht="15.75" customHeight="1" x14ac:dyDescent="0.25">
      <c r="B797" s="31"/>
      <c r="C797" s="31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</row>
    <row r="798" spans="2:38" s="102" customFormat="1" ht="15.75" customHeight="1" x14ac:dyDescent="0.25">
      <c r="B798" s="31"/>
      <c r="C798" s="31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</row>
    <row r="799" spans="2:38" s="102" customFormat="1" ht="15.75" customHeight="1" x14ac:dyDescent="0.25">
      <c r="B799" s="31"/>
      <c r="C799" s="31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</row>
    <row r="800" spans="2:38" s="102" customFormat="1" ht="15.75" customHeight="1" x14ac:dyDescent="0.25">
      <c r="B800" s="31"/>
      <c r="C800" s="31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</row>
    <row r="801" spans="2:38" s="102" customFormat="1" ht="15.75" customHeight="1" x14ac:dyDescent="0.25">
      <c r="B801" s="31"/>
      <c r="C801" s="3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</row>
    <row r="802" spans="2:38" s="102" customFormat="1" ht="15.75" customHeight="1" x14ac:dyDescent="0.25">
      <c r="B802" s="31"/>
      <c r="C802" s="31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</row>
    <row r="803" spans="2:38" s="102" customFormat="1" ht="15.75" customHeight="1" x14ac:dyDescent="0.25">
      <c r="B803" s="31"/>
      <c r="C803" s="31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</row>
    <row r="804" spans="2:38" s="102" customFormat="1" ht="15.75" customHeight="1" x14ac:dyDescent="0.25">
      <c r="B804" s="31"/>
      <c r="C804" s="31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</row>
    <row r="805" spans="2:38" s="102" customFormat="1" ht="15.75" customHeight="1" x14ac:dyDescent="0.25">
      <c r="B805" s="31"/>
      <c r="C805" s="31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</row>
    <row r="806" spans="2:38" s="102" customFormat="1" ht="15.75" customHeight="1" x14ac:dyDescent="0.25">
      <c r="B806" s="31"/>
      <c r="C806" s="31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</row>
    <row r="807" spans="2:38" s="102" customFormat="1" ht="15.75" customHeight="1" x14ac:dyDescent="0.25">
      <c r="B807" s="31"/>
      <c r="C807" s="31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</row>
    <row r="808" spans="2:38" s="102" customFormat="1" ht="15.75" customHeight="1" x14ac:dyDescent="0.25">
      <c r="B808" s="31"/>
      <c r="C808" s="31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</row>
    <row r="809" spans="2:38" s="102" customFormat="1" ht="15.75" customHeight="1" x14ac:dyDescent="0.25">
      <c r="B809" s="31"/>
      <c r="C809" s="31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</row>
    <row r="810" spans="2:38" s="102" customFormat="1" ht="15.75" customHeight="1" x14ac:dyDescent="0.25">
      <c r="B810" s="31"/>
      <c r="C810" s="31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</row>
    <row r="811" spans="2:38" s="102" customFormat="1" ht="15.75" customHeight="1" x14ac:dyDescent="0.25">
      <c r="B811" s="31"/>
      <c r="C811" s="3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</row>
    <row r="812" spans="2:38" s="102" customFormat="1" ht="15.75" customHeight="1" x14ac:dyDescent="0.25">
      <c r="B812" s="31"/>
      <c r="C812" s="31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</row>
    <row r="813" spans="2:38" s="102" customFormat="1" ht="15.75" customHeight="1" x14ac:dyDescent="0.25">
      <c r="B813" s="31"/>
      <c r="C813" s="31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</row>
    <row r="814" spans="2:38" s="102" customFormat="1" ht="15.75" customHeight="1" x14ac:dyDescent="0.25">
      <c r="B814" s="31"/>
      <c r="C814" s="31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</row>
    <row r="815" spans="2:38" s="102" customFormat="1" ht="15.75" customHeight="1" x14ac:dyDescent="0.25">
      <c r="B815" s="31"/>
      <c r="C815" s="31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</row>
    <row r="816" spans="2:38" s="102" customFormat="1" ht="15.75" customHeight="1" x14ac:dyDescent="0.25">
      <c r="B816" s="31"/>
      <c r="C816" s="31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</row>
    <row r="817" spans="2:38" s="102" customFormat="1" ht="15.75" customHeight="1" x14ac:dyDescent="0.25">
      <c r="B817" s="31"/>
      <c r="C817" s="31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</row>
    <row r="818" spans="2:38" s="102" customFormat="1" ht="15.75" customHeight="1" x14ac:dyDescent="0.25">
      <c r="B818" s="31"/>
      <c r="C818" s="31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</row>
    <row r="819" spans="2:38" s="102" customFormat="1" ht="15.75" customHeight="1" x14ac:dyDescent="0.25">
      <c r="B819" s="31"/>
      <c r="C819" s="31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</row>
    <row r="820" spans="2:38" s="102" customFormat="1" ht="15.75" customHeight="1" x14ac:dyDescent="0.25">
      <c r="B820" s="31"/>
      <c r="C820" s="31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</row>
    <row r="821" spans="2:38" s="102" customFormat="1" ht="15.75" customHeight="1" x14ac:dyDescent="0.25">
      <c r="B821" s="31"/>
      <c r="C821" s="3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</row>
    <row r="822" spans="2:38" s="102" customFormat="1" ht="15.75" customHeight="1" x14ac:dyDescent="0.25">
      <c r="B822" s="31"/>
      <c r="C822" s="31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</row>
    <row r="823" spans="2:38" s="102" customFormat="1" ht="15.75" customHeight="1" x14ac:dyDescent="0.25">
      <c r="B823" s="31"/>
      <c r="C823" s="31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</row>
    <row r="824" spans="2:38" s="102" customFormat="1" ht="15.75" customHeight="1" x14ac:dyDescent="0.25">
      <c r="B824" s="31"/>
      <c r="C824" s="31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</row>
    <row r="825" spans="2:38" s="102" customFormat="1" ht="15.75" customHeight="1" x14ac:dyDescent="0.25">
      <c r="B825" s="31"/>
      <c r="C825" s="31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</row>
    <row r="826" spans="2:38" s="102" customFormat="1" ht="15.75" customHeight="1" x14ac:dyDescent="0.25">
      <c r="B826" s="31"/>
      <c r="C826" s="31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</row>
    <row r="827" spans="2:38" s="102" customFormat="1" ht="15.75" customHeight="1" x14ac:dyDescent="0.25">
      <c r="B827" s="31"/>
      <c r="C827" s="31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</row>
    <row r="828" spans="2:38" s="102" customFormat="1" ht="15.75" customHeight="1" x14ac:dyDescent="0.25">
      <c r="B828" s="31"/>
      <c r="C828" s="31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</row>
    <row r="829" spans="2:38" s="102" customFormat="1" ht="15.75" customHeight="1" x14ac:dyDescent="0.25">
      <c r="B829" s="31"/>
      <c r="C829" s="31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</row>
    <row r="830" spans="2:38" s="102" customFormat="1" ht="15.75" customHeight="1" x14ac:dyDescent="0.25">
      <c r="B830" s="31"/>
      <c r="C830" s="31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</row>
    <row r="831" spans="2:38" s="102" customFormat="1" ht="15.75" customHeight="1" x14ac:dyDescent="0.25">
      <c r="B831" s="31"/>
      <c r="C831" s="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</row>
    <row r="832" spans="2:38" s="102" customFormat="1" ht="15.75" customHeight="1" x14ac:dyDescent="0.25">
      <c r="B832" s="31"/>
      <c r="C832" s="31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</row>
    <row r="833" spans="2:38" s="102" customFormat="1" ht="15.75" customHeight="1" x14ac:dyDescent="0.25">
      <c r="B833" s="31"/>
      <c r="C833" s="31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</row>
    <row r="834" spans="2:38" s="102" customFormat="1" ht="15.75" customHeight="1" x14ac:dyDescent="0.25">
      <c r="B834" s="31"/>
      <c r="C834" s="31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</row>
    <row r="835" spans="2:38" s="102" customFormat="1" ht="15.75" customHeight="1" x14ac:dyDescent="0.25">
      <c r="B835" s="31"/>
      <c r="C835" s="31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</row>
    <row r="836" spans="2:38" s="102" customFormat="1" ht="15.75" customHeight="1" x14ac:dyDescent="0.25">
      <c r="B836" s="31"/>
      <c r="C836" s="31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</row>
    <row r="837" spans="2:38" s="102" customFormat="1" ht="15.75" customHeight="1" x14ac:dyDescent="0.25">
      <c r="B837" s="31"/>
      <c r="C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</row>
    <row r="838" spans="2:38" ht="15.75" customHeight="1" x14ac:dyDescent="0.25">
      <c r="B838" s="31"/>
    </row>
    <row r="839" spans="2:38" ht="15.75" customHeight="1" x14ac:dyDescent="0.25">
      <c r="B839" s="31"/>
    </row>
    <row r="840" spans="2:38" ht="15.75" customHeight="1" x14ac:dyDescent="0.25">
      <c r="B840" s="31"/>
    </row>
    <row r="841" spans="2:38" ht="15.75" customHeight="1" x14ac:dyDescent="0.25">
      <c r="B841" s="31"/>
    </row>
    <row r="842" spans="2:38" ht="15.75" customHeight="1" x14ac:dyDescent="0.25"/>
    <row r="843" spans="2:38" ht="15.75" customHeight="1" x14ac:dyDescent="0.25"/>
    <row r="844" spans="2:38" ht="15.75" customHeight="1" x14ac:dyDescent="0.25"/>
    <row r="845" spans="2:38" ht="15.75" customHeight="1" x14ac:dyDescent="0.25"/>
    <row r="846" spans="2:38" ht="15.75" customHeight="1" x14ac:dyDescent="0.25"/>
    <row r="847" spans="2:38" ht="15.75" customHeight="1" x14ac:dyDescent="0.25"/>
    <row r="848" spans="2:3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</sheetData>
  <autoFilter ref="B8:AM128" xr:uid="{4D894EE3-1E41-4C26-81A2-DF77E54C4A68}">
    <filterColumn colId="0">
      <filters>
        <filter val="Desenvolvedor FullStack Sênior"/>
      </filters>
    </filterColumn>
  </autoFilter>
  <mergeCells count="6">
    <mergeCell ref="AK7:AL7"/>
    <mergeCell ref="E2:E6"/>
    <mergeCell ref="C7:E7"/>
    <mergeCell ref="F7:K7"/>
    <mergeCell ref="M7:T7"/>
    <mergeCell ref="V7:AI7"/>
  </mergeCells>
  <dataValidations count="3">
    <dataValidation type="list" allowBlank="1" showErrorMessage="1" sqref="E9:E128" xr:uid="{0891B5ED-7F81-49D5-990C-8AEE35E3CDCA}">
      <formula1>"Sim,Não"</formula1>
    </dataValidation>
    <dataValidation type="list" allowBlank="1" showInputMessage="1" showErrorMessage="1" sqref="D3" xr:uid="{2256DC4C-6CA9-4730-BB07-4806A340A931}">
      <formula1>"PJ, CLT"</formula1>
    </dataValidation>
    <dataValidation type="list" allowBlank="1" showInputMessage="1" showErrorMessage="1" sqref="D4" xr:uid="{385A2147-A6A4-4D38-83F4-B494FD3D9BB8}">
      <formula1>"Sim, Não"</formula1>
    </dataValidation>
  </dataValidations>
  <pageMargins left="0.511811024" right="0.511811024" top="0.63726821165609882" bottom="0.78740157499999996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4F34B02-3956-4CE8-826B-62B3A4148D23}">
          <x14:formula1>
            <xm:f>'Lista Profissionais'!$C$11:$C$214</xm:f>
          </x14:formula1>
          <xm:sqref>B25:B84 B89:B841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748D-F463-4B2C-8D60-489B52121D42}">
  <sheetPr>
    <tabColor rgb="FF00B050"/>
  </sheetPr>
  <dimension ref="B1:AL868"/>
  <sheetViews>
    <sheetView topLeftCell="A131" zoomScaleNormal="100" workbookViewId="0">
      <pane xSplit="5" topLeftCell="F1" activePane="topRight" state="frozen"/>
      <selection pane="topRight" activeCell="B159" sqref="B159"/>
    </sheetView>
  </sheetViews>
  <sheetFormatPr defaultColWidth="14.42578125" defaultRowHeight="15" customHeight="1" outlineLevelRow="1" x14ac:dyDescent="0.25"/>
  <cols>
    <col min="1" max="1" width="2.5703125" customWidth="1"/>
    <col min="2" max="2" width="43.85546875" customWidth="1"/>
    <col min="3" max="3" width="7.42578125" customWidth="1"/>
    <col min="4" max="4" width="6.7109375" style="102" customWidth="1"/>
    <col min="5" max="5" width="6.85546875" customWidth="1"/>
    <col min="6" max="6" width="18.7109375" customWidth="1"/>
    <col min="7" max="11" width="16.7109375" customWidth="1"/>
    <col min="12" max="12" width="12.42578125" bestFit="1" customWidth="1"/>
    <col min="13" max="13" width="16.7109375" customWidth="1"/>
    <col min="14" max="14" width="14.7109375" customWidth="1"/>
    <col min="15" max="15" width="14.28515625" bestFit="1" customWidth="1"/>
    <col min="16" max="16" width="16" customWidth="1"/>
    <col min="17" max="17" width="16.28515625" customWidth="1"/>
    <col min="18" max="19" width="14" customWidth="1"/>
    <col min="20" max="20" width="17.140625" customWidth="1"/>
    <col min="21" max="21" width="12" customWidth="1"/>
    <col min="22" max="23" width="12.85546875" customWidth="1"/>
    <col min="24" max="24" width="13" customWidth="1"/>
    <col min="25" max="27" width="12.85546875" customWidth="1"/>
    <col min="28" max="28" width="22.42578125" bestFit="1" customWidth="1"/>
    <col min="29" max="29" width="24" bestFit="1" customWidth="1"/>
    <col min="30" max="31" width="14.5703125" customWidth="1"/>
    <col min="32" max="33" width="14.85546875" customWidth="1"/>
    <col min="34" max="34" width="18.28515625" customWidth="1"/>
    <col min="35" max="35" width="14.42578125" customWidth="1"/>
    <col min="36" max="36" width="14.140625" customWidth="1"/>
    <col min="37" max="37" width="10.7109375" customWidth="1"/>
    <col min="38" max="38" width="14.28515625" bestFit="1" customWidth="1"/>
  </cols>
  <sheetData>
    <row r="1" spans="2:38" ht="14.25" customHeight="1" x14ac:dyDescent="0.25">
      <c r="C1" s="12"/>
      <c r="D1" s="100"/>
      <c r="E1" s="13"/>
      <c r="G1" s="14"/>
      <c r="H1" s="14"/>
      <c r="I1" s="14"/>
      <c r="J1" s="15"/>
      <c r="K1" s="15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2:38" ht="14.25" customHeight="1" outlineLevel="1" x14ac:dyDescent="0.45">
      <c r="B2" s="16"/>
      <c r="C2" s="17"/>
      <c r="D2" s="99"/>
      <c r="E2" s="262" t="s">
        <v>15</v>
      </c>
      <c r="F2" s="19" t="s">
        <v>16</v>
      </c>
      <c r="G2" s="20">
        <v>176</v>
      </c>
      <c r="H2" s="20"/>
      <c r="I2" s="19" t="s">
        <v>17</v>
      </c>
      <c r="J2" s="19">
        <f>SUBTOTAL(9,J9:J50008)</f>
        <v>2062346</v>
      </c>
      <c r="L2" s="19" t="s">
        <v>18</v>
      </c>
      <c r="M2" s="21">
        <v>0.08</v>
      </c>
      <c r="N2" s="19" t="s">
        <v>19</v>
      </c>
      <c r="O2" s="22">
        <f>COUNTIF(E9:E5008, "Sim")</f>
        <v>151</v>
      </c>
      <c r="P2" s="19" t="s">
        <v>20</v>
      </c>
      <c r="Q2" s="23">
        <v>600</v>
      </c>
      <c r="R2" s="19" t="s">
        <v>204</v>
      </c>
      <c r="S2" s="21">
        <v>0.27500000000000002</v>
      </c>
      <c r="T2" s="25"/>
      <c r="U2" s="25"/>
      <c r="V2" s="18"/>
      <c r="W2" s="189" t="s">
        <v>209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26"/>
      <c r="AL2" s="140"/>
    </row>
    <row r="3" spans="2:38" ht="14.25" customHeight="1" outlineLevel="1" x14ac:dyDescent="0.45">
      <c r="B3" s="27"/>
      <c r="C3" s="106" t="s">
        <v>119</v>
      </c>
      <c r="D3" s="105" t="s">
        <v>109</v>
      </c>
      <c r="E3" s="282"/>
      <c r="F3" s="19" t="s">
        <v>21</v>
      </c>
      <c r="G3" s="30">
        <v>0.03</v>
      </c>
      <c r="H3" s="30"/>
      <c r="I3" s="19" t="s">
        <v>22</v>
      </c>
      <c r="J3" s="19">
        <f>SUBTOTAL(9,T9:T50008)</f>
        <v>4036011.1219999995</v>
      </c>
      <c r="L3" s="19" t="s">
        <v>23</v>
      </c>
      <c r="M3" s="21">
        <v>0.4</v>
      </c>
      <c r="N3" s="19" t="s">
        <v>24</v>
      </c>
      <c r="O3" s="22">
        <f>COUNTIF(E9:E5008, "Não")</f>
        <v>0</v>
      </c>
      <c r="P3" s="19" t="s">
        <v>25</v>
      </c>
      <c r="Q3" s="23">
        <f>SUBTOTAL(9,R9:R54)</f>
        <v>27299.922000000006</v>
      </c>
      <c r="R3" s="31"/>
      <c r="S3" s="31"/>
      <c r="T3" s="32"/>
      <c r="U3" s="32"/>
      <c r="V3" s="33"/>
      <c r="W3" s="186" t="s">
        <v>207</v>
      </c>
      <c r="X3" s="32"/>
      <c r="Y3" s="32"/>
      <c r="Z3" s="34"/>
      <c r="AA3" s="176"/>
      <c r="AB3" s="176"/>
      <c r="AC3" s="176"/>
      <c r="AD3" s="34"/>
      <c r="AE3" s="176"/>
      <c r="AF3" s="32"/>
      <c r="AG3" s="34"/>
      <c r="AH3" s="34"/>
      <c r="AI3" s="33"/>
      <c r="AJ3" s="32"/>
      <c r="AK3" s="35"/>
    </row>
    <row r="4" spans="2:38" ht="14.25" customHeight="1" outlineLevel="1" x14ac:dyDescent="0.45">
      <c r="B4" s="27"/>
      <c r="C4" s="107" t="s">
        <v>120</v>
      </c>
      <c r="D4" s="105" t="s">
        <v>74</v>
      </c>
      <c r="E4" s="282"/>
      <c r="F4" s="19" t="s">
        <v>26</v>
      </c>
      <c r="G4" s="30">
        <v>0.23</v>
      </c>
      <c r="H4" s="30"/>
      <c r="I4" s="19" t="s">
        <v>27</v>
      </c>
      <c r="J4" s="19">
        <f>SUBTOTAL(9,K9:K5008)+Q3</f>
        <v>3017928.4800600009</v>
      </c>
      <c r="L4" s="19" t="s">
        <v>28</v>
      </c>
      <c r="M4" s="21">
        <v>0.09</v>
      </c>
      <c r="N4" s="19" t="s">
        <v>29</v>
      </c>
      <c r="O4" s="37">
        <v>0</v>
      </c>
      <c r="P4" s="23" t="s">
        <v>95</v>
      </c>
      <c r="Q4" s="94">
        <f>SUBTOTAL(9,D9:D5008)</f>
        <v>26576</v>
      </c>
      <c r="R4" s="95"/>
      <c r="S4" s="39"/>
      <c r="T4" s="32"/>
      <c r="U4" s="32"/>
      <c r="V4" s="40"/>
      <c r="W4" s="187" t="s">
        <v>206</v>
      </c>
      <c r="X4" s="32"/>
      <c r="Y4" s="32"/>
      <c r="Z4" s="40"/>
      <c r="AA4" s="177"/>
      <c r="AB4" s="177"/>
      <c r="AC4" s="177"/>
      <c r="AD4" s="40"/>
      <c r="AE4" s="177"/>
      <c r="AF4" s="32"/>
      <c r="AG4" s="40"/>
      <c r="AH4" s="40"/>
      <c r="AI4" s="33"/>
      <c r="AJ4" s="32"/>
      <c r="AK4" s="35"/>
    </row>
    <row r="5" spans="2:38" ht="14.25" customHeight="1" outlineLevel="1" x14ac:dyDescent="0.25">
      <c r="B5" s="41"/>
      <c r="C5" s="107" t="s">
        <v>121</v>
      </c>
      <c r="D5" s="108">
        <v>0</v>
      </c>
      <c r="E5" s="282"/>
      <c r="F5" s="19"/>
      <c r="G5" s="30">
        <v>0.9</v>
      </c>
      <c r="H5" s="30"/>
      <c r="I5" s="19" t="s">
        <v>30</v>
      </c>
      <c r="J5" s="19">
        <f>J3-J4</f>
        <v>1018082.6419399986</v>
      </c>
      <c r="L5" s="19" t="s">
        <v>31</v>
      </c>
      <c r="M5" s="42">
        <v>25</v>
      </c>
      <c r="N5" s="19" t="s">
        <v>32</v>
      </c>
      <c r="O5" s="19">
        <f>L12</f>
        <v>84.943181818181813</v>
      </c>
      <c r="P5" s="96" t="s">
        <v>96</v>
      </c>
      <c r="Q5" s="23">
        <f>J3/Q4</f>
        <v>151.86676407284767</v>
      </c>
      <c r="R5" s="97"/>
      <c r="S5" s="32"/>
      <c r="T5" s="32"/>
      <c r="U5" s="32"/>
      <c r="V5" s="40"/>
      <c r="W5" s="188" t="s">
        <v>208</v>
      </c>
      <c r="X5" s="32"/>
      <c r="Y5" s="32"/>
      <c r="Z5" s="40"/>
      <c r="AA5" s="177"/>
      <c r="AB5" s="177"/>
      <c r="AC5" s="177"/>
      <c r="AD5" s="40"/>
      <c r="AE5" s="177"/>
      <c r="AF5" s="32"/>
      <c r="AG5" s="40"/>
      <c r="AH5" s="40"/>
      <c r="AI5" s="33"/>
      <c r="AJ5" s="32"/>
      <c r="AK5" s="35"/>
    </row>
    <row r="6" spans="2:38" ht="14.25" customHeight="1" outlineLevel="1" x14ac:dyDescent="0.25">
      <c r="B6" s="43"/>
      <c r="C6" s="44"/>
      <c r="D6" s="101"/>
      <c r="E6" s="264"/>
      <c r="F6" s="19" t="s">
        <v>33</v>
      </c>
      <c r="G6" s="37">
        <v>0</v>
      </c>
      <c r="H6" s="37"/>
      <c r="I6" s="19" t="s">
        <v>34</v>
      </c>
      <c r="J6" s="37">
        <f>J5/J3</f>
        <v>0.25224971169938187</v>
      </c>
      <c r="L6" s="19" t="s">
        <v>35</v>
      </c>
      <c r="M6" s="19">
        <f>SUM(T9:T5008)/SUM(D9:D5008)</f>
        <v>151.86676407284767</v>
      </c>
      <c r="N6" s="19" t="s">
        <v>36</v>
      </c>
      <c r="O6" s="19">
        <f>SUMIF(E9:E5008,"Não",Q9:Q5008)</f>
        <v>0</v>
      </c>
      <c r="P6" s="98"/>
      <c r="Q6" s="98"/>
      <c r="R6" s="46"/>
      <c r="S6" s="46"/>
      <c r="T6" s="46"/>
      <c r="U6" s="46"/>
      <c r="V6" s="47"/>
      <c r="W6" s="190" t="s">
        <v>210</v>
      </c>
      <c r="X6" s="46"/>
      <c r="Y6" s="46"/>
      <c r="Z6" s="47"/>
      <c r="AA6" s="178"/>
      <c r="AB6" s="178"/>
      <c r="AC6" s="178"/>
      <c r="AD6" s="47"/>
      <c r="AE6" s="178"/>
      <c r="AF6" s="46"/>
      <c r="AG6" s="47"/>
      <c r="AH6" s="47"/>
      <c r="AI6" s="48"/>
      <c r="AJ6" s="46"/>
      <c r="AK6" s="49"/>
    </row>
    <row r="7" spans="2:38" ht="14.25" customHeight="1" x14ac:dyDescent="0.25">
      <c r="B7" s="147" t="s">
        <v>37</v>
      </c>
      <c r="C7" s="283" t="s">
        <v>38</v>
      </c>
      <c r="D7" s="284"/>
      <c r="E7" s="281"/>
      <c r="F7" s="280" t="s">
        <v>39</v>
      </c>
      <c r="G7" s="284"/>
      <c r="H7" s="284"/>
      <c r="I7" s="284"/>
      <c r="J7" s="284"/>
      <c r="K7" s="281"/>
      <c r="L7" s="148"/>
      <c r="M7" s="285" t="s">
        <v>40</v>
      </c>
      <c r="N7" s="284"/>
      <c r="O7" s="284"/>
      <c r="P7" s="284"/>
      <c r="Q7" s="284"/>
      <c r="R7" s="284"/>
      <c r="S7" s="284"/>
      <c r="T7" s="281"/>
      <c r="U7" s="148"/>
      <c r="V7" s="286" t="s">
        <v>41</v>
      </c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1"/>
      <c r="AI7" s="149" t="s">
        <v>42</v>
      </c>
      <c r="AJ7" s="280" t="s">
        <v>43</v>
      </c>
      <c r="AK7" s="281"/>
    </row>
    <row r="8" spans="2:38" ht="14.25" customHeight="1" x14ac:dyDescent="0.25">
      <c r="B8" s="173" t="s">
        <v>44</v>
      </c>
      <c r="C8" s="172" t="s">
        <v>45</v>
      </c>
      <c r="D8" s="156" t="s">
        <v>46</v>
      </c>
      <c r="E8" s="157" t="s">
        <v>47</v>
      </c>
      <c r="F8" s="169" t="s">
        <v>48</v>
      </c>
      <c r="G8" s="169" t="s">
        <v>49</v>
      </c>
      <c r="H8" s="169" t="s">
        <v>346</v>
      </c>
      <c r="I8" s="158" t="s">
        <v>50</v>
      </c>
      <c r="J8" s="158" t="s">
        <v>51</v>
      </c>
      <c r="K8" s="158" t="s">
        <v>52</v>
      </c>
      <c r="L8" s="159" t="s">
        <v>92</v>
      </c>
      <c r="M8" s="159" t="s">
        <v>53</v>
      </c>
      <c r="N8" s="160" t="s">
        <v>54</v>
      </c>
      <c r="O8" s="160" t="s">
        <v>55</v>
      </c>
      <c r="P8" s="159" t="s">
        <v>93</v>
      </c>
      <c r="Q8" s="159" t="s">
        <v>57</v>
      </c>
      <c r="R8" s="159" t="s">
        <v>58</v>
      </c>
      <c r="S8" s="161" t="s">
        <v>94</v>
      </c>
      <c r="T8" s="159" t="s">
        <v>59</v>
      </c>
      <c r="U8" s="159" t="s">
        <v>60</v>
      </c>
      <c r="V8" s="183" t="s">
        <v>18</v>
      </c>
      <c r="W8" s="179" t="s">
        <v>61</v>
      </c>
      <c r="X8" s="184" t="s">
        <v>62</v>
      </c>
      <c r="Y8" s="183" t="s">
        <v>63</v>
      </c>
      <c r="Z8" s="183" t="s">
        <v>64</v>
      </c>
      <c r="AA8" s="179" t="s">
        <v>204</v>
      </c>
      <c r="AB8" s="179" t="s">
        <v>203</v>
      </c>
      <c r="AC8" s="179" t="s">
        <v>205</v>
      </c>
      <c r="AD8" s="181" t="s">
        <v>65</v>
      </c>
      <c r="AE8" s="179" t="s">
        <v>202</v>
      </c>
      <c r="AF8" s="185" t="s">
        <v>28</v>
      </c>
      <c r="AG8" s="159" t="s">
        <v>67</v>
      </c>
      <c r="AH8" s="159" t="s">
        <v>68</v>
      </c>
      <c r="AI8" s="159" t="s">
        <v>69</v>
      </c>
      <c r="AJ8" s="159" t="s">
        <v>70</v>
      </c>
      <c r="AK8" s="159" t="s">
        <v>71</v>
      </c>
      <c r="AL8" s="159" t="s">
        <v>211</v>
      </c>
    </row>
    <row r="9" spans="2:38" ht="14.25" customHeight="1" x14ac:dyDescent="0.25">
      <c r="B9" s="174" t="s">
        <v>244</v>
      </c>
      <c r="C9" s="171" t="s">
        <v>73</v>
      </c>
      <c r="D9" s="103">
        <v>176</v>
      </c>
      <c r="E9" s="104" t="s">
        <v>76</v>
      </c>
      <c r="F9" s="92">
        <v>0</v>
      </c>
      <c r="G9" s="219">
        <f>IF(F9&gt;0,F9,
IF(B9&lt;&gt;"",
IF(C9="CLT",VLOOKUP(B9,'Lista Profissionais'!$C$11:$H$348,3,0),
VLOOKUP(B9,'Lista Profissionais'!$C$11:$H$348,6,0)), 0))</f>
        <v>17550</v>
      </c>
      <c r="H9" s="219">
        <f>IF(B9&lt;&gt;"",
IF(C9="CLT",
       22*$M$5 + (G9*'Lista Profissionais'!$G$9),0),0)</f>
        <v>0</v>
      </c>
      <c r="I9" s="66">
        <f t="shared" ref="I9:I72" si="0">(G9/$G$2)*D9</f>
        <v>17550</v>
      </c>
      <c r="J9" s="66">
        <f t="shared" ref="J9:J72" si="1">I9+AH9</f>
        <v>17550</v>
      </c>
      <c r="K9" s="66">
        <f t="shared" ref="K9:K72" si="2">J9+S9+AI9</f>
        <v>25449.430500000002</v>
      </c>
      <c r="L9" s="93">
        <f>IF(D9&gt;0,J9/D9,0)</f>
        <v>99.715909090909093</v>
      </c>
      <c r="M9" s="151"/>
      <c r="N9" s="152">
        <v>0</v>
      </c>
      <c r="O9" s="69">
        <f t="shared" ref="O9:O72" si="3">J9*$G$6</f>
        <v>0</v>
      </c>
      <c r="P9" s="69">
        <f t="shared" ref="P9:P72" si="4">IF(M9&gt;0,M9,  J9*(1+$G$5))</f>
        <v>33345</v>
      </c>
      <c r="Q9" s="70">
        <f t="shared" ref="Q9:Q72" si="5">(P9+O9)</f>
        <v>33345</v>
      </c>
      <c r="R9" s="153">
        <f>IF(E9="Sim", Q9*$G$3,0)</f>
        <v>1000.3499999999999</v>
      </c>
      <c r="S9" s="70">
        <v>0</v>
      </c>
      <c r="T9" s="165">
        <f t="shared" ref="T9:T72" si="6">IF($D$4="Sim",(IF(E9="Não",0,(Q9+(Q9*$O$4)+R9+S9)*$D$5)+Q9),
IF(E9="Não",0,Q9+(Q9*$O$4)+R9+S9
))</f>
        <v>34345.35</v>
      </c>
      <c r="U9" s="163">
        <f t="shared" ref="U9:U72" si="7">IF(D9&gt;0,T9/D9,0)</f>
        <v>195.14403409090909</v>
      </c>
      <c r="V9" s="164">
        <f>IF(C9="CLT",
       I9*$M$2, 0)</f>
        <v>0</v>
      </c>
      <c r="W9" s="164">
        <f t="shared" ref="W9:W72" si="8">IF(C9="CLT",
       V9*$M$3, 0)</f>
        <v>0</v>
      </c>
      <c r="X9" s="144">
        <f t="shared" ref="X9:X72" si="9">IF(C9="CLT",
       I9/12, 0)</f>
        <v>0</v>
      </c>
      <c r="Y9" s="150">
        <f t="shared" ref="Y9:Y72" si="10">IF(C9="CLT",
       X9/3, 0)</f>
        <v>0</v>
      </c>
      <c r="Z9" s="150">
        <f t="shared" ref="Z9:Z72" si="11">IF(C9="CLT",
       I9/12, 0)</f>
        <v>0</v>
      </c>
      <c r="AA9" s="150">
        <f t="shared" ref="AA9:AA72" si="12">IF(C9="CLT", I9*$S$2,0)</f>
        <v>0</v>
      </c>
      <c r="AB9" s="182">
        <f t="shared" ref="AB9:AB72" si="13">IF(C9="CLT", SUM(X9:Z9) * $M$2,0)</f>
        <v>0</v>
      </c>
      <c r="AC9" s="182">
        <f t="shared" ref="AC9:AC72" si="14">IF(C9="CLT", SUM(X9:Z9)*$S$2,0)</f>
        <v>0</v>
      </c>
      <c r="AD9" s="182">
        <f t="shared" ref="AD9:AD72" si="15">IF(C9="CLT",
       I9/30*3, 0)</f>
        <v>0</v>
      </c>
      <c r="AE9" s="180">
        <f t="shared" ref="AE9:AE72" si="16">IF(C9="CLT",  AD9*$M$2, 0)</f>
        <v>0</v>
      </c>
      <c r="AF9" s="150">
        <f t="shared" ref="AF9:AF72" si="17">IF(C9="CLT",
       I9*$M$4, 0)</f>
        <v>0</v>
      </c>
      <c r="AG9" s="150">
        <f t="shared" ref="AG9:AG72" si="18">IF(B9&lt;&gt;"",
IF(C9="CLT",
       $Q$2, 0),0)</f>
        <v>0</v>
      </c>
      <c r="AH9" s="150">
        <f>SUM(V9:AG9)+H9</f>
        <v>0</v>
      </c>
      <c r="AI9" s="154">
        <f t="shared" ref="AI9:AI72" si="19">IF(E9="Sim", T9*$G$4, 0)</f>
        <v>7899.4305000000004</v>
      </c>
      <c r="AJ9" s="70">
        <f t="shared" ref="AJ9:AJ72" si="20">T9-AI9-J9-R9</f>
        <v>7895.569499999996</v>
      </c>
      <c r="AK9" s="155">
        <f t="shared" ref="AK9:AK72" si="21">(IF(AJ9&gt;0,AJ9/T9,0))</f>
        <v>0.22988758303525794</v>
      </c>
      <c r="AL9" s="155">
        <f t="shared" ref="AL9:AL72" si="22">(IF(AJ9&gt;0,AJ9/(T9-AI9),0))</f>
        <v>0.29855530264319213</v>
      </c>
    </row>
    <row r="10" spans="2:38" ht="14.25" customHeight="1" x14ac:dyDescent="0.25">
      <c r="B10" s="174" t="s">
        <v>218</v>
      </c>
      <c r="C10" s="171" t="s">
        <v>73</v>
      </c>
      <c r="D10" s="103">
        <v>176</v>
      </c>
      <c r="E10" s="104" t="s">
        <v>76</v>
      </c>
      <c r="F10" s="92">
        <v>0</v>
      </c>
      <c r="G10" s="219">
        <f>IF(F10&gt;0,F10,
IF(B10&lt;&gt;"",
IF(C10="CLT",VLOOKUP(B10,'Lista Profissionais'!$C$11:$H$348,3,0),
VLOOKUP(B10,'Lista Profissionais'!$C$11:$H$348,6,0)), 0))</f>
        <v>6370</v>
      </c>
      <c r="H10" s="219">
        <f>IF(B10&lt;&gt;"",
IF(C10="CLT",
       22*$M$5 + (G10*'Lista Profissionais'!$G$9),0),0)</f>
        <v>0</v>
      </c>
      <c r="I10" s="66">
        <f t="shared" si="0"/>
        <v>6370</v>
      </c>
      <c r="J10" s="66">
        <f t="shared" si="1"/>
        <v>6370</v>
      </c>
      <c r="K10" s="66">
        <f t="shared" si="2"/>
        <v>9237.2007000000012</v>
      </c>
      <c r="L10" s="93">
        <f t="shared" ref="L10:L73" si="23">IF(D10&gt;0,J10/D10,0)</f>
        <v>36.19318181818182</v>
      </c>
      <c r="M10" s="151"/>
      <c r="N10" s="152">
        <v>0</v>
      </c>
      <c r="O10" s="69">
        <f t="shared" si="3"/>
        <v>0</v>
      </c>
      <c r="P10" s="69">
        <f t="shared" si="4"/>
        <v>12103</v>
      </c>
      <c r="Q10" s="70">
        <f t="shared" si="5"/>
        <v>12103</v>
      </c>
      <c r="R10" s="153">
        <f t="shared" ref="R10:R73" si="24">IF(E10="Sim", Q10*$G$3,0)</f>
        <v>363.09</v>
      </c>
      <c r="S10" s="70">
        <v>0</v>
      </c>
      <c r="T10" s="165">
        <f t="shared" si="6"/>
        <v>12466.09</v>
      </c>
      <c r="U10" s="163">
        <f t="shared" si="7"/>
        <v>70.830056818181816</v>
      </c>
      <c r="V10" s="164">
        <f t="shared" ref="V10:V73" si="25">IF(C10="CLT",
       I10*$M$2, 0)</f>
        <v>0</v>
      </c>
      <c r="W10" s="164">
        <f t="shared" si="8"/>
        <v>0</v>
      </c>
      <c r="X10" s="144">
        <f t="shared" si="9"/>
        <v>0</v>
      </c>
      <c r="Y10" s="150">
        <f t="shared" si="10"/>
        <v>0</v>
      </c>
      <c r="Z10" s="150">
        <f t="shared" si="11"/>
        <v>0</v>
      </c>
      <c r="AA10" s="150">
        <f t="shared" si="12"/>
        <v>0</v>
      </c>
      <c r="AB10" s="182">
        <f t="shared" si="13"/>
        <v>0</v>
      </c>
      <c r="AC10" s="182">
        <f t="shared" si="14"/>
        <v>0</v>
      </c>
      <c r="AD10" s="182">
        <f t="shared" si="15"/>
        <v>0</v>
      </c>
      <c r="AE10" s="180">
        <f t="shared" si="16"/>
        <v>0</v>
      </c>
      <c r="AF10" s="150">
        <f t="shared" si="17"/>
        <v>0</v>
      </c>
      <c r="AG10" s="150">
        <f t="shared" si="18"/>
        <v>0</v>
      </c>
      <c r="AH10" s="150">
        <f t="shared" ref="AH10:AH81" si="26">SUM(V10:AG10)+H10</f>
        <v>0</v>
      </c>
      <c r="AI10" s="154">
        <f t="shared" si="19"/>
        <v>2867.2007000000003</v>
      </c>
      <c r="AJ10" s="70">
        <f t="shared" si="20"/>
        <v>2865.7992999999988</v>
      </c>
      <c r="AK10" s="155">
        <f t="shared" si="21"/>
        <v>0.22988758303525794</v>
      </c>
      <c r="AL10" s="155">
        <f t="shared" si="22"/>
        <v>0.29855530264319219</v>
      </c>
    </row>
    <row r="11" spans="2:38" ht="14.25" customHeight="1" x14ac:dyDescent="0.25">
      <c r="B11" s="174" t="s">
        <v>245</v>
      </c>
      <c r="C11" s="171" t="s">
        <v>73</v>
      </c>
      <c r="D11" s="103">
        <v>176</v>
      </c>
      <c r="E11" s="104" t="s">
        <v>76</v>
      </c>
      <c r="F11" s="92">
        <v>0</v>
      </c>
      <c r="G11" s="219">
        <f>IF(F11&gt;0,F11,
IF(B11&lt;&gt;"",
IF(C11="CLT",VLOOKUP(B11,'Lista Profissionais'!$C$11:$H$348,3,0),
VLOOKUP(B11,'Lista Profissionais'!$C$11:$H$348,6,0)), 0))</f>
        <v>10270</v>
      </c>
      <c r="H11" s="219">
        <f>IF(B11&lt;&gt;"",
IF(C11="CLT",
       22*$M$5 + (G11*'Lista Profissionais'!$G$9),0),0)</f>
        <v>0</v>
      </c>
      <c r="I11" s="66">
        <f t="shared" si="0"/>
        <v>10270</v>
      </c>
      <c r="J11" s="66">
        <f t="shared" si="1"/>
        <v>10270</v>
      </c>
      <c r="K11" s="66">
        <f t="shared" si="2"/>
        <v>14892.629700000001</v>
      </c>
      <c r="L11" s="93">
        <f t="shared" si="23"/>
        <v>58.352272727272727</v>
      </c>
      <c r="M11" s="151"/>
      <c r="N11" s="152">
        <v>0</v>
      </c>
      <c r="O11" s="69">
        <f t="shared" si="3"/>
        <v>0</v>
      </c>
      <c r="P11" s="69">
        <f t="shared" si="4"/>
        <v>19513</v>
      </c>
      <c r="Q11" s="70">
        <f t="shared" si="5"/>
        <v>19513</v>
      </c>
      <c r="R11" s="153">
        <f t="shared" si="24"/>
        <v>585.39</v>
      </c>
      <c r="S11" s="70">
        <v>0</v>
      </c>
      <c r="T11" s="165">
        <f t="shared" si="6"/>
        <v>20098.39</v>
      </c>
      <c r="U11" s="163">
        <f t="shared" si="7"/>
        <v>114.19539772727272</v>
      </c>
      <c r="V11" s="164">
        <f t="shared" si="25"/>
        <v>0</v>
      </c>
      <c r="W11" s="164">
        <f t="shared" si="8"/>
        <v>0</v>
      </c>
      <c r="X11" s="144">
        <f t="shared" si="9"/>
        <v>0</v>
      </c>
      <c r="Y11" s="150">
        <f t="shared" si="10"/>
        <v>0</v>
      </c>
      <c r="Z11" s="150">
        <f t="shared" si="11"/>
        <v>0</v>
      </c>
      <c r="AA11" s="150">
        <f t="shared" si="12"/>
        <v>0</v>
      </c>
      <c r="AB11" s="182">
        <f t="shared" si="13"/>
        <v>0</v>
      </c>
      <c r="AC11" s="182">
        <f t="shared" si="14"/>
        <v>0</v>
      </c>
      <c r="AD11" s="182">
        <f t="shared" si="15"/>
        <v>0</v>
      </c>
      <c r="AE11" s="180">
        <f t="shared" si="16"/>
        <v>0</v>
      </c>
      <c r="AF11" s="150">
        <f t="shared" si="17"/>
        <v>0</v>
      </c>
      <c r="AG11" s="150">
        <f t="shared" si="18"/>
        <v>0</v>
      </c>
      <c r="AH11" s="150">
        <f t="shared" si="26"/>
        <v>0</v>
      </c>
      <c r="AI11" s="154">
        <f t="shared" si="19"/>
        <v>4622.6297000000004</v>
      </c>
      <c r="AJ11" s="70">
        <f t="shared" si="20"/>
        <v>4620.3702999999978</v>
      </c>
      <c r="AK11" s="155">
        <f t="shared" si="21"/>
        <v>0.22988758303525794</v>
      </c>
      <c r="AL11" s="155">
        <f t="shared" si="22"/>
        <v>0.29855530264319219</v>
      </c>
    </row>
    <row r="12" spans="2:38" ht="14.25" customHeight="1" x14ac:dyDescent="0.25">
      <c r="B12" s="174" t="s">
        <v>246</v>
      </c>
      <c r="C12" s="171" t="s">
        <v>73</v>
      </c>
      <c r="D12" s="103">
        <v>176</v>
      </c>
      <c r="E12" s="104" t="s">
        <v>76</v>
      </c>
      <c r="F12" s="92">
        <v>0</v>
      </c>
      <c r="G12" s="219">
        <f>IF(F12&gt;0,F12,
IF(B12&lt;&gt;"",
IF(C12="CLT",VLOOKUP(B12,'Lista Profissionais'!$C$11:$H$348,3,0),
VLOOKUP(B12,'Lista Profissionais'!$C$11:$H$348,6,0)), 0))</f>
        <v>14950</v>
      </c>
      <c r="H12" s="219">
        <f>IF(B12&lt;&gt;"",
IF(C12="CLT",
       22*$M$5 + (G12*'Lista Profissionais'!$G$9),0),0)</f>
        <v>0</v>
      </c>
      <c r="I12" s="66">
        <f t="shared" si="0"/>
        <v>14950</v>
      </c>
      <c r="J12" s="66">
        <f t="shared" si="1"/>
        <v>14950</v>
      </c>
      <c r="K12" s="66">
        <f t="shared" si="2"/>
        <v>21679.144500000002</v>
      </c>
      <c r="L12" s="93">
        <f t="shared" si="23"/>
        <v>84.943181818181813</v>
      </c>
      <c r="M12" s="151"/>
      <c r="N12" s="152">
        <v>0</v>
      </c>
      <c r="O12" s="69">
        <f t="shared" si="3"/>
        <v>0</v>
      </c>
      <c r="P12" s="69">
        <f t="shared" si="4"/>
        <v>28405</v>
      </c>
      <c r="Q12" s="70">
        <f t="shared" si="5"/>
        <v>28405</v>
      </c>
      <c r="R12" s="153">
        <f t="shared" si="24"/>
        <v>852.15</v>
      </c>
      <c r="S12" s="70">
        <v>0</v>
      </c>
      <c r="T12" s="165">
        <f t="shared" si="6"/>
        <v>29257.15</v>
      </c>
      <c r="U12" s="163">
        <f>IF(D12&gt;0,T12/D12,0)</f>
        <v>166.23380681818182</v>
      </c>
      <c r="V12" s="164">
        <f t="shared" si="25"/>
        <v>0</v>
      </c>
      <c r="W12" s="164">
        <f t="shared" si="8"/>
        <v>0</v>
      </c>
      <c r="X12" s="144">
        <f t="shared" si="9"/>
        <v>0</v>
      </c>
      <c r="Y12" s="150">
        <f t="shared" si="10"/>
        <v>0</v>
      </c>
      <c r="Z12" s="150">
        <f t="shared" si="11"/>
        <v>0</v>
      </c>
      <c r="AA12" s="150">
        <f t="shared" si="12"/>
        <v>0</v>
      </c>
      <c r="AB12" s="182">
        <f t="shared" si="13"/>
        <v>0</v>
      </c>
      <c r="AC12" s="182">
        <f t="shared" si="14"/>
        <v>0</v>
      </c>
      <c r="AD12" s="182">
        <f t="shared" si="15"/>
        <v>0</v>
      </c>
      <c r="AE12" s="180">
        <f t="shared" si="16"/>
        <v>0</v>
      </c>
      <c r="AF12" s="150">
        <f t="shared" si="17"/>
        <v>0</v>
      </c>
      <c r="AG12" s="150">
        <f t="shared" si="18"/>
        <v>0</v>
      </c>
      <c r="AH12" s="150">
        <f t="shared" si="26"/>
        <v>0</v>
      </c>
      <c r="AI12" s="154">
        <f t="shared" si="19"/>
        <v>6729.1445000000003</v>
      </c>
      <c r="AJ12" s="70">
        <f t="shared" si="20"/>
        <v>6725.8554999999997</v>
      </c>
      <c r="AK12" s="155">
        <f t="shared" si="21"/>
        <v>0.22988758303525803</v>
      </c>
      <c r="AL12" s="155">
        <f t="shared" si="22"/>
        <v>0.29855530264319224</v>
      </c>
    </row>
    <row r="13" spans="2:38" ht="14.25" customHeight="1" x14ac:dyDescent="0.25">
      <c r="B13" s="174" t="s">
        <v>247</v>
      </c>
      <c r="C13" s="171" t="s">
        <v>73</v>
      </c>
      <c r="D13" s="103">
        <v>176</v>
      </c>
      <c r="E13" s="104" t="s">
        <v>76</v>
      </c>
      <c r="F13" s="92">
        <v>0</v>
      </c>
      <c r="G13" s="219">
        <f>IF(F13&gt;0,F13,
IF(B13&lt;&gt;"",
IF(C13="CLT",VLOOKUP(B13,'Lista Profissionais'!$C$11:$H$348,3,0),
VLOOKUP(B13,'Lista Profissionais'!$C$11:$H$348,6,0)), 0))</f>
        <v>14300</v>
      </c>
      <c r="H13" s="219">
        <f>IF(B13&lt;&gt;"",
IF(C13="CLT",
       22*$M$5 + (G13*'Lista Profissionais'!$G$9),0),0)</f>
        <v>0</v>
      </c>
      <c r="I13" s="66">
        <f t="shared" si="0"/>
        <v>14300</v>
      </c>
      <c r="J13" s="66">
        <f t="shared" si="1"/>
        <v>14300</v>
      </c>
      <c r="K13" s="66">
        <f t="shared" si="2"/>
        <v>20736.573</v>
      </c>
      <c r="L13" s="93">
        <f t="shared" si="23"/>
        <v>81.25</v>
      </c>
      <c r="M13" s="151"/>
      <c r="N13" s="152">
        <v>0</v>
      </c>
      <c r="O13" s="69">
        <f t="shared" si="3"/>
        <v>0</v>
      </c>
      <c r="P13" s="69">
        <f t="shared" si="4"/>
        <v>27170</v>
      </c>
      <c r="Q13" s="70">
        <f t="shared" si="5"/>
        <v>27170</v>
      </c>
      <c r="R13" s="153">
        <f t="shared" si="24"/>
        <v>815.1</v>
      </c>
      <c r="S13" s="70">
        <v>0</v>
      </c>
      <c r="T13" s="165">
        <f t="shared" si="6"/>
        <v>27985.1</v>
      </c>
      <c r="U13" s="163">
        <f t="shared" si="7"/>
        <v>159.00624999999999</v>
      </c>
      <c r="V13" s="164">
        <f t="shared" si="25"/>
        <v>0</v>
      </c>
      <c r="W13" s="164">
        <f t="shared" si="8"/>
        <v>0</v>
      </c>
      <c r="X13" s="144">
        <f t="shared" si="9"/>
        <v>0</v>
      </c>
      <c r="Y13" s="150">
        <f t="shared" si="10"/>
        <v>0</v>
      </c>
      <c r="Z13" s="150">
        <f t="shared" si="11"/>
        <v>0</v>
      </c>
      <c r="AA13" s="150">
        <f t="shared" si="12"/>
        <v>0</v>
      </c>
      <c r="AB13" s="182">
        <f t="shared" si="13"/>
        <v>0</v>
      </c>
      <c r="AC13" s="182">
        <f t="shared" si="14"/>
        <v>0</v>
      </c>
      <c r="AD13" s="182">
        <f t="shared" si="15"/>
        <v>0</v>
      </c>
      <c r="AE13" s="180">
        <f t="shared" si="16"/>
        <v>0</v>
      </c>
      <c r="AF13" s="150">
        <f t="shared" si="17"/>
        <v>0</v>
      </c>
      <c r="AG13" s="150">
        <f t="shared" si="18"/>
        <v>0</v>
      </c>
      <c r="AH13" s="150">
        <f t="shared" si="26"/>
        <v>0</v>
      </c>
      <c r="AI13" s="154">
        <f t="shared" si="19"/>
        <v>6436.5730000000003</v>
      </c>
      <c r="AJ13" s="70">
        <f t="shared" si="20"/>
        <v>6433.4269999999979</v>
      </c>
      <c r="AK13" s="155">
        <f t="shared" si="21"/>
        <v>0.22988758303525797</v>
      </c>
      <c r="AL13" s="155">
        <f t="shared" si="22"/>
        <v>0.29855530264319219</v>
      </c>
    </row>
    <row r="14" spans="2:38" ht="14.25" customHeight="1" x14ac:dyDescent="0.25">
      <c r="B14" s="174" t="s">
        <v>248</v>
      </c>
      <c r="C14" s="171" t="s">
        <v>73</v>
      </c>
      <c r="D14" s="103">
        <v>176</v>
      </c>
      <c r="E14" s="104" t="s">
        <v>76</v>
      </c>
      <c r="F14" s="92">
        <v>0</v>
      </c>
      <c r="G14" s="219">
        <f>IF(F14&gt;0,F14,
IF(B14&lt;&gt;"",
IF(C14="CLT",VLOOKUP(B14,'Lista Profissionais'!$C$11:$H$348,3,0),
VLOOKUP(B14,'Lista Profissionais'!$C$11:$H$348,6,0)), 0))</f>
        <v>5460</v>
      </c>
      <c r="H14" s="219">
        <f>IF(B14&lt;&gt;"",
IF(C14="CLT",
       22*$M$5 + (G14*'Lista Profissionais'!$G$9),0),0)</f>
        <v>0</v>
      </c>
      <c r="I14" s="66">
        <f t="shared" si="0"/>
        <v>5460</v>
      </c>
      <c r="J14" s="66">
        <f t="shared" si="1"/>
        <v>5460</v>
      </c>
      <c r="K14" s="66">
        <f t="shared" si="2"/>
        <v>7917.6005999999998</v>
      </c>
      <c r="L14" s="93">
        <f t="shared" si="23"/>
        <v>31.022727272727273</v>
      </c>
      <c r="M14" s="151"/>
      <c r="N14" s="152">
        <v>0</v>
      </c>
      <c r="O14" s="69">
        <f t="shared" si="3"/>
        <v>0</v>
      </c>
      <c r="P14" s="69">
        <f t="shared" si="4"/>
        <v>10374</v>
      </c>
      <c r="Q14" s="70">
        <f t="shared" si="5"/>
        <v>10374</v>
      </c>
      <c r="R14" s="153">
        <f t="shared" si="24"/>
        <v>311.21999999999997</v>
      </c>
      <c r="S14" s="70">
        <v>0</v>
      </c>
      <c r="T14" s="165">
        <f t="shared" si="6"/>
        <v>10685.22</v>
      </c>
      <c r="U14" s="163">
        <f t="shared" si="7"/>
        <v>60.711477272727272</v>
      </c>
      <c r="V14" s="164">
        <f t="shared" si="25"/>
        <v>0</v>
      </c>
      <c r="W14" s="164">
        <f t="shared" si="8"/>
        <v>0</v>
      </c>
      <c r="X14" s="144">
        <f t="shared" si="9"/>
        <v>0</v>
      </c>
      <c r="Y14" s="150">
        <f t="shared" si="10"/>
        <v>0</v>
      </c>
      <c r="Z14" s="150">
        <f t="shared" si="11"/>
        <v>0</v>
      </c>
      <c r="AA14" s="150">
        <f t="shared" si="12"/>
        <v>0</v>
      </c>
      <c r="AB14" s="182">
        <f t="shared" si="13"/>
        <v>0</v>
      </c>
      <c r="AC14" s="182">
        <f t="shared" si="14"/>
        <v>0</v>
      </c>
      <c r="AD14" s="182">
        <f t="shared" si="15"/>
        <v>0</v>
      </c>
      <c r="AE14" s="180">
        <f t="shared" si="16"/>
        <v>0</v>
      </c>
      <c r="AF14" s="150">
        <f t="shared" si="17"/>
        <v>0</v>
      </c>
      <c r="AG14" s="150">
        <f t="shared" si="18"/>
        <v>0</v>
      </c>
      <c r="AH14" s="150">
        <f t="shared" si="26"/>
        <v>0</v>
      </c>
      <c r="AI14" s="154">
        <f t="shared" si="19"/>
        <v>2457.6005999999998</v>
      </c>
      <c r="AJ14" s="70">
        <f t="shared" si="20"/>
        <v>2456.3993999999998</v>
      </c>
      <c r="AK14" s="155">
        <f t="shared" si="21"/>
        <v>0.22988758303525805</v>
      </c>
      <c r="AL14" s="155">
        <f t="shared" si="22"/>
        <v>0.29855530264319224</v>
      </c>
    </row>
    <row r="15" spans="2:38" ht="14.25" customHeight="1" x14ac:dyDescent="0.25">
      <c r="B15" s="174" t="s">
        <v>249</v>
      </c>
      <c r="C15" s="171" t="s">
        <v>73</v>
      </c>
      <c r="D15" s="103">
        <v>176</v>
      </c>
      <c r="E15" s="104" t="s">
        <v>76</v>
      </c>
      <c r="F15" s="92">
        <v>0</v>
      </c>
      <c r="G15" s="219">
        <f>IF(F15&gt;0,F15,
IF(B15&lt;&gt;"",
IF(C15="CLT",VLOOKUP(B15,'Lista Profissionais'!$C$11:$H$348,3,0),
VLOOKUP(B15,'Lista Profissionais'!$C$11:$H$348,6,0)), 0))</f>
        <v>9750</v>
      </c>
      <c r="H15" s="219">
        <f>IF(B15&lt;&gt;"",
IF(C15="CLT",
       22*$M$5 + (G15*'Lista Profissionais'!$G$9),0),0)</f>
        <v>0</v>
      </c>
      <c r="I15" s="66">
        <f t="shared" si="0"/>
        <v>9750</v>
      </c>
      <c r="J15" s="66">
        <f t="shared" si="1"/>
        <v>9750</v>
      </c>
      <c r="K15" s="66">
        <f t="shared" si="2"/>
        <v>14138.5725</v>
      </c>
      <c r="L15" s="93">
        <f t="shared" si="23"/>
        <v>55.397727272727273</v>
      </c>
      <c r="M15" s="151"/>
      <c r="N15" s="152">
        <v>0</v>
      </c>
      <c r="O15" s="69">
        <f t="shared" si="3"/>
        <v>0</v>
      </c>
      <c r="P15" s="69">
        <f t="shared" si="4"/>
        <v>18525</v>
      </c>
      <c r="Q15" s="70">
        <f t="shared" si="5"/>
        <v>18525</v>
      </c>
      <c r="R15" s="153">
        <f t="shared" si="24"/>
        <v>555.75</v>
      </c>
      <c r="S15" s="70">
        <v>0</v>
      </c>
      <c r="T15" s="165">
        <f t="shared" si="6"/>
        <v>19080.75</v>
      </c>
      <c r="U15" s="163">
        <f t="shared" si="7"/>
        <v>108.41335227272727</v>
      </c>
      <c r="V15" s="164">
        <f t="shared" si="25"/>
        <v>0</v>
      </c>
      <c r="W15" s="164">
        <f t="shared" si="8"/>
        <v>0</v>
      </c>
      <c r="X15" s="144">
        <f t="shared" si="9"/>
        <v>0</v>
      </c>
      <c r="Y15" s="150">
        <f t="shared" si="10"/>
        <v>0</v>
      </c>
      <c r="Z15" s="150">
        <f t="shared" si="11"/>
        <v>0</v>
      </c>
      <c r="AA15" s="150">
        <f t="shared" si="12"/>
        <v>0</v>
      </c>
      <c r="AB15" s="182">
        <f t="shared" si="13"/>
        <v>0</v>
      </c>
      <c r="AC15" s="182">
        <f t="shared" si="14"/>
        <v>0</v>
      </c>
      <c r="AD15" s="182">
        <f t="shared" si="15"/>
        <v>0</v>
      </c>
      <c r="AE15" s="180">
        <f t="shared" si="16"/>
        <v>0</v>
      </c>
      <c r="AF15" s="150">
        <f t="shared" si="17"/>
        <v>0</v>
      </c>
      <c r="AG15" s="150">
        <f t="shared" si="18"/>
        <v>0</v>
      </c>
      <c r="AH15" s="150">
        <f t="shared" si="26"/>
        <v>0</v>
      </c>
      <c r="AI15" s="154">
        <f t="shared" si="19"/>
        <v>4388.5725000000002</v>
      </c>
      <c r="AJ15" s="70">
        <f t="shared" si="20"/>
        <v>4386.4274999999998</v>
      </c>
      <c r="AK15" s="155">
        <f t="shared" si="21"/>
        <v>0.22988758303525803</v>
      </c>
      <c r="AL15" s="155">
        <f t="shared" si="22"/>
        <v>0.29855530264319224</v>
      </c>
    </row>
    <row r="16" spans="2:38" ht="14.25" customHeight="1" x14ac:dyDescent="0.25">
      <c r="B16" s="174" t="s">
        <v>250</v>
      </c>
      <c r="C16" s="171" t="s">
        <v>73</v>
      </c>
      <c r="D16" s="103">
        <v>176</v>
      </c>
      <c r="E16" s="104" t="s">
        <v>76</v>
      </c>
      <c r="F16" s="92">
        <v>0</v>
      </c>
      <c r="G16" s="219">
        <f>IF(F16&gt;0,F16,
IF(B16&lt;&gt;"",
IF(C16="CLT",VLOOKUP(B16,'Lista Profissionais'!$C$11:$H$348,3,0),
VLOOKUP(B16,'Lista Profissionais'!$C$11:$H$348,6,0)), 0))</f>
        <v>12350</v>
      </c>
      <c r="H16" s="219">
        <f>IF(B16&lt;&gt;"",
IF(C16="CLT",
       22*$M$5 + (G16*'Lista Profissionais'!$G$9),0),0)</f>
        <v>0</v>
      </c>
      <c r="I16" s="66">
        <f t="shared" si="0"/>
        <v>12350</v>
      </c>
      <c r="J16" s="66">
        <f t="shared" si="1"/>
        <v>12350</v>
      </c>
      <c r="K16" s="66">
        <f t="shared" si="2"/>
        <v>17908.858500000002</v>
      </c>
      <c r="L16" s="93">
        <f t="shared" si="23"/>
        <v>70.170454545454547</v>
      </c>
      <c r="M16" s="151"/>
      <c r="N16" s="152">
        <v>0</v>
      </c>
      <c r="O16" s="69">
        <f t="shared" si="3"/>
        <v>0</v>
      </c>
      <c r="P16" s="69">
        <f t="shared" si="4"/>
        <v>23465</v>
      </c>
      <c r="Q16" s="70">
        <f t="shared" si="5"/>
        <v>23465</v>
      </c>
      <c r="R16" s="153">
        <f t="shared" si="24"/>
        <v>703.94999999999993</v>
      </c>
      <c r="S16" s="70">
        <v>0</v>
      </c>
      <c r="T16" s="165">
        <f t="shared" si="6"/>
        <v>24168.95</v>
      </c>
      <c r="U16" s="163">
        <f t="shared" si="7"/>
        <v>137.32357954545455</v>
      </c>
      <c r="V16" s="164">
        <f t="shared" si="25"/>
        <v>0</v>
      </c>
      <c r="W16" s="164">
        <f t="shared" si="8"/>
        <v>0</v>
      </c>
      <c r="X16" s="144">
        <f t="shared" si="9"/>
        <v>0</v>
      </c>
      <c r="Y16" s="150">
        <f t="shared" si="10"/>
        <v>0</v>
      </c>
      <c r="Z16" s="150">
        <f t="shared" si="11"/>
        <v>0</v>
      </c>
      <c r="AA16" s="150">
        <f t="shared" si="12"/>
        <v>0</v>
      </c>
      <c r="AB16" s="182">
        <f t="shared" si="13"/>
        <v>0</v>
      </c>
      <c r="AC16" s="182">
        <f t="shared" si="14"/>
        <v>0</v>
      </c>
      <c r="AD16" s="182">
        <f t="shared" si="15"/>
        <v>0</v>
      </c>
      <c r="AE16" s="180">
        <f t="shared" si="16"/>
        <v>0</v>
      </c>
      <c r="AF16" s="150">
        <f t="shared" si="17"/>
        <v>0</v>
      </c>
      <c r="AG16" s="150">
        <f t="shared" si="18"/>
        <v>0</v>
      </c>
      <c r="AH16" s="150">
        <f t="shared" si="26"/>
        <v>0</v>
      </c>
      <c r="AI16" s="154">
        <f t="shared" si="19"/>
        <v>5558.8585000000003</v>
      </c>
      <c r="AJ16" s="70">
        <f t="shared" si="20"/>
        <v>5556.1415000000025</v>
      </c>
      <c r="AK16" s="155">
        <f t="shared" si="21"/>
        <v>0.22988758303525814</v>
      </c>
      <c r="AL16" s="155">
        <f t="shared" si="22"/>
        <v>0.29855530264319236</v>
      </c>
    </row>
    <row r="17" spans="2:38" ht="14.25" customHeight="1" x14ac:dyDescent="0.25">
      <c r="B17" s="174" t="s">
        <v>251</v>
      </c>
      <c r="C17" s="171" t="s">
        <v>73</v>
      </c>
      <c r="D17" s="103">
        <v>176</v>
      </c>
      <c r="E17" s="104" t="s">
        <v>76</v>
      </c>
      <c r="F17" s="92">
        <v>0</v>
      </c>
      <c r="G17" s="219">
        <f>IF(F17&gt;0,F17,
IF(B17&lt;&gt;"",
IF(C17="CLT",VLOOKUP(B17,'Lista Profissionais'!$C$11:$H$348,3,0),
VLOOKUP(B17,'Lista Profissionais'!$C$11:$H$348,6,0)), 0))</f>
        <v>17550</v>
      </c>
      <c r="H17" s="219">
        <f>IF(B17&lt;&gt;"",
IF(C17="CLT",
       22*$M$5 + (G17*'Lista Profissionais'!$G$9),0),0)</f>
        <v>0</v>
      </c>
      <c r="I17" s="66">
        <f t="shared" si="0"/>
        <v>17550</v>
      </c>
      <c r="J17" s="66">
        <f t="shared" si="1"/>
        <v>17550</v>
      </c>
      <c r="K17" s="66">
        <f t="shared" si="2"/>
        <v>25449.430500000002</v>
      </c>
      <c r="L17" s="93">
        <f t="shared" si="23"/>
        <v>99.715909090909093</v>
      </c>
      <c r="M17" s="151"/>
      <c r="N17" s="152">
        <v>0</v>
      </c>
      <c r="O17" s="69">
        <f t="shared" si="3"/>
        <v>0</v>
      </c>
      <c r="P17" s="69">
        <f t="shared" si="4"/>
        <v>33345</v>
      </c>
      <c r="Q17" s="70">
        <f t="shared" si="5"/>
        <v>33345</v>
      </c>
      <c r="R17" s="153">
        <f t="shared" si="24"/>
        <v>1000.3499999999999</v>
      </c>
      <c r="S17" s="70">
        <v>0</v>
      </c>
      <c r="T17" s="165">
        <f t="shared" si="6"/>
        <v>34345.35</v>
      </c>
      <c r="U17" s="163">
        <f t="shared" si="7"/>
        <v>195.14403409090909</v>
      </c>
      <c r="V17" s="164">
        <f t="shared" si="25"/>
        <v>0</v>
      </c>
      <c r="W17" s="164">
        <f t="shared" si="8"/>
        <v>0</v>
      </c>
      <c r="X17" s="144">
        <f t="shared" si="9"/>
        <v>0</v>
      </c>
      <c r="Y17" s="150">
        <f t="shared" si="10"/>
        <v>0</v>
      </c>
      <c r="Z17" s="150">
        <f t="shared" si="11"/>
        <v>0</v>
      </c>
      <c r="AA17" s="150">
        <f t="shared" si="12"/>
        <v>0</v>
      </c>
      <c r="AB17" s="182">
        <f t="shared" si="13"/>
        <v>0</v>
      </c>
      <c r="AC17" s="182">
        <f t="shared" si="14"/>
        <v>0</v>
      </c>
      <c r="AD17" s="182">
        <f t="shared" si="15"/>
        <v>0</v>
      </c>
      <c r="AE17" s="180">
        <f t="shared" si="16"/>
        <v>0</v>
      </c>
      <c r="AF17" s="150">
        <f t="shared" si="17"/>
        <v>0</v>
      </c>
      <c r="AG17" s="150">
        <f t="shared" si="18"/>
        <v>0</v>
      </c>
      <c r="AH17" s="150">
        <f t="shared" si="26"/>
        <v>0</v>
      </c>
      <c r="AI17" s="154">
        <f t="shared" si="19"/>
        <v>7899.4305000000004</v>
      </c>
      <c r="AJ17" s="70">
        <f t="shared" si="20"/>
        <v>7895.569499999996</v>
      </c>
      <c r="AK17" s="155">
        <f t="shared" si="21"/>
        <v>0.22988758303525794</v>
      </c>
      <c r="AL17" s="155">
        <f t="shared" si="22"/>
        <v>0.29855530264319213</v>
      </c>
    </row>
    <row r="18" spans="2:38" ht="14.25" customHeight="1" x14ac:dyDescent="0.25">
      <c r="B18" s="175" t="s">
        <v>252</v>
      </c>
      <c r="C18" s="171" t="s">
        <v>73</v>
      </c>
      <c r="D18" s="103">
        <v>176</v>
      </c>
      <c r="E18" s="104" t="s">
        <v>76</v>
      </c>
      <c r="F18" s="92">
        <v>0</v>
      </c>
      <c r="G18" s="219">
        <f>IF(F18&gt;0,F18,
IF(B18&lt;&gt;"",
IF(C18="CLT",VLOOKUP(B18,'Lista Profissionais'!$C$11:$H$348,3,0),
VLOOKUP(B18,'Lista Profissionais'!$C$11:$H$348,6,0)), 0))</f>
        <v>6370</v>
      </c>
      <c r="H18" s="219">
        <f>IF(B18&lt;&gt;"",
IF(C18="CLT",
       22*$M$5 + (G18*'Lista Profissionais'!$G$9),0),0)</f>
        <v>0</v>
      </c>
      <c r="I18" s="66">
        <f t="shared" si="0"/>
        <v>6370</v>
      </c>
      <c r="J18" s="66">
        <f t="shared" si="1"/>
        <v>6370</v>
      </c>
      <c r="K18" s="66">
        <f t="shared" si="2"/>
        <v>9237.2007000000012</v>
      </c>
      <c r="L18" s="93">
        <f t="shared" si="23"/>
        <v>36.19318181818182</v>
      </c>
      <c r="M18" s="151"/>
      <c r="N18" s="152">
        <v>0</v>
      </c>
      <c r="O18" s="69">
        <f t="shared" si="3"/>
        <v>0</v>
      </c>
      <c r="P18" s="69">
        <f t="shared" si="4"/>
        <v>12103</v>
      </c>
      <c r="Q18" s="70">
        <f t="shared" si="5"/>
        <v>12103</v>
      </c>
      <c r="R18" s="153">
        <f t="shared" si="24"/>
        <v>363.09</v>
      </c>
      <c r="S18" s="70">
        <v>0</v>
      </c>
      <c r="T18" s="165">
        <f t="shared" si="6"/>
        <v>12466.09</v>
      </c>
      <c r="U18" s="163">
        <f t="shared" si="7"/>
        <v>70.830056818181816</v>
      </c>
      <c r="V18" s="164">
        <f t="shared" si="25"/>
        <v>0</v>
      </c>
      <c r="W18" s="164">
        <f t="shared" si="8"/>
        <v>0</v>
      </c>
      <c r="X18" s="144">
        <f t="shared" si="9"/>
        <v>0</v>
      </c>
      <c r="Y18" s="150">
        <f t="shared" si="10"/>
        <v>0</v>
      </c>
      <c r="Z18" s="150">
        <f t="shared" si="11"/>
        <v>0</v>
      </c>
      <c r="AA18" s="150">
        <f t="shared" si="12"/>
        <v>0</v>
      </c>
      <c r="AB18" s="182">
        <f t="shared" si="13"/>
        <v>0</v>
      </c>
      <c r="AC18" s="182">
        <f t="shared" si="14"/>
        <v>0</v>
      </c>
      <c r="AD18" s="182">
        <f t="shared" si="15"/>
        <v>0</v>
      </c>
      <c r="AE18" s="180">
        <f t="shared" si="16"/>
        <v>0</v>
      </c>
      <c r="AF18" s="150">
        <f t="shared" si="17"/>
        <v>0</v>
      </c>
      <c r="AG18" s="150">
        <f t="shared" si="18"/>
        <v>0</v>
      </c>
      <c r="AH18" s="150">
        <f t="shared" si="26"/>
        <v>0</v>
      </c>
      <c r="AI18" s="154">
        <f t="shared" si="19"/>
        <v>2867.2007000000003</v>
      </c>
      <c r="AJ18" s="70">
        <f t="shared" si="20"/>
        <v>2865.7992999999988</v>
      </c>
      <c r="AK18" s="155">
        <f t="shared" si="21"/>
        <v>0.22988758303525794</v>
      </c>
      <c r="AL18" s="155">
        <f t="shared" si="22"/>
        <v>0.29855530264319219</v>
      </c>
    </row>
    <row r="19" spans="2:38" ht="14.25" customHeight="1" x14ac:dyDescent="0.25">
      <c r="B19" s="174" t="s">
        <v>253</v>
      </c>
      <c r="C19" s="171" t="s">
        <v>73</v>
      </c>
      <c r="D19" s="103">
        <v>176</v>
      </c>
      <c r="E19" s="104" t="s">
        <v>76</v>
      </c>
      <c r="F19" s="92">
        <v>0</v>
      </c>
      <c r="G19" s="219">
        <f>IF(F19&gt;0,F19,
IF(B19&lt;&gt;"",
IF(C19="CLT",VLOOKUP(B19,'Lista Profissionais'!$C$11:$H$348,3,0),
VLOOKUP(B19,'Lista Profissionais'!$C$11:$H$348,6,0)), 0))</f>
        <v>9750</v>
      </c>
      <c r="H19" s="219">
        <f>IF(B19&lt;&gt;"",
IF(C19="CLT",
       22*$M$5 + (G19*'Lista Profissionais'!$G$9),0),0)</f>
        <v>0</v>
      </c>
      <c r="I19" s="66">
        <f t="shared" si="0"/>
        <v>9750</v>
      </c>
      <c r="J19" s="66">
        <f t="shared" si="1"/>
        <v>9750</v>
      </c>
      <c r="K19" s="66">
        <f t="shared" si="2"/>
        <v>14138.5725</v>
      </c>
      <c r="L19" s="93">
        <f t="shared" si="23"/>
        <v>55.397727272727273</v>
      </c>
      <c r="M19" s="151"/>
      <c r="N19" s="152">
        <v>0</v>
      </c>
      <c r="O19" s="69">
        <f t="shared" si="3"/>
        <v>0</v>
      </c>
      <c r="P19" s="69">
        <f t="shared" si="4"/>
        <v>18525</v>
      </c>
      <c r="Q19" s="70">
        <f t="shared" si="5"/>
        <v>18525</v>
      </c>
      <c r="R19" s="153">
        <f t="shared" si="24"/>
        <v>555.75</v>
      </c>
      <c r="S19" s="70">
        <v>0</v>
      </c>
      <c r="T19" s="165">
        <f t="shared" si="6"/>
        <v>19080.75</v>
      </c>
      <c r="U19" s="163">
        <f t="shared" si="7"/>
        <v>108.41335227272727</v>
      </c>
      <c r="V19" s="164">
        <f t="shared" si="25"/>
        <v>0</v>
      </c>
      <c r="W19" s="164">
        <f t="shared" si="8"/>
        <v>0</v>
      </c>
      <c r="X19" s="144">
        <f t="shared" si="9"/>
        <v>0</v>
      </c>
      <c r="Y19" s="150">
        <f t="shared" si="10"/>
        <v>0</v>
      </c>
      <c r="Z19" s="150">
        <f t="shared" si="11"/>
        <v>0</v>
      </c>
      <c r="AA19" s="150">
        <f t="shared" si="12"/>
        <v>0</v>
      </c>
      <c r="AB19" s="182">
        <f t="shared" si="13"/>
        <v>0</v>
      </c>
      <c r="AC19" s="182">
        <f t="shared" si="14"/>
        <v>0</v>
      </c>
      <c r="AD19" s="182">
        <f t="shared" si="15"/>
        <v>0</v>
      </c>
      <c r="AE19" s="180">
        <f t="shared" si="16"/>
        <v>0</v>
      </c>
      <c r="AF19" s="150">
        <f t="shared" si="17"/>
        <v>0</v>
      </c>
      <c r="AG19" s="150">
        <f t="shared" si="18"/>
        <v>0</v>
      </c>
      <c r="AH19" s="150">
        <f t="shared" si="26"/>
        <v>0</v>
      </c>
      <c r="AI19" s="154">
        <f t="shared" si="19"/>
        <v>4388.5725000000002</v>
      </c>
      <c r="AJ19" s="70">
        <f t="shared" si="20"/>
        <v>4386.4274999999998</v>
      </c>
      <c r="AK19" s="155">
        <f t="shared" si="21"/>
        <v>0.22988758303525803</v>
      </c>
      <c r="AL19" s="155">
        <f t="shared" si="22"/>
        <v>0.29855530264319224</v>
      </c>
    </row>
    <row r="20" spans="2:38" ht="14.25" customHeight="1" x14ac:dyDescent="0.25">
      <c r="B20" s="174" t="s">
        <v>254</v>
      </c>
      <c r="C20" s="171" t="s">
        <v>73</v>
      </c>
      <c r="D20" s="103">
        <v>176</v>
      </c>
      <c r="E20" s="104" t="s">
        <v>76</v>
      </c>
      <c r="F20" s="92">
        <v>0</v>
      </c>
      <c r="G20" s="219">
        <f>IF(F20&gt;0,F20,
IF(B20&lt;&gt;"",
IF(C20="CLT",VLOOKUP(B20,'Lista Profissionais'!$C$11:$H$348,3,0),
VLOOKUP(B20,'Lista Profissionais'!$C$11:$H$348,6,0)), 0))</f>
        <v>14300</v>
      </c>
      <c r="H20" s="219">
        <f>IF(B20&lt;&gt;"",
IF(C20="CLT",
       22*$M$5 + (G20*'Lista Profissionais'!$G$9),0),0)</f>
        <v>0</v>
      </c>
      <c r="I20" s="66">
        <f t="shared" si="0"/>
        <v>14300</v>
      </c>
      <c r="J20" s="66">
        <f t="shared" si="1"/>
        <v>14300</v>
      </c>
      <c r="K20" s="66">
        <f t="shared" si="2"/>
        <v>20736.573</v>
      </c>
      <c r="L20" s="93">
        <f t="shared" si="23"/>
        <v>81.25</v>
      </c>
      <c r="M20" s="151"/>
      <c r="N20" s="152">
        <v>0</v>
      </c>
      <c r="O20" s="69">
        <f t="shared" si="3"/>
        <v>0</v>
      </c>
      <c r="P20" s="69">
        <f t="shared" si="4"/>
        <v>27170</v>
      </c>
      <c r="Q20" s="70">
        <f t="shared" si="5"/>
        <v>27170</v>
      </c>
      <c r="R20" s="153">
        <f t="shared" si="24"/>
        <v>815.1</v>
      </c>
      <c r="S20" s="70">
        <v>0</v>
      </c>
      <c r="T20" s="165">
        <f t="shared" si="6"/>
        <v>27985.1</v>
      </c>
      <c r="U20" s="163">
        <f t="shared" si="7"/>
        <v>159.00624999999999</v>
      </c>
      <c r="V20" s="164">
        <f t="shared" si="25"/>
        <v>0</v>
      </c>
      <c r="W20" s="164">
        <f t="shared" si="8"/>
        <v>0</v>
      </c>
      <c r="X20" s="144">
        <f t="shared" si="9"/>
        <v>0</v>
      </c>
      <c r="Y20" s="150">
        <f t="shared" si="10"/>
        <v>0</v>
      </c>
      <c r="Z20" s="150">
        <f t="shared" si="11"/>
        <v>0</v>
      </c>
      <c r="AA20" s="150">
        <f t="shared" si="12"/>
        <v>0</v>
      </c>
      <c r="AB20" s="182">
        <f t="shared" si="13"/>
        <v>0</v>
      </c>
      <c r="AC20" s="182">
        <f t="shared" si="14"/>
        <v>0</v>
      </c>
      <c r="AD20" s="182">
        <f t="shared" si="15"/>
        <v>0</v>
      </c>
      <c r="AE20" s="180">
        <f t="shared" si="16"/>
        <v>0</v>
      </c>
      <c r="AF20" s="150">
        <f t="shared" si="17"/>
        <v>0</v>
      </c>
      <c r="AG20" s="150">
        <f t="shared" si="18"/>
        <v>0</v>
      </c>
      <c r="AH20" s="150">
        <f t="shared" si="26"/>
        <v>0</v>
      </c>
      <c r="AI20" s="154">
        <f t="shared" si="19"/>
        <v>6436.5730000000003</v>
      </c>
      <c r="AJ20" s="70">
        <f t="shared" si="20"/>
        <v>6433.4269999999979</v>
      </c>
      <c r="AK20" s="155">
        <f t="shared" si="21"/>
        <v>0.22988758303525797</v>
      </c>
      <c r="AL20" s="155">
        <f t="shared" si="22"/>
        <v>0.29855530264319219</v>
      </c>
    </row>
    <row r="21" spans="2:38" ht="14.25" customHeight="1" x14ac:dyDescent="0.25">
      <c r="B21" s="174" t="s">
        <v>255</v>
      </c>
      <c r="C21" s="171" t="s">
        <v>73</v>
      </c>
      <c r="D21" s="103">
        <v>176</v>
      </c>
      <c r="E21" s="104" t="s">
        <v>76</v>
      </c>
      <c r="F21" s="92">
        <v>0</v>
      </c>
      <c r="G21" s="219">
        <f>IF(F21&gt;0,F21,
IF(B21&lt;&gt;"",
IF(C21="CLT",VLOOKUP(B21,'Lista Profissionais'!$C$11:$H$348,3,0),
VLOOKUP(B21,'Lista Profissionais'!$C$11:$H$348,6,0)), 0))</f>
        <v>14300</v>
      </c>
      <c r="H21" s="219">
        <f>IF(B21&lt;&gt;"",
IF(C21="CLT",
       22*$M$5 + (G21*'Lista Profissionais'!$G$9),0),0)</f>
        <v>0</v>
      </c>
      <c r="I21" s="66">
        <f t="shared" si="0"/>
        <v>14300</v>
      </c>
      <c r="J21" s="66">
        <f t="shared" si="1"/>
        <v>14300</v>
      </c>
      <c r="K21" s="66">
        <f t="shared" si="2"/>
        <v>20736.573</v>
      </c>
      <c r="L21" s="93">
        <f t="shared" si="23"/>
        <v>81.25</v>
      </c>
      <c r="M21" s="151"/>
      <c r="N21" s="152">
        <v>0</v>
      </c>
      <c r="O21" s="69">
        <f t="shared" si="3"/>
        <v>0</v>
      </c>
      <c r="P21" s="69">
        <f t="shared" si="4"/>
        <v>27170</v>
      </c>
      <c r="Q21" s="70">
        <f t="shared" si="5"/>
        <v>27170</v>
      </c>
      <c r="R21" s="153">
        <f t="shared" si="24"/>
        <v>815.1</v>
      </c>
      <c r="S21" s="70">
        <v>0</v>
      </c>
      <c r="T21" s="165">
        <f t="shared" si="6"/>
        <v>27985.1</v>
      </c>
      <c r="U21" s="163">
        <f t="shared" si="7"/>
        <v>159.00624999999999</v>
      </c>
      <c r="V21" s="164">
        <f t="shared" si="25"/>
        <v>0</v>
      </c>
      <c r="W21" s="164">
        <f t="shared" si="8"/>
        <v>0</v>
      </c>
      <c r="X21" s="144">
        <f t="shared" si="9"/>
        <v>0</v>
      </c>
      <c r="Y21" s="150">
        <f t="shared" si="10"/>
        <v>0</v>
      </c>
      <c r="Z21" s="150">
        <f t="shared" si="11"/>
        <v>0</v>
      </c>
      <c r="AA21" s="150">
        <f t="shared" si="12"/>
        <v>0</v>
      </c>
      <c r="AB21" s="182">
        <f t="shared" si="13"/>
        <v>0</v>
      </c>
      <c r="AC21" s="182">
        <f t="shared" si="14"/>
        <v>0</v>
      </c>
      <c r="AD21" s="182">
        <f t="shared" si="15"/>
        <v>0</v>
      </c>
      <c r="AE21" s="180">
        <f t="shared" si="16"/>
        <v>0</v>
      </c>
      <c r="AF21" s="150">
        <f t="shared" si="17"/>
        <v>0</v>
      </c>
      <c r="AG21" s="150">
        <f t="shared" si="18"/>
        <v>0</v>
      </c>
      <c r="AH21" s="150">
        <f t="shared" si="26"/>
        <v>0</v>
      </c>
      <c r="AI21" s="154">
        <f t="shared" si="19"/>
        <v>6436.5730000000003</v>
      </c>
      <c r="AJ21" s="70">
        <f t="shared" si="20"/>
        <v>6433.4269999999979</v>
      </c>
      <c r="AK21" s="155">
        <f t="shared" si="21"/>
        <v>0.22988758303525797</v>
      </c>
      <c r="AL21" s="155">
        <f t="shared" si="22"/>
        <v>0.29855530264319219</v>
      </c>
    </row>
    <row r="22" spans="2:38" ht="14.25" customHeight="1" x14ac:dyDescent="0.25">
      <c r="B22" s="174" t="s">
        <v>256</v>
      </c>
      <c r="C22" s="171" t="s">
        <v>73</v>
      </c>
      <c r="D22" s="103">
        <v>176</v>
      </c>
      <c r="E22" s="104" t="s">
        <v>76</v>
      </c>
      <c r="F22" s="92">
        <v>0</v>
      </c>
      <c r="G22" s="219">
        <f>IF(F22&gt;0,F22,
IF(B22&lt;&gt;"",
IF(C22="CLT",VLOOKUP(B22,'Lista Profissionais'!$C$11:$H$348,3,0),
VLOOKUP(B22,'Lista Profissionais'!$C$11:$H$348,6,0)), 0))</f>
        <v>5460</v>
      </c>
      <c r="H22" s="219">
        <f>IF(B22&lt;&gt;"",
IF(C22="CLT",
       22*$M$5 + (G22*'Lista Profissionais'!$G$9),0),0)</f>
        <v>0</v>
      </c>
      <c r="I22" s="66">
        <f t="shared" si="0"/>
        <v>5460</v>
      </c>
      <c r="J22" s="66">
        <f t="shared" si="1"/>
        <v>5460</v>
      </c>
      <c r="K22" s="66">
        <f t="shared" si="2"/>
        <v>7917.6005999999998</v>
      </c>
      <c r="L22" s="93">
        <f t="shared" si="23"/>
        <v>31.022727272727273</v>
      </c>
      <c r="M22" s="151"/>
      <c r="N22" s="152">
        <v>0</v>
      </c>
      <c r="O22" s="69">
        <f t="shared" si="3"/>
        <v>0</v>
      </c>
      <c r="P22" s="69">
        <f t="shared" si="4"/>
        <v>10374</v>
      </c>
      <c r="Q22" s="70">
        <f t="shared" si="5"/>
        <v>10374</v>
      </c>
      <c r="R22" s="153">
        <f t="shared" si="24"/>
        <v>311.21999999999997</v>
      </c>
      <c r="S22" s="70">
        <v>0</v>
      </c>
      <c r="T22" s="165">
        <f t="shared" si="6"/>
        <v>10685.22</v>
      </c>
      <c r="U22" s="163">
        <f t="shared" si="7"/>
        <v>60.711477272727272</v>
      </c>
      <c r="V22" s="164">
        <f t="shared" si="25"/>
        <v>0</v>
      </c>
      <c r="W22" s="164">
        <f t="shared" si="8"/>
        <v>0</v>
      </c>
      <c r="X22" s="144">
        <f t="shared" si="9"/>
        <v>0</v>
      </c>
      <c r="Y22" s="150">
        <f t="shared" si="10"/>
        <v>0</v>
      </c>
      <c r="Z22" s="150">
        <f t="shared" si="11"/>
        <v>0</v>
      </c>
      <c r="AA22" s="150">
        <f t="shared" si="12"/>
        <v>0</v>
      </c>
      <c r="AB22" s="182">
        <f t="shared" si="13"/>
        <v>0</v>
      </c>
      <c r="AC22" s="182">
        <f t="shared" si="14"/>
        <v>0</v>
      </c>
      <c r="AD22" s="182">
        <f t="shared" si="15"/>
        <v>0</v>
      </c>
      <c r="AE22" s="180">
        <f t="shared" si="16"/>
        <v>0</v>
      </c>
      <c r="AF22" s="150">
        <f t="shared" si="17"/>
        <v>0</v>
      </c>
      <c r="AG22" s="150">
        <f t="shared" si="18"/>
        <v>0</v>
      </c>
      <c r="AH22" s="150">
        <f t="shared" si="26"/>
        <v>0</v>
      </c>
      <c r="AI22" s="154">
        <f t="shared" si="19"/>
        <v>2457.6005999999998</v>
      </c>
      <c r="AJ22" s="70">
        <f t="shared" si="20"/>
        <v>2456.3993999999998</v>
      </c>
      <c r="AK22" s="155">
        <f t="shared" si="21"/>
        <v>0.22988758303525805</v>
      </c>
      <c r="AL22" s="155">
        <f t="shared" si="22"/>
        <v>0.29855530264319224</v>
      </c>
    </row>
    <row r="23" spans="2:38" ht="14.25" customHeight="1" x14ac:dyDescent="0.25">
      <c r="B23" s="174" t="s">
        <v>257</v>
      </c>
      <c r="C23" s="171" t="s">
        <v>73</v>
      </c>
      <c r="D23" s="103">
        <v>176</v>
      </c>
      <c r="E23" s="104" t="s">
        <v>76</v>
      </c>
      <c r="F23" s="92">
        <v>0</v>
      </c>
      <c r="G23" s="219">
        <f>IF(F23&gt;0,F23,
IF(B23&lt;&gt;"",
IF(C23="CLT",VLOOKUP(B23,'Lista Profissionais'!$C$11:$H$348,3,0),
VLOOKUP(B23,'Lista Profissionais'!$C$11:$H$348,6,0)), 0))</f>
        <v>9100</v>
      </c>
      <c r="H23" s="219">
        <f>IF(B23&lt;&gt;"",
IF(C23="CLT",
       22*$M$5 + (G23*'Lista Profissionais'!$G$9),0),0)</f>
        <v>0</v>
      </c>
      <c r="I23" s="66">
        <f t="shared" si="0"/>
        <v>9100</v>
      </c>
      <c r="J23" s="66">
        <f t="shared" si="1"/>
        <v>9100</v>
      </c>
      <c r="K23" s="66">
        <f t="shared" si="2"/>
        <v>13196.001</v>
      </c>
      <c r="L23" s="93">
        <f t="shared" si="23"/>
        <v>51.704545454545453</v>
      </c>
      <c r="M23" s="151"/>
      <c r="N23" s="152">
        <v>0</v>
      </c>
      <c r="O23" s="69">
        <f t="shared" si="3"/>
        <v>0</v>
      </c>
      <c r="P23" s="69">
        <f t="shared" si="4"/>
        <v>17290</v>
      </c>
      <c r="Q23" s="70">
        <f t="shared" si="5"/>
        <v>17290</v>
      </c>
      <c r="R23" s="153">
        <f t="shared" si="24"/>
        <v>518.69999999999993</v>
      </c>
      <c r="S23" s="70">
        <v>0</v>
      </c>
      <c r="T23" s="165">
        <f t="shared" si="6"/>
        <v>17808.7</v>
      </c>
      <c r="U23" s="163">
        <f t="shared" si="7"/>
        <v>101.18579545454546</v>
      </c>
      <c r="V23" s="164">
        <f t="shared" si="25"/>
        <v>0</v>
      </c>
      <c r="W23" s="164">
        <f t="shared" si="8"/>
        <v>0</v>
      </c>
      <c r="X23" s="144">
        <f t="shared" si="9"/>
        <v>0</v>
      </c>
      <c r="Y23" s="150">
        <f t="shared" si="10"/>
        <v>0</v>
      </c>
      <c r="Z23" s="150">
        <f t="shared" si="11"/>
        <v>0</v>
      </c>
      <c r="AA23" s="150">
        <f t="shared" si="12"/>
        <v>0</v>
      </c>
      <c r="AB23" s="182">
        <f t="shared" si="13"/>
        <v>0</v>
      </c>
      <c r="AC23" s="182">
        <f t="shared" si="14"/>
        <v>0</v>
      </c>
      <c r="AD23" s="182">
        <f t="shared" si="15"/>
        <v>0</v>
      </c>
      <c r="AE23" s="180">
        <f t="shared" si="16"/>
        <v>0</v>
      </c>
      <c r="AF23" s="150">
        <f t="shared" si="17"/>
        <v>0</v>
      </c>
      <c r="AG23" s="150">
        <f t="shared" si="18"/>
        <v>0</v>
      </c>
      <c r="AH23" s="150">
        <f t="shared" si="26"/>
        <v>0</v>
      </c>
      <c r="AI23" s="154">
        <f t="shared" si="19"/>
        <v>4096.0010000000002</v>
      </c>
      <c r="AJ23" s="70">
        <f t="shared" si="20"/>
        <v>4093.9990000000007</v>
      </c>
      <c r="AK23" s="155">
        <f t="shared" si="21"/>
        <v>0.22988758303525808</v>
      </c>
      <c r="AL23" s="155">
        <f t="shared" si="22"/>
        <v>0.2985553026431923</v>
      </c>
    </row>
    <row r="24" spans="2:38" ht="14.25" customHeight="1" x14ac:dyDescent="0.25">
      <c r="B24" s="174" t="s">
        <v>258</v>
      </c>
      <c r="C24" s="171" t="s">
        <v>73</v>
      </c>
      <c r="D24" s="103">
        <v>176</v>
      </c>
      <c r="E24" s="104" t="s">
        <v>76</v>
      </c>
      <c r="F24" s="92">
        <v>0</v>
      </c>
      <c r="G24" s="219">
        <f>IF(F24&gt;0,F24,
IF(B24&lt;&gt;"",
IF(C24="CLT",VLOOKUP(B24,'Lista Profissionais'!$C$11:$H$348,3,0),
VLOOKUP(B24,'Lista Profissionais'!$C$11:$H$348,6,0)), 0))</f>
        <v>13000</v>
      </c>
      <c r="H24" s="219">
        <f>IF(B24&lt;&gt;"",
IF(C24="CLT",
       22*$M$5 + (G24*'Lista Profissionais'!$G$9),0),0)</f>
        <v>0</v>
      </c>
      <c r="I24" s="66">
        <f t="shared" si="0"/>
        <v>13000</v>
      </c>
      <c r="J24" s="66">
        <f t="shared" si="1"/>
        <v>13000</v>
      </c>
      <c r="K24" s="66">
        <f t="shared" si="2"/>
        <v>18851.43</v>
      </c>
      <c r="L24" s="93">
        <f t="shared" si="23"/>
        <v>73.86363636363636</v>
      </c>
      <c r="M24" s="151"/>
      <c r="N24" s="152">
        <v>0</v>
      </c>
      <c r="O24" s="69">
        <f t="shared" si="3"/>
        <v>0</v>
      </c>
      <c r="P24" s="69">
        <f t="shared" si="4"/>
        <v>24700</v>
      </c>
      <c r="Q24" s="70">
        <f t="shared" si="5"/>
        <v>24700</v>
      </c>
      <c r="R24" s="153">
        <f t="shared" si="24"/>
        <v>741</v>
      </c>
      <c r="S24" s="70">
        <v>0</v>
      </c>
      <c r="T24" s="165">
        <f t="shared" si="6"/>
        <v>25441</v>
      </c>
      <c r="U24" s="163">
        <f t="shared" si="7"/>
        <v>144.55113636363637</v>
      </c>
      <c r="V24" s="164">
        <f t="shared" si="25"/>
        <v>0</v>
      </c>
      <c r="W24" s="164">
        <f t="shared" si="8"/>
        <v>0</v>
      </c>
      <c r="X24" s="144">
        <f t="shared" si="9"/>
        <v>0</v>
      </c>
      <c r="Y24" s="150">
        <f t="shared" si="10"/>
        <v>0</v>
      </c>
      <c r="Z24" s="150">
        <f t="shared" si="11"/>
        <v>0</v>
      </c>
      <c r="AA24" s="150">
        <f t="shared" si="12"/>
        <v>0</v>
      </c>
      <c r="AB24" s="182">
        <f t="shared" si="13"/>
        <v>0</v>
      </c>
      <c r="AC24" s="182">
        <f t="shared" si="14"/>
        <v>0</v>
      </c>
      <c r="AD24" s="182">
        <f t="shared" si="15"/>
        <v>0</v>
      </c>
      <c r="AE24" s="180">
        <f t="shared" si="16"/>
        <v>0</v>
      </c>
      <c r="AF24" s="150">
        <f t="shared" si="17"/>
        <v>0</v>
      </c>
      <c r="AG24" s="150">
        <f t="shared" si="18"/>
        <v>0</v>
      </c>
      <c r="AH24" s="150">
        <f t="shared" si="26"/>
        <v>0</v>
      </c>
      <c r="AI24" s="154">
        <f t="shared" si="19"/>
        <v>5851.43</v>
      </c>
      <c r="AJ24" s="70">
        <f t="shared" si="20"/>
        <v>5848.57</v>
      </c>
      <c r="AK24" s="155">
        <f t="shared" si="21"/>
        <v>0.22988758303525803</v>
      </c>
      <c r="AL24" s="155">
        <f t="shared" si="22"/>
        <v>0.29855530264319224</v>
      </c>
    </row>
    <row r="25" spans="2:38" ht="14.25" customHeight="1" x14ac:dyDescent="0.25">
      <c r="B25" s="174" t="s">
        <v>259</v>
      </c>
      <c r="C25" s="171" t="s">
        <v>73</v>
      </c>
      <c r="D25" s="103">
        <v>176</v>
      </c>
      <c r="E25" s="104" t="s">
        <v>76</v>
      </c>
      <c r="F25" s="92">
        <v>0</v>
      </c>
      <c r="G25" s="219">
        <f>IF(F25&gt;0,F25,
IF(B25&lt;&gt;"",
IF(C25="CLT",VLOOKUP(B25,'Lista Profissionais'!$C$11:$H$348,3,0),
VLOOKUP(B25,'Lista Profissionais'!$C$11:$H$348,6,0)), 0))</f>
        <v>13000</v>
      </c>
      <c r="H25" s="219">
        <f>IF(B25&lt;&gt;"",
IF(C25="CLT",
       22*$M$5 + (G25*'Lista Profissionais'!$G$9),0),0)</f>
        <v>0</v>
      </c>
      <c r="I25" s="66">
        <f t="shared" si="0"/>
        <v>13000</v>
      </c>
      <c r="J25" s="66">
        <f t="shared" si="1"/>
        <v>13000</v>
      </c>
      <c r="K25" s="66">
        <f t="shared" si="2"/>
        <v>18851.43</v>
      </c>
      <c r="L25" s="93">
        <f t="shared" si="23"/>
        <v>73.86363636363636</v>
      </c>
      <c r="M25" s="151"/>
      <c r="N25" s="152">
        <v>0</v>
      </c>
      <c r="O25" s="69">
        <f t="shared" si="3"/>
        <v>0</v>
      </c>
      <c r="P25" s="69">
        <f t="shared" si="4"/>
        <v>24700</v>
      </c>
      <c r="Q25" s="70">
        <f t="shared" si="5"/>
        <v>24700</v>
      </c>
      <c r="R25" s="153">
        <f t="shared" si="24"/>
        <v>741</v>
      </c>
      <c r="S25" s="70">
        <v>0</v>
      </c>
      <c r="T25" s="165">
        <f t="shared" si="6"/>
        <v>25441</v>
      </c>
      <c r="U25" s="163">
        <f t="shared" si="7"/>
        <v>144.55113636363637</v>
      </c>
      <c r="V25" s="164">
        <f t="shared" si="25"/>
        <v>0</v>
      </c>
      <c r="W25" s="164">
        <f t="shared" si="8"/>
        <v>0</v>
      </c>
      <c r="X25" s="144">
        <f t="shared" si="9"/>
        <v>0</v>
      </c>
      <c r="Y25" s="150">
        <f t="shared" si="10"/>
        <v>0</v>
      </c>
      <c r="Z25" s="150">
        <f t="shared" si="11"/>
        <v>0</v>
      </c>
      <c r="AA25" s="150">
        <f t="shared" si="12"/>
        <v>0</v>
      </c>
      <c r="AB25" s="182">
        <f t="shared" si="13"/>
        <v>0</v>
      </c>
      <c r="AC25" s="182">
        <f t="shared" si="14"/>
        <v>0</v>
      </c>
      <c r="AD25" s="182">
        <f t="shared" si="15"/>
        <v>0</v>
      </c>
      <c r="AE25" s="180">
        <f t="shared" si="16"/>
        <v>0</v>
      </c>
      <c r="AF25" s="150">
        <f t="shared" si="17"/>
        <v>0</v>
      </c>
      <c r="AG25" s="150">
        <f t="shared" si="18"/>
        <v>0</v>
      </c>
      <c r="AH25" s="150">
        <f t="shared" si="26"/>
        <v>0</v>
      </c>
      <c r="AI25" s="154">
        <f t="shared" si="19"/>
        <v>5851.43</v>
      </c>
      <c r="AJ25" s="70">
        <f t="shared" si="20"/>
        <v>5848.57</v>
      </c>
      <c r="AK25" s="155">
        <f t="shared" si="21"/>
        <v>0.22988758303525803</v>
      </c>
      <c r="AL25" s="155">
        <f t="shared" si="22"/>
        <v>0.29855530264319224</v>
      </c>
    </row>
    <row r="26" spans="2:38" ht="14.25" customHeight="1" x14ac:dyDescent="0.25">
      <c r="B26" s="174" t="s">
        <v>260</v>
      </c>
      <c r="C26" s="171" t="s">
        <v>73</v>
      </c>
      <c r="D26" s="103">
        <v>176</v>
      </c>
      <c r="E26" s="104" t="s">
        <v>76</v>
      </c>
      <c r="F26" s="92">
        <v>0</v>
      </c>
      <c r="G26" s="219">
        <f>IF(F26&gt;0,F26,
IF(B26&lt;&gt;"",
IF(C26="CLT",VLOOKUP(B26,'Lista Profissionais'!$C$11:$H$348,3,0),
VLOOKUP(B26,'Lista Profissionais'!$C$11:$H$348,6,0)), 0))</f>
        <v>4550</v>
      </c>
      <c r="H26" s="219">
        <f>IF(B26&lt;&gt;"",
IF(C26="CLT",
       22*$M$5 + (G26*'Lista Profissionais'!$G$9),0),0)</f>
        <v>0</v>
      </c>
      <c r="I26" s="66">
        <f t="shared" si="0"/>
        <v>4550</v>
      </c>
      <c r="J26" s="66">
        <f t="shared" si="1"/>
        <v>4550</v>
      </c>
      <c r="K26" s="66">
        <f t="shared" si="2"/>
        <v>6598.0005000000001</v>
      </c>
      <c r="L26" s="93">
        <f t="shared" si="23"/>
        <v>25.852272727272727</v>
      </c>
      <c r="M26" s="151"/>
      <c r="N26" s="152">
        <v>0</v>
      </c>
      <c r="O26" s="69">
        <f t="shared" si="3"/>
        <v>0</v>
      </c>
      <c r="P26" s="69">
        <f t="shared" si="4"/>
        <v>8645</v>
      </c>
      <c r="Q26" s="70">
        <f t="shared" si="5"/>
        <v>8645</v>
      </c>
      <c r="R26" s="153">
        <f t="shared" si="24"/>
        <v>259.34999999999997</v>
      </c>
      <c r="S26" s="70">
        <v>0</v>
      </c>
      <c r="T26" s="165">
        <f t="shared" si="6"/>
        <v>8904.35</v>
      </c>
      <c r="U26" s="163">
        <f t="shared" si="7"/>
        <v>50.592897727272728</v>
      </c>
      <c r="V26" s="164">
        <f t="shared" si="25"/>
        <v>0</v>
      </c>
      <c r="W26" s="164">
        <f t="shared" si="8"/>
        <v>0</v>
      </c>
      <c r="X26" s="144">
        <f t="shared" si="9"/>
        <v>0</v>
      </c>
      <c r="Y26" s="150">
        <f t="shared" si="10"/>
        <v>0</v>
      </c>
      <c r="Z26" s="150">
        <f t="shared" si="11"/>
        <v>0</v>
      </c>
      <c r="AA26" s="150">
        <f t="shared" si="12"/>
        <v>0</v>
      </c>
      <c r="AB26" s="182">
        <f t="shared" si="13"/>
        <v>0</v>
      </c>
      <c r="AC26" s="182">
        <f t="shared" si="14"/>
        <v>0</v>
      </c>
      <c r="AD26" s="182">
        <f t="shared" si="15"/>
        <v>0</v>
      </c>
      <c r="AE26" s="180">
        <f t="shared" si="16"/>
        <v>0</v>
      </c>
      <c r="AF26" s="150">
        <f t="shared" si="17"/>
        <v>0</v>
      </c>
      <c r="AG26" s="150">
        <f t="shared" si="18"/>
        <v>0</v>
      </c>
      <c r="AH26" s="150">
        <f t="shared" si="26"/>
        <v>0</v>
      </c>
      <c r="AI26" s="154">
        <f t="shared" si="19"/>
        <v>2048.0005000000001</v>
      </c>
      <c r="AJ26" s="70">
        <f t="shared" si="20"/>
        <v>2046.9995000000004</v>
      </c>
      <c r="AK26" s="155">
        <f t="shared" si="21"/>
        <v>0.22988758303525808</v>
      </c>
      <c r="AL26" s="155">
        <f t="shared" si="22"/>
        <v>0.2985553026431923</v>
      </c>
    </row>
    <row r="27" spans="2:38" ht="14.25" customHeight="1" x14ac:dyDescent="0.25">
      <c r="B27" s="174" t="s">
        <v>261</v>
      </c>
      <c r="C27" s="171" t="s">
        <v>73</v>
      </c>
      <c r="D27" s="103">
        <v>176</v>
      </c>
      <c r="E27" s="104" t="s">
        <v>76</v>
      </c>
      <c r="F27" s="92">
        <v>0</v>
      </c>
      <c r="G27" s="219">
        <f>IF(F27&gt;0,F27,
IF(B27&lt;&gt;"",
IF(C27="CLT",VLOOKUP(B27,'Lista Profissionais'!$C$11:$H$348,3,0),
VLOOKUP(B27,'Lista Profissionais'!$C$11:$H$348,6,0)), 0))</f>
        <v>7150</v>
      </c>
      <c r="H27" s="219">
        <f>IF(B27&lt;&gt;"",
IF(C27="CLT",
       22*$M$5 + (G27*'Lista Profissionais'!$G$9),0),0)</f>
        <v>0</v>
      </c>
      <c r="I27" s="66">
        <f t="shared" si="0"/>
        <v>7150</v>
      </c>
      <c r="J27" s="66">
        <f t="shared" si="1"/>
        <v>7150</v>
      </c>
      <c r="K27" s="66">
        <f t="shared" si="2"/>
        <v>10368.2865</v>
      </c>
      <c r="L27" s="93">
        <f t="shared" si="23"/>
        <v>40.625</v>
      </c>
      <c r="M27" s="151"/>
      <c r="N27" s="152">
        <v>0</v>
      </c>
      <c r="O27" s="69">
        <f t="shared" si="3"/>
        <v>0</v>
      </c>
      <c r="P27" s="69">
        <f t="shared" si="4"/>
        <v>13585</v>
      </c>
      <c r="Q27" s="70">
        <f t="shared" si="5"/>
        <v>13585</v>
      </c>
      <c r="R27" s="153">
        <f t="shared" si="24"/>
        <v>407.55</v>
      </c>
      <c r="S27" s="70">
        <v>0</v>
      </c>
      <c r="T27" s="165">
        <f t="shared" si="6"/>
        <v>13992.55</v>
      </c>
      <c r="U27" s="163">
        <f t="shared" si="7"/>
        <v>79.503124999999997</v>
      </c>
      <c r="V27" s="164">
        <f t="shared" si="25"/>
        <v>0</v>
      </c>
      <c r="W27" s="164">
        <f t="shared" si="8"/>
        <v>0</v>
      </c>
      <c r="X27" s="144">
        <f t="shared" si="9"/>
        <v>0</v>
      </c>
      <c r="Y27" s="150">
        <f t="shared" si="10"/>
        <v>0</v>
      </c>
      <c r="Z27" s="150">
        <f t="shared" si="11"/>
        <v>0</v>
      </c>
      <c r="AA27" s="150">
        <f t="shared" si="12"/>
        <v>0</v>
      </c>
      <c r="AB27" s="182">
        <f t="shared" si="13"/>
        <v>0</v>
      </c>
      <c r="AC27" s="182">
        <f t="shared" si="14"/>
        <v>0</v>
      </c>
      <c r="AD27" s="182">
        <f t="shared" si="15"/>
        <v>0</v>
      </c>
      <c r="AE27" s="180">
        <f t="shared" si="16"/>
        <v>0</v>
      </c>
      <c r="AF27" s="150">
        <f t="shared" si="17"/>
        <v>0</v>
      </c>
      <c r="AG27" s="150">
        <f t="shared" si="18"/>
        <v>0</v>
      </c>
      <c r="AH27" s="150">
        <f t="shared" si="26"/>
        <v>0</v>
      </c>
      <c r="AI27" s="154">
        <f t="shared" si="19"/>
        <v>3218.2865000000002</v>
      </c>
      <c r="AJ27" s="70">
        <f t="shared" si="20"/>
        <v>3216.7134999999989</v>
      </c>
      <c r="AK27" s="155">
        <f t="shared" si="21"/>
        <v>0.22988758303525797</v>
      </c>
      <c r="AL27" s="155">
        <f t="shared" si="22"/>
        <v>0.29855530264319219</v>
      </c>
    </row>
    <row r="28" spans="2:38" ht="14.25" customHeight="1" x14ac:dyDescent="0.25">
      <c r="B28" s="174" t="s">
        <v>262</v>
      </c>
      <c r="C28" s="171" t="s">
        <v>73</v>
      </c>
      <c r="D28" s="103">
        <v>176</v>
      </c>
      <c r="E28" s="104" t="s">
        <v>76</v>
      </c>
      <c r="F28" s="92">
        <v>0</v>
      </c>
      <c r="G28" s="219">
        <f>IF(F28&gt;0,F28,
IF(B28&lt;&gt;"",
IF(C28="CLT",VLOOKUP(B28,'Lista Profissionais'!$C$11:$H$348,3,0),
VLOOKUP(B28,'Lista Profissionais'!$C$11:$H$348,6,0)), 0))</f>
        <v>8801</v>
      </c>
      <c r="H28" s="219">
        <f>IF(B28&lt;&gt;"",
IF(C28="CLT",
       22*$M$5 + (G28*'Lista Profissionais'!$G$9),0),0)</f>
        <v>0</v>
      </c>
      <c r="I28" s="66">
        <f t="shared" si="0"/>
        <v>8801</v>
      </c>
      <c r="J28" s="66">
        <f t="shared" si="1"/>
        <v>8801</v>
      </c>
      <c r="K28" s="66">
        <f t="shared" si="2"/>
        <v>12762.418109999999</v>
      </c>
      <c r="L28" s="93">
        <f t="shared" si="23"/>
        <v>50.00568181818182</v>
      </c>
      <c r="M28" s="151"/>
      <c r="N28" s="152">
        <v>0</v>
      </c>
      <c r="O28" s="69">
        <f t="shared" si="3"/>
        <v>0</v>
      </c>
      <c r="P28" s="69">
        <f t="shared" si="4"/>
        <v>16721.899999999998</v>
      </c>
      <c r="Q28" s="70">
        <f t="shared" si="5"/>
        <v>16721.899999999998</v>
      </c>
      <c r="R28" s="153">
        <f t="shared" si="24"/>
        <v>501.65699999999993</v>
      </c>
      <c r="S28" s="70">
        <v>0</v>
      </c>
      <c r="T28" s="165">
        <f t="shared" si="6"/>
        <v>17223.556999999997</v>
      </c>
      <c r="U28" s="163">
        <f t="shared" si="7"/>
        <v>97.861119318181807</v>
      </c>
      <c r="V28" s="164">
        <f t="shared" si="25"/>
        <v>0</v>
      </c>
      <c r="W28" s="164">
        <f t="shared" si="8"/>
        <v>0</v>
      </c>
      <c r="X28" s="144">
        <f t="shared" si="9"/>
        <v>0</v>
      </c>
      <c r="Y28" s="150">
        <f t="shared" si="10"/>
        <v>0</v>
      </c>
      <c r="Z28" s="150">
        <f t="shared" si="11"/>
        <v>0</v>
      </c>
      <c r="AA28" s="150">
        <f t="shared" si="12"/>
        <v>0</v>
      </c>
      <c r="AB28" s="182">
        <f t="shared" si="13"/>
        <v>0</v>
      </c>
      <c r="AC28" s="182">
        <f t="shared" si="14"/>
        <v>0</v>
      </c>
      <c r="AD28" s="182">
        <f t="shared" si="15"/>
        <v>0</v>
      </c>
      <c r="AE28" s="180">
        <f t="shared" si="16"/>
        <v>0</v>
      </c>
      <c r="AF28" s="150">
        <f t="shared" si="17"/>
        <v>0</v>
      </c>
      <c r="AG28" s="150">
        <f t="shared" si="18"/>
        <v>0</v>
      </c>
      <c r="AH28" s="150">
        <f t="shared" si="26"/>
        <v>0</v>
      </c>
      <c r="AI28" s="154">
        <f t="shared" si="19"/>
        <v>3961.4181099999996</v>
      </c>
      <c r="AJ28" s="70">
        <f t="shared" si="20"/>
        <v>3959.4818899999982</v>
      </c>
      <c r="AK28" s="155">
        <f t="shared" si="21"/>
        <v>0.22988758303525797</v>
      </c>
      <c r="AL28" s="155">
        <f t="shared" si="22"/>
        <v>0.29855530264319219</v>
      </c>
    </row>
    <row r="29" spans="2:38" ht="14.25" customHeight="1" x14ac:dyDescent="0.25">
      <c r="B29" s="174" t="s">
        <v>263</v>
      </c>
      <c r="C29" s="171" t="s">
        <v>73</v>
      </c>
      <c r="D29" s="103">
        <v>176</v>
      </c>
      <c r="E29" s="104" t="s">
        <v>76</v>
      </c>
      <c r="F29" s="92">
        <v>0</v>
      </c>
      <c r="G29" s="219">
        <f>IF(F29&gt;0,F29,
IF(B29&lt;&gt;"",
IF(C29="CLT",VLOOKUP(B29,'Lista Profissionais'!$C$11:$H$348,3,0),
VLOOKUP(B29,'Lista Profissionais'!$C$11:$H$348,6,0)), 0))</f>
        <v>13650</v>
      </c>
      <c r="H29" s="219">
        <f>IF(B29&lt;&gt;"",
IF(C29="CLT",
       22*$M$5 + (G29*'Lista Profissionais'!$G$9),0),0)</f>
        <v>0</v>
      </c>
      <c r="I29" s="66">
        <f t="shared" si="0"/>
        <v>13650</v>
      </c>
      <c r="J29" s="66">
        <f t="shared" si="1"/>
        <v>13650</v>
      </c>
      <c r="K29" s="66">
        <f t="shared" si="2"/>
        <v>19794.001499999998</v>
      </c>
      <c r="L29" s="93">
        <f t="shared" si="23"/>
        <v>77.556818181818187</v>
      </c>
      <c r="M29" s="151"/>
      <c r="N29" s="152">
        <v>0</v>
      </c>
      <c r="O29" s="69">
        <f t="shared" si="3"/>
        <v>0</v>
      </c>
      <c r="P29" s="69">
        <f t="shared" si="4"/>
        <v>25935</v>
      </c>
      <c r="Q29" s="70">
        <f t="shared" si="5"/>
        <v>25935</v>
      </c>
      <c r="R29" s="153">
        <f t="shared" si="24"/>
        <v>778.05</v>
      </c>
      <c r="S29" s="70">
        <v>0</v>
      </c>
      <c r="T29" s="165">
        <f t="shared" si="6"/>
        <v>26713.05</v>
      </c>
      <c r="U29" s="163">
        <f t="shared" si="7"/>
        <v>151.77869318181817</v>
      </c>
      <c r="V29" s="164">
        <f t="shared" si="25"/>
        <v>0</v>
      </c>
      <c r="W29" s="164">
        <f t="shared" si="8"/>
        <v>0</v>
      </c>
      <c r="X29" s="144">
        <f t="shared" si="9"/>
        <v>0</v>
      </c>
      <c r="Y29" s="150">
        <f t="shared" si="10"/>
        <v>0</v>
      </c>
      <c r="Z29" s="150">
        <f t="shared" si="11"/>
        <v>0</v>
      </c>
      <c r="AA29" s="150">
        <f t="shared" si="12"/>
        <v>0</v>
      </c>
      <c r="AB29" s="182">
        <f t="shared" si="13"/>
        <v>0</v>
      </c>
      <c r="AC29" s="182">
        <f t="shared" si="14"/>
        <v>0</v>
      </c>
      <c r="AD29" s="182">
        <f t="shared" si="15"/>
        <v>0</v>
      </c>
      <c r="AE29" s="180">
        <f t="shared" si="16"/>
        <v>0</v>
      </c>
      <c r="AF29" s="150">
        <f t="shared" si="17"/>
        <v>0</v>
      </c>
      <c r="AG29" s="150">
        <f t="shared" si="18"/>
        <v>0</v>
      </c>
      <c r="AH29" s="150">
        <f t="shared" si="26"/>
        <v>0</v>
      </c>
      <c r="AI29" s="154">
        <f t="shared" si="19"/>
        <v>6144.0015000000003</v>
      </c>
      <c r="AJ29" s="70">
        <f t="shared" si="20"/>
        <v>6140.998499999997</v>
      </c>
      <c r="AK29" s="155">
        <f t="shared" si="21"/>
        <v>0.22988758303525794</v>
      </c>
      <c r="AL29" s="155">
        <f t="shared" si="22"/>
        <v>0.29855530264319219</v>
      </c>
    </row>
    <row r="30" spans="2:38" ht="14.25" customHeight="1" x14ac:dyDescent="0.25">
      <c r="B30" s="174" t="s">
        <v>264</v>
      </c>
      <c r="C30" s="171" t="s">
        <v>73</v>
      </c>
      <c r="D30" s="103">
        <v>176</v>
      </c>
      <c r="E30" s="104" t="s">
        <v>76</v>
      </c>
      <c r="F30" s="92">
        <v>0</v>
      </c>
      <c r="G30" s="219">
        <f>IF(F30&gt;0,F30,
IF(B30&lt;&gt;"",
IF(C30="CLT",VLOOKUP(B30,'Lista Profissionais'!$C$11:$H$348,3,0),
VLOOKUP(B30,'Lista Profissionais'!$C$11:$H$348,6,0)), 0))</f>
        <v>6240</v>
      </c>
      <c r="H30" s="219">
        <f>IF(B30&lt;&gt;"",
IF(C30="CLT",
       22*$M$5 + (G30*'Lista Profissionais'!$G$9),0),0)</f>
        <v>0</v>
      </c>
      <c r="I30" s="66">
        <f t="shared" si="0"/>
        <v>6240</v>
      </c>
      <c r="J30" s="66">
        <f t="shared" si="1"/>
        <v>6240</v>
      </c>
      <c r="K30" s="66">
        <f t="shared" si="2"/>
        <v>9048.6864000000005</v>
      </c>
      <c r="L30" s="93">
        <f t="shared" si="23"/>
        <v>35.454545454545453</v>
      </c>
      <c r="M30" s="151"/>
      <c r="N30" s="152">
        <v>0</v>
      </c>
      <c r="O30" s="69">
        <f t="shared" si="3"/>
        <v>0</v>
      </c>
      <c r="P30" s="69">
        <f t="shared" si="4"/>
        <v>11856</v>
      </c>
      <c r="Q30" s="70">
        <f t="shared" si="5"/>
        <v>11856</v>
      </c>
      <c r="R30" s="153">
        <f t="shared" si="24"/>
        <v>355.68</v>
      </c>
      <c r="S30" s="70">
        <v>0</v>
      </c>
      <c r="T30" s="165">
        <f t="shared" si="6"/>
        <v>12211.68</v>
      </c>
      <c r="U30" s="163">
        <f t="shared" si="7"/>
        <v>69.38454545454546</v>
      </c>
      <c r="V30" s="164">
        <f t="shared" si="25"/>
        <v>0</v>
      </c>
      <c r="W30" s="164">
        <f t="shared" si="8"/>
        <v>0</v>
      </c>
      <c r="X30" s="144">
        <f t="shared" si="9"/>
        <v>0</v>
      </c>
      <c r="Y30" s="150">
        <f t="shared" si="10"/>
        <v>0</v>
      </c>
      <c r="Z30" s="150">
        <f t="shared" si="11"/>
        <v>0</v>
      </c>
      <c r="AA30" s="150">
        <f t="shared" si="12"/>
        <v>0</v>
      </c>
      <c r="AB30" s="182">
        <f t="shared" si="13"/>
        <v>0</v>
      </c>
      <c r="AC30" s="182">
        <f t="shared" si="14"/>
        <v>0</v>
      </c>
      <c r="AD30" s="182">
        <f t="shared" si="15"/>
        <v>0</v>
      </c>
      <c r="AE30" s="180">
        <f t="shared" si="16"/>
        <v>0</v>
      </c>
      <c r="AF30" s="150">
        <f t="shared" si="17"/>
        <v>0</v>
      </c>
      <c r="AG30" s="150">
        <f t="shared" si="18"/>
        <v>0</v>
      </c>
      <c r="AH30" s="150">
        <f t="shared" si="26"/>
        <v>0</v>
      </c>
      <c r="AI30" s="154">
        <f t="shared" si="19"/>
        <v>2808.6864</v>
      </c>
      <c r="AJ30" s="70">
        <f t="shared" si="20"/>
        <v>2807.3136</v>
      </c>
      <c r="AK30" s="155">
        <f t="shared" si="21"/>
        <v>0.22988758303525803</v>
      </c>
      <c r="AL30" s="155">
        <f t="shared" si="22"/>
        <v>0.29855530264319224</v>
      </c>
    </row>
    <row r="31" spans="2:38" ht="14.25" customHeight="1" x14ac:dyDescent="0.25">
      <c r="B31" s="174" t="s">
        <v>265</v>
      </c>
      <c r="C31" s="171" t="s">
        <v>73</v>
      </c>
      <c r="D31" s="103">
        <v>176</v>
      </c>
      <c r="E31" s="104" t="s">
        <v>76</v>
      </c>
      <c r="F31" s="92">
        <v>0</v>
      </c>
      <c r="G31" s="219">
        <f>IF(F31&gt;0,F31,
IF(B31&lt;&gt;"",
IF(C31="CLT",VLOOKUP(B31,'Lista Profissionais'!$C$11:$H$348,3,0),
VLOOKUP(B31,'Lista Profissionais'!$C$11:$H$348,6,0)), 0))</f>
        <v>9750</v>
      </c>
      <c r="H31" s="219">
        <f>IF(B31&lt;&gt;"",
IF(C31="CLT",
       22*$M$5 + (G31*'Lista Profissionais'!$G$9),0),0)</f>
        <v>0</v>
      </c>
      <c r="I31" s="66">
        <f t="shared" si="0"/>
        <v>9750</v>
      </c>
      <c r="J31" s="66">
        <f t="shared" si="1"/>
        <v>9750</v>
      </c>
      <c r="K31" s="66">
        <f t="shared" si="2"/>
        <v>14138.5725</v>
      </c>
      <c r="L31" s="93">
        <f t="shared" si="23"/>
        <v>55.397727272727273</v>
      </c>
      <c r="M31" s="151"/>
      <c r="N31" s="152">
        <v>0</v>
      </c>
      <c r="O31" s="69">
        <f t="shared" si="3"/>
        <v>0</v>
      </c>
      <c r="P31" s="69">
        <f t="shared" si="4"/>
        <v>18525</v>
      </c>
      <c r="Q31" s="70">
        <f t="shared" si="5"/>
        <v>18525</v>
      </c>
      <c r="R31" s="153">
        <f t="shared" si="24"/>
        <v>555.75</v>
      </c>
      <c r="S31" s="70">
        <v>0</v>
      </c>
      <c r="T31" s="165">
        <f t="shared" si="6"/>
        <v>19080.75</v>
      </c>
      <c r="U31" s="163">
        <f t="shared" si="7"/>
        <v>108.41335227272727</v>
      </c>
      <c r="V31" s="164">
        <f t="shared" si="25"/>
        <v>0</v>
      </c>
      <c r="W31" s="164">
        <f t="shared" si="8"/>
        <v>0</v>
      </c>
      <c r="X31" s="144">
        <f t="shared" si="9"/>
        <v>0</v>
      </c>
      <c r="Y31" s="150">
        <f t="shared" si="10"/>
        <v>0</v>
      </c>
      <c r="Z31" s="150">
        <f t="shared" si="11"/>
        <v>0</v>
      </c>
      <c r="AA31" s="150">
        <f t="shared" si="12"/>
        <v>0</v>
      </c>
      <c r="AB31" s="182">
        <f t="shared" si="13"/>
        <v>0</v>
      </c>
      <c r="AC31" s="182">
        <f t="shared" si="14"/>
        <v>0</v>
      </c>
      <c r="AD31" s="182">
        <f t="shared" si="15"/>
        <v>0</v>
      </c>
      <c r="AE31" s="180">
        <f t="shared" si="16"/>
        <v>0</v>
      </c>
      <c r="AF31" s="150">
        <f t="shared" si="17"/>
        <v>0</v>
      </c>
      <c r="AG31" s="150">
        <f t="shared" si="18"/>
        <v>0</v>
      </c>
      <c r="AH31" s="150">
        <f t="shared" si="26"/>
        <v>0</v>
      </c>
      <c r="AI31" s="154">
        <f t="shared" si="19"/>
        <v>4388.5725000000002</v>
      </c>
      <c r="AJ31" s="70">
        <f t="shared" si="20"/>
        <v>4386.4274999999998</v>
      </c>
      <c r="AK31" s="155">
        <f t="shared" si="21"/>
        <v>0.22988758303525803</v>
      </c>
      <c r="AL31" s="155">
        <f t="shared" si="22"/>
        <v>0.29855530264319224</v>
      </c>
    </row>
    <row r="32" spans="2:38" ht="14.25" customHeight="1" x14ac:dyDescent="0.25">
      <c r="B32" s="174" t="s">
        <v>266</v>
      </c>
      <c r="C32" s="171" t="s">
        <v>73</v>
      </c>
      <c r="D32" s="103">
        <v>176</v>
      </c>
      <c r="E32" s="104" t="s">
        <v>76</v>
      </c>
      <c r="F32" s="92">
        <v>0</v>
      </c>
      <c r="G32" s="219">
        <f>IF(F32&gt;0,F32,
IF(B32&lt;&gt;"",
IF(C32="CLT",VLOOKUP(B32,'Lista Profissionais'!$C$11:$H$348,3,0),
VLOOKUP(B32,'Lista Profissionais'!$C$11:$H$348,6,0)), 0))</f>
        <v>13650</v>
      </c>
      <c r="H32" s="219">
        <f>IF(B32&lt;&gt;"",
IF(C32="CLT",
       22*$M$5 + (G32*'Lista Profissionais'!$G$9),0),0)</f>
        <v>0</v>
      </c>
      <c r="I32" s="66">
        <f t="shared" si="0"/>
        <v>13650</v>
      </c>
      <c r="J32" s="66">
        <f t="shared" si="1"/>
        <v>13650</v>
      </c>
      <c r="K32" s="66">
        <f t="shared" si="2"/>
        <v>19794.001499999998</v>
      </c>
      <c r="L32" s="93">
        <f t="shared" si="23"/>
        <v>77.556818181818187</v>
      </c>
      <c r="M32" s="151"/>
      <c r="N32" s="152">
        <v>0</v>
      </c>
      <c r="O32" s="69">
        <f t="shared" si="3"/>
        <v>0</v>
      </c>
      <c r="P32" s="69">
        <f t="shared" si="4"/>
        <v>25935</v>
      </c>
      <c r="Q32" s="70">
        <f t="shared" si="5"/>
        <v>25935</v>
      </c>
      <c r="R32" s="153">
        <f t="shared" si="24"/>
        <v>778.05</v>
      </c>
      <c r="S32" s="70">
        <v>0</v>
      </c>
      <c r="T32" s="165">
        <f t="shared" si="6"/>
        <v>26713.05</v>
      </c>
      <c r="U32" s="163">
        <f t="shared" si="7"/>
        <v>151.77869318181817</v>
      </c>
      <c r="V32" s="164">
        <f t="shared" si="25"/>
        <v>0</v>
      </c>
      <c r="W32" s="164">
        <f t="shared" si="8"/>
        <v>0</v>
      </c>
      <c r="X32" s="144">
        <f t="shared" si="9"/>
        <v>0</v>
      </c>
      <c r="Y32" s="150">
        <f t="shared" si="10"/>
        <v>0</v>
      </c>
      <c r="Z32" s="150">
        <f t="shared" si="11"/>
        <v>0</v>
      </c>
      <c r="AA32" s="150">
        <f t="shared" si="12"/>
        <v>0</v>
      </c>
      <c r="AB32" s="182">
        <f t="shared" si="13"/>
        <v>0</v>
      </c>
      <c r="AC32" s="182">
        <f t="shared" si="14"/>
        <v>0</v>
      </c>
      <c r="AD32" s="182">
        <f t="shared" si="15"/>
        <v>0</v>
      </c>
      <c r="AE32" s="180">
        <f t="shared" si="16"/>
        <v>0</v>
      </c>
      <c r="AF32" s="150">
        <f t="shared" si="17"/>
        <v>0</v>
      </c>
      <c r="AG32" s="150">
        <f t="shared" si="18"/>
        <v>0</v>
      </c>
      <c r="AH32" s="150">
        <f t="shared" si="26"/>
        <v>0</v>
      </c>
      <c r="AI32" s="154">
        <f t="shared" si="19"/>
        <v>6144.0015000000003</v>
      </c>
      <c r="AJ32" s="70">
        <f t="shared" si="20"/>
        <v>6140.998499999997</v>
      </c>
      <c r="AK32" s="155">
        <f t="shared" si="21"/>
        <v>0.22988758303525794</v>
      </c>
      <c r="AL32" s="155">
        <f t="shared" si="22"/>
        <v>0.29855530264319219</v>
      </c>
    </row>
    <row r="33" spans="2:38" ht="14.25" customHeight="1" x14ac:dyDescent="0.25">
      <c r="B33" s="174" t="s">
        <v>357</v>
      </c>
      <c r="C33" s="171" t="s">
        <v>73</v>
      </c>
      <c r="D33" s="103">
        <v>176</v>
      </c>
      <c r="E33" s="104" t="s">
        <v>76</v>
      </c>
      <c r="F33" s="92">
        <v>0</v>
      </c>
      <c r="G33" s="219">
        <f>IF(F33&gt;0,F33,
IF(B33&lt;&gt;"",
IF(C33="CLT",VLOOKUP(B33,'Lista Profissionais'!$C$11:$H$348,3,0),
VLOOKUP(B33,'Lista Profissionais'!$C$11:$H$348,6,0)), 0))</f>
        <v>14300</v>
      </c>
      <c r="H33" s="219">
        <f>IF(B33&lt;&gt;"",
IF(C33="CLT",
       22*$M$5 + (G33*'Lista Profissionais'!$G$9),0),0)</f>
        <v>0</v>
      </c>
      <c r="I33" s="66">
        <f t="shared" si="0"/>
        <v>14300</v>
      </c>
      <c r="J33" s="66">
        <f t="shared" si="1"/>
        <v>14300</v>
      </c>
      <c r="K33" s="66">
        <f t="shared" si="2"/>
        <v>20736.573</v>
      </c>
      <c r="L33" s="93">
        <f t="shared" si="23"/>
        <v>81.25</v>
      </c>
      <c r="M33" s="151"/>
      <c r="N33" s="152">
        <v>0</v>
      </c>
      <c r="O33" s="69">
        <f t="shared" si="3"/>
        <v>0</v>
      </c>
      <c r="P33" s="69">
        <f t="shared" si="4"/>
        <v>27170</v>
      </c>
      <c r="Q33" s="70">
        <f t="shared" si="5"/>
        <v>27170</v>
      </c>
      <c r="R33" s="153">
        <f t="shared" si="24"/>
        <v>815.1</v>
      </c>
      <c r="S33" s="70">
        <v>0</v>
      </c>
      <c r="T33" s="165">
        <f t="shared" si="6"/>
        <v>27985.1</v>
      </c>
      <c r="U33" s="163">
        <f t="shared" si="7"/>
        <v>159.00624999999999</v>
      </c>
      <c r="V33" s="164">
        <f t="shared" si="25"/>
        <v>0</v>
      </c>
      <c r="W33" s="164">
        <f t="shared" si="8"/>
        <v>0</v>
      </c>
      <c r="X33" s="144">
        <f t="shared" si="9"/>
        <v>0</v>
      </c>
      <c r="Y33" s="150">
        <f t="shared" si="10"/>
        <v>0</v>
      </c>
      <c r="Z33" s="150">
        <f t="shared" si="11"/>
        <v>0</v>
      </c>
      <c r="AA33" s="150">
        <f t="shared" si="12"/>
        <v>0</v>
      </c>
      <c r="AB33" s="182">
        <f t="shared" si="13"/>
        <v>0</v>
      </c>
      <c r="AC33" s="182">
        <f t="shared" si="14"/>
        <v>0</v>
      </c>
      <c r="AD33" s="182">
        <f t="shared" si="15"/>
        <v>0</v>
      </c>
      <c r="AE33" s="180">
        <f t="shared" si="16"/>
        <v>0</v>
      </c>
      <c r="AF33" s="150">
        <f t="shared" si="17"/>
        <v>0</v>
      </c>
      <c r="AG33" s="150">
        <f t="shared" si="18"/>
        <v>0</v>
      </c>
      <c r="AH33" s="150">
        <f t="shared" si="26"/>
        <v>0</v>
      </c>
      <c r="AI33" s="154">
        <f t="shared" si="19"/>
        <v>6436.5730000000003</v>
      </c>
      <c r="AJ33" s="70">
        <f t="shared" si="20"/>
        <v>6433.4269999999979</v>
      </c>
      <c r="AK33" s="155">
        <f t="shared" si="21"/>
        <v>0.22988758303525797</v>
      </c>
      <c r="AL33" s="155">
        <f t="shared" si="22"/>
        <v>0.29855530264319219</v>
      </c>
    </row>
    <row r="34" spans="2:38" ht="14.25" customHeight="1" x14ac:dyDescent="0.25">
      <c r="B34" s="174" t="s">
        <v>358</v>
      </c>
      <c r="C34" s="171" t="s">
        <v>73</v>
      </c>
      <c r="D34" s="103">
        <v>176</v>
      </c>
      <c r="E34" s="104" t="s">
        <v>76</v>
      </c>
      <c r="F34" s="92">
        <v>0</v>
      </c>
      <c r="G34" s="219">
        <f>IF(F34&gt;0,F34,
IF(B34&lt;&gt;"",
IF(C34="CLT",VLOOKUP(B34,'Lista Profissionais'!$C$11:$H$348,3,0),
VLOOKUP(B34,'Lista Profissionais'!$C$11:$H$348,6,0)), 0))</f>
        <v>5200</v>
      </c>
      <c r="H34" s="219">
        <f>IF(B34&lt;&gt;"",
IF(C34="CLT",
       22*$M$5 + (G34*'Lista Profissionais'!$G$9),0),0)</f>
        <v>0</v>
      </c>
      <c r="I34" s="66">
        <f t="shared" si="0"/>
        <v>5200</v>
      </c>
      <c r="J34" s="66">
        <f t="shared" si="1"/>
        <v>5200</v>
      </c>
      <c r="K34" s="66">
        <f t="shared" si="2"/>
        <v>7540.5720000000001</v>
      </c>
      <c r="L34" s="93">
        <f t="shared" si="23"/>
        <v>29.545454545454547</v>
      </c>
      <c r="M34" s="151"/>
      <c r="N34" s="152">
        <v>0</v>
      </c>
      <c r="O34" s="69">
        <f t="shared" si="3"/>
        <v>0</v>
      </c>
      <c r="P34" s="69">
        <f t="shared" si="4"/>
        <v>9880</v>
      </c>
      <c r="Q34" s="70">
        <f t="shared" si="5"/>
        <v>9880</v>
      </c>
      <c r="R34" s="153">
        <f t="shared" si="24"/>
        <v>296.39999999999998</v>
      </c>
      <c r="S34" s="70">
        <v>0</v>
      </c>
      <c r="T34" s="165">
        <f t="shared" si="6"/>
        <v>10176.4</v>
      </c>
      <c r="U34" s="163">
        <f t="shared" si="7"/>
        <v>57.820454545454545</v>
      </c>
      <c r="V34" s="164">
        <f t="shared" si="25"/>
        <v>0</v>
      </c>
      <c r="W34" s="164">
        <f t="shared" si="8"/>
        <v>0</v>
      </c>
      <c r="X34" s="144">
        <f t="shared" si="9"/>
        <v>0</v>
      </c>
      <c r="Y34" s="150">
        <f t="shared" si="10"/>
        <v>0</v>
      </c>
      <c r="Z34" s="150">
        <f t="shared" si="11"/>
        <v>0</v>
      </c>
      <c r="AA34" s="150">
        <f t="shared" si="12"/>
        <v>0</v>
      </c>
      <c r="AB34" s="182">
        <f t="shared" si="13"/>
        <v>0</v>
      </c>
      <c r="AC34" s="182">
        <f t="shared" si="14"/>
        <v>0</v>
      </c>
      <c r="AD34" s="182">
        <f t="shared" si="15"/>
        <v>0</v>
      </c>
      <c r="AE34" s="180">
        <f t="shared" si="16"/>
        <v>0</v>
      </c>
      <c r="AF34" s="150">
        <f t="shared" si="17"/>
        <v>0</v>
      </c>
      <c r="AG34" s="150">
        <f t="shared" si="18"/>
        <v>0</v>
      </c>
      <c r="AH34" s="150">
        <f t="shared" si="26"/>
        <v>0</v>
      </c>
      <c r="AI34" s="154">
        <f t="shared" si="19"/>
        <v>2340.5720000000001</v>
      </c>
      <c r="AJ34" s="70">
        <f t="shared" si="20"/>
        <v>2339.4279999999994</v>
      </c>
      <c r="AK34" s="155">
        <f t="shared" si="21"/>
        <v>0.229887583035258</v>
      </c>
      <c r="AL34" s="155">
        <f t="shared" si="22"/>
        <v>0.29855530264319219</v>
      </c>
    </row>
    <row r="35" spans="2:38" ht="14.25" customHeight="1" x14ac:dyDescent="0.25">
      <c r="B35" s="174" t="s">
        <v>359</v>
      </c>
      <c r="C35" s="171" t="s">
        <v>73</v>
      </c>
      <c r="D35" s="103">
        <v>176</v>
      </c>
      <c r="E35" s="104" t="s">
        <v>76</v>
      </c>
      <c r="F35" s="92">
        <v>0</v>
      </c>
      <c r="G35" s="219">
        <f>IF(F35&gt;0,F35,
IF(B35&lt;&gt;"",
IF(C35="CLT",VLOOKUP(B35,'Lista Profissionais'!$C$11:$H$348,3,0),
VLOOKUP(B35,'Lista Profissionais'!$C$11:$H$348,6,0)), 0))</f>
        <v>7800</v>
      </c>
      <c r="H35" s="219">
        <f>IF(B35&lt;&gt;"",
IF(C35="CLT",
       22*$M$5 + (G35*'Lista Profissionais'!$G$9),0),0)</f>
        <v>0</v>
      </c>
      <c r="I35" s="66">
        <f t="shared" si="0"/>
        <v>7800</v>
      </c>
      <c r="J35" s="66">
        <f t="shared" si="1"/>
        <v>7800</v>
      </c>
      <c r="K35" s="66">
        <f t="shared" si="2"/>
        <v>11310.858</v>
      </c>
      <c r="L35" s="93">
        <f t="shared" si="23"/>
        <v>44.31818181818182</v>
      </c>
      <c r="M35" s="151"/>
      <c r="N35" s="152">
        <v>0</v>
      </c>
      <c r="O35" s="69">
        <f t="shared" si="3"/>
        <v>0</v>
      </c>
      <c r="P35" s="69">
        <f t="shared" si="4"/>
        <v>14820</v>
      </c>
      <c r="Q35" s="70">
        <f t="shared" si="5"/>
        <v>14820</v>
      </c>
      <c r="R35" s="153">
        <f t="shared" si="24"/>
        <v>444.59999999999997</v>
      </c>
      <c r="S35" s="70">
        <v>0</v>
      </c>
      <c r="T35" s="165">
        <f t="shared" si="6"/>
        <v>15264.6</v>
      </c>
      <c r="U35" s="163">
        <f t="shared" si="7"/>
        <v>86.730681818181822</v>
      </c>
      <c r="V35" s="164">
        <f t="shared" si="25"/>
        <v>0</v>
      </c>
      <c r="W35" s="164">
        <f t="shared" si="8"/>
        <v>0</v>
      </c>
      <c r="X35" s="144">
        <f t="shared" si="9"/>
        <v>0</v>
      </c>
      <c r="Y35" s="150">
        <f t="shared" si="10"/>
        <v>0</v>
      </c>
      <c r="Z35" s="150">
        <f t="shared" si="11"/>
        <v>0</v>
      </c>
      <c r="AA35" s="150">
        <f t="shared" si="12"/>
        <v>0</v>
      </c>
      <c r="AB35" s="182">
        <f t="shared" si="13"/>
        <v>0</v>
      </c>
      <c r="AC35" s="182">
        <f t="shared" si="14"/>
        <v>0</v>
      </c>
      <c r="AD35" s="182">
        <f t="shared" si="15"/>
        <v>0</v>
      </c>
      <c r="AE35" s="180">
        <f t="shared" si="16"/>
        <v>0</v>
      </c>
      <c r="AF35" s="150">
        <f t="shared" si="17"/>
        <v>0</v>
      </c>
      <c r="AG35" s="150">
        <f t="shared" si="18"/>
        <v>0</v>
      </c>
      <c r="AH35" s="150">
        <f t="shared" si="26"/>
        <v>0</v>
      </c>
      <c r="AI35" s="154">
        <f t="shared" si="19"/>
        <v>3510.8580000000002</v>
      </c>
      <c r="AJ35" s="70">
        <f t="shared" si="20"/>
        <v>3509.1420000000003</v>
      </c>
      <c r="AK35" s="155">
        <f t="shared" si="21"/>
        <v>0.22988758303525805</v>
      </c>
      <c r="AL35" s="155">
        <f t="shared" si="22"/>
        <v>0.2985553026431923</v>
      </c>
    </row>
    <row r="36" spans="2:38" ht="14.25" customHeight="1" x14ac:dyDescent="0.25">
      <c r="B36" s="174" t="s">
        <v>360</v>
      </c>
      <c r="C36" s="171" t="s">
        <v>73</v>
      </c>
      <c r="D36" s="103">
        <v>176</v>
      </c>
      <c r="E36" s="104" t="s">
        <v>76</v>
      </c>
      <c r="F36" s="92">
        <v>0</v>
      </c>
      <c r="G36" s="219">
        <f>IF(F36&gt;0,F36,
IF(B36&lt;&gt;"",
IF(C36="CLT",VLOOKUP(B36,'Lista Profissionais'!$C$11:$H$348,3,0),
VLOOKUP(B36,'Lista Profissionais'!$C$11:$H$348,6,0)), 0))</f>
        <v>10400</v>
      </c>
      <c r="H36" s="219">
        <f>IF(B36&lt;&gt;"",
IF(C36="CLT",
       22*$M$5 + (G36*'Lista Profissionais'!$G$9),0),0)</f>
        <v>0</v>
      </c>
      <c r="I36" s="66">
        <f t="shared" si="0"/>
        <v>10400</v>
      </c>
      <c r="J36" s="66">
        <f t="shared" si="1"/>
        <v>10400</v>
      </c>
      <c r="K36" s="66">
        <f t="shared" si="2"/>
        <v>15081.144</v>
      </c>
      <c r="L36" s="93">
        <f t="shared" si="23"/>
        <v>59.090909090909093</v>
      </c>
      <c r="M36" s="151"/>
      <c r="N36" s="152">
        <v>0</v>
      </c>
      <c r="O36" s="69">
        <f t="shared" si="3"/>
        <v>0</v>
      </c>
      <c r="P36" s="69">
        <f t="shared" si="4"/>
        <v>19760</v>
      </c>
      <c r="Q36" s="70">
        <f t="shared" si="5"/>
        <v>19760</v>
      </c>
      <c r="R36" s="153">
        <f t="shared" si="24"/>
        <v>592.79999999999995</v>
      </c>
      <c r="S36" s="70">
        <v>0</v>
      </c>
      <c r="T36" s="165">
        <f t="shared" si="6"/>
        <v>20352.8</v>
      </c>
      <c r="U36" s="163">
        <f t="shared" si="7"/>
        <v>115.64090909090909</v>
      </c>
      <c r="V36" s="164">
        <f t="shared" si="25"/>
        <v>0</v>
      </c>
      <c r="W36" s="164">
        <f t="shared" si="8"/>
        <v>0</v>
      </c>
      <c r="X36" s="144">
        <f t="shared" si="9"/>
        <v>0</v>
      </c>
      <c r="Y36" s="150">
        <f t="shared" si="10"/>
        <v>0</v>
      </c>
      <c r="Z36" s="150">
        <f t="shared" si="11"/>
        <v>0</v>
      </c>
      <c r="AA36" s="150">
        <f t="shared" si="12"/>
        <v>0</v>
      </c>
      <c r="AB36" s="182">
        <f t="shared" si="13"/>
        <v>0</v>
      </c>
      <c r="AC36" s="182">
        <f t="shared" si="14"/>
        <v>0</v>
      </c>
      <c r="AD36" s="182">
        <f t="shared" si="15"/>
        <v>0</v>
      </c>
      <c r="AE36" s="180">
        <f t="shared" si="16"/>
        <v>0</v>
      </c>
      <c r="AF36" s="150">
        <f t="shared" si="17"/>
        <v>0</v>
      </c>
      <c r="AG36" s="150">
        <f t="shared" si="18"/>
        <v>0</v>
      </c>
      <c r="AH36" s="150">
        <f t="shared" si="26"/>
        <v>0</v>
      </c>
      <c r="AI36" s="154">
        <f t="shared" si="19"/>
        <v>4681.1440000000002</v>
      </c>
      <c r="AJ36" s="70">
        <f t="shared" si="20"/>
        <v>4678.8559999999989</v>
      </c>
      <c r="AK36" s="155">
        <f t="shared" si="21"/>
        <v>0.229887583035258</v>
      </c>
      <c r="AL36" s="155">
        <f t="shared" si="22"/>
        <v>0.29855530264319219</v>
      </c>
    </row>
    <row r="37" spans="2:38" ht="14.25" customHeight="1" x14ac:dyDescent="0.25">
      <c r="B37" s="174" t="s">
        <v>267</v>
      </c>
      <c r="C37" s="171" t="s">
        <v>73</v>
      </c>
      <c r="D37" s="103">
        <v>176</v>
      </c>
      <c r="E37" s="104" t="s">
        <v>76</v>
      </c>
      <c r="F37" s="92">
        <v>0</v>
      </c>
      <c r="G37" s="219">
        <f>IF(F37&gt;0,F37,
IF(B37&lt;&gt;"",
IF(C37="CLT",VLOOKUP(B37,'Lista Profissionais'!$C$11:$H$348,3,0),
VLOOKUP(B37,'Lista Profissionais'!$C$11:$H$348,6,0)), 0))</f>
        <v>2990</v>
      </c>
      <c r="H37" s="219">
        <f>IF(B37&lt;&gt;"",
IF(C37="CLT",
       22*$M$5 + (G37*'Lista Profissionais'!$G$9),0),0)</f>
        <v>0</v>
      </c>
      <c r="I37" s="66">
        <f t="shared" si="0"/>
        <v>2990</v>
      </c>
      <c r="J37" s="66">
        <f t="shared" si="1"/>
        <v>2990</v>
      </c>
      <c r="K37" s="66">
        <f t="shared" si="2"/>
        <v>4335.8289000000004</v>
      </c>
      <c r="L37" s="93">
        <f t="shared" si="23"/>
        <v>16.988636363636363</v>
      </c>
      <c r="M37" s="151"/>
      <c r="N37" s="152">
        <v>0</v>
      </c>
      <c r="O37" s="69">
        <f t="shared" si="3"/>
        <v>0</v>
      </c>
      <c r="P37" s="69">
        <f t="shared" si="4"/>
        <v>5681</v>
      </c>
      <c r="Q37" s="70">
        <f t="shared" si="5"/>
        <v>5681</v>
      </c>
      <c r="R37" s="153">
        <f t="shared" si="24"/>
        <v>170.43</v>
      </c>
      <c r="S37" s="70">
        <v>0</v>
      </c>
      <c r="T37" s="165">
        <f t="shared" si="6"/>
        <v>5851.43</v>
      </c>
      <c r="U37" s="163">
        <f t="shared" si="7"/>
        <v>33.246761363636367</v>
      </c>
      <c r="V37" s="164">
        <f t="shared" si="25"/>
        <v>0</v>
      </c>
      <c r="W37" s="164">
        <f t="shared" si="8"/>
        <v>0</v>
      </c>
      <c r="X37" s="144">
        <f t="shared" si="9"/>
        <v>0</v>
      </c>
      <c r="Y37" s="150">
        <f t="shared" si="10"/>
        <v>0</v>
      </c>
      <c r="Z37" s="150">
        <f t="shared" si="11"/>
        <v>0</v>
      </c>
      <c r="AA37" s="150">
        <f t="shared" si="12"/>
        <v>0</v>
      </c>
      <c r="AB37" s="182">
        <f t="shared" si="13"/>
        <v>0</v>
      </c>
      <c r="AC37" s="182">
        <f t="shared" si="14"/>
        <v>0</v>
      </c>
      <c r="AD37" s="182">
        <f t="shared" si="15"/>
        <v>0</v>
      </c>
      <c r="AE37" s="180">
        <f t="shared" si="16"/>
        <v>0</v>
      </c>
      <c r="AF37" s="150">
        <f t="shared" si="17"/>
        <v>0</v>
      </c>
      <c r="AG37" s="150">
        <f t="shared" si="18"/>
        <v>0</v>
      </c>
      <c r="AH37" s="150">
        <f t="shared" si="26"/>
        <v>0</v>
      </c>
      <c r="AI37" s="154">
        <f t="shared" si="19"/>
        <v>1345.8289000000002</v>
      </c>
      <c r="AJ37" s="70">
        <f t="shared" si="20"/>
        <v>1345.1710999999998</v>
      </c>
      <c r="AK37" s="155">
        <f t="shared" si="21"/>
        <v>0.229887583035258</v>
      </c>
      <c r="AL37" s="155">
        <f t="shared" si="22"/>
        <v>0.29855530264319224</v>
      </c>
    </row>
    <row r="38" spans="2:38" ht="14.25" customHeight="1" x14ac:dyDescent="0.25">
      <c r="B38" s="174" t="s">
        <v>268</v>
      </c>
      <c r="C38" s="171" t="s">
        <v>73</v>
      </c>
      <c r="D38" s="103">
        <v>176</v>
      </c>
      <c r="E38" s="104" t="s">
        <v>76</v>
      </c>
      <c r="F38" s="92">
        <v>0</v>
      </c>
      <c r="G38" s="219">
        <f>IF(F38&gt;0,F38,
IF(B38&lt;&gt;"",
IF(C38="CLT",VLOOKUP(B38,'Lista Profissionais'!$C$11:$H$348,3,0),
VLOOKUP(B38,'Lista Profissionais'!$C$11:$H$348,6,0)), 0))</f>
        <v>4420</v>
      </c>
      <c r="H38" s="219">
        <f>IF(B38&lt;&gt;"",
IF(C38="CLT",
       22*$M$5 + (G38*'Lista Profissionais'!$G$9),0),0)</f>
        <v>0</v>
      </c>
      <c r="I38" s="66">
        <f t="shared" si="0"/>
        <v>4420</v>
      </c>
      <c r="J38" s="66">
        <f t="shared" si="1"/>
        <v>4420</v>
      </c>
      <c r="K38" s="66">
        <f t="shared" si="2"/>
        <v>6409.4862000000003</v>
      </c>
      <c r="L38" s="93">
        <f t="shared" si="23"/>
        <v>25.113636363636363</v>
      </c>
      <c r="M38" s="151"/>
      <c r="N38" s="152">
        <v>0</v>
      </c>
      <c r="O38" s="69">
        <f t="shared" si="3"/>
        <v>0</v>
      </c>
      <c r="P38" s="69">
        <f t="shared" si="4"/>
        <v>8398</v>
      </c>
      <c r="Q38" s="70">
        <f t="shared" si="5"/>
        <v>8398</v>
      </c>
      <c r="R38" s="153">
        <f t="shared" si="24"/>
        <v>251.94</v>
      </c>
      <c r="S38" s="70">
        <v>0</v>
      </c>
      <c r="T38" s="165">
        <f t="shared" si="6"/>
        <v>8649.94</v>
      </c>
      <c r="U38" s="163">
        <f t="shared" si="7"/>
        <v>49.147386363636365</v>
      </c>
      <c r="V38" s="164">
        <f t="shared" si="25"/>
        <v>0</v>
      </c>
      <c r="W38" s="164">
        <f t="shared" si="8"/>
        <v>0</v>
      </c>
      <c r="X38" s="144">
        <f t="shared" si="9"/>
        <v>0</v>
      </c>
      <c r="Y38" s="150">
        <f t="shared" si="10"/>
        <v>0</v>
      </c>
      <c r="Z38" s="150">
        <f t="shared" si="11"/>
        <v>0</v>
      </c>
      <c r="AA38" s="150">
        <f t="shared" si="12"/>
        <v>0</v>
      </c>
      <c r="AB38" s="182">
        <f t="shared" si="13"/>
        <v>0</v>
      </c>
      <c r="AC38" s="182">
        <f t="shared" si="14"/>
        <v>0</v>
      </c>
      <c r="AD38" s="182">
        <f t="shared" si="15"/>
        <v>0</v>
      </c>
      <c r="AE38" s="180">
        <f t="shared" si="16"/>
        <v>0</v>
      </c>
      <c r="AF38" s="150">
        <f t="shared" si="17"/>
        <v>0</v>
      </c>
      <c r="AG38" s="150">
        <f t="shared" si="18"/>
        <v>0</v>
      </c>
      <c r="AH38" s="150">
        <f t="shared" si="26"/>
        <v>0</v>
      </c>
      <c r="AI38" s="154">
        <f t="shared" si="19"/>
        <v>1989.4862000000003</v>
      </c>
      <c r="AJ38" s="70">
        <f t="shared" si="20"/>
        <v>1988.5138000000002</v>
      </c>
      <c r="AK38" s="155">
        <f t="shared" si="21"/>
        <v>0.22988758303525805</v>
      </c>
      <c r="AL38" s="155">
        <f t="shared" si="22"/>
        <v>0.2985553026431923</v>
      </c>
    </row>
    <row r="39" spans="2:38" ht="14.25" customHeight="1" x14ac:dyDescent="0.25">
      <c r="B39" s="174" t="s">
        <v>269</v>
      </c>
      <c r="C39" s="171" t="s">
        <v>73</v>
      </c>
      <c r="D39" s="103">
        <v>176</v>
      </c>
      <c r="E39" s="104" t="s">
        <v>76</v>
      </c>
      <c r="F39" s="92">
        <v>0</v>
      </c>
      <c r="G39" s="219">
        <f>IF(F39&gt;0,F39,
IF(B39&lt;&gt;"",
IF(C39="CLT",VLOOKUP(B39,'Lista Profissionais'!$C$11:$H$348,3,0),
VLOOKUP(B39,'Lista Profissionais'!$C$11:$H$348,6,0)), 0))</f>
        <v>6825</v>
      </c>
      <c r="H39" s="219">
        <f>IF(B39&lt;&gt;"",
IF(C39="CLT",
       22*$M$5 + (G39*'Lista Profissionais'!$G$9),0),0)</f>
        <v>0</v>
      </c>
      <c r="I39" s="66">
        <f t="shared" si="0"/>
        <v>6825</v>
      </c>
      <c r="J39" s="66">
        <f t="shared" si="1"/>
        <v>6825</v>
      </c>
      <c r="K39" s="66">
        <f t="shared" si="2"/>
        <v>9897.0007499999992</v>
      </c>
      <c r="L39" s="93">
        <f t="shared" si="23"/>
        <v>38.778409090909093</v>
      </c>
      <c r="M39" s="151"/>
      <c r="N39" s="152">
        <v>0</v>
      </c>
      <c r="O39" s="69">
        <f t="shared" si="3"/>
        <v>0</v>
      </c>
      <c r="P39" s="69">
        <f t="shared" si="4"/>
        <v>12967.5</v>
      </c>
      <c r="Q39" s="70">
        <f t="shared" si="5"/>
        <v>12967.5</v>
      </c>
      <c r="R39" s="153">
        <f t="shared" si="24"/>
        <v>389.02499999999998</v>
      </c>
      <c r="S39" s="70">
        <v>0</v>
      </c>
      <c r="T39" s="165">
        <f t="shared" si="6"/>
        <v>13356.525</v>
      </c>
      <c r="U39" s="163">
        <f t="shared" si="7"/>
        <v>75.889346590909085</v>
      </c>
      <c r="V39" s="164">
        <f t="shared" si="25"/>
        <v>0</v>
      </c>
      <c r="W39" s="164">
        <f t="shared" si="8"/>
        <v>0</v>
      </c>
      <c r="X39" s="144">
        <f t="shared" si="9"/>
        <v>0</v>
      </c>
      <c r="Y39" s="150">
        <f t="shared" si="10"/>
        <v>0</v>
      </c>
      <c r="Z39" s="150">
        <f t="shared" si="11"/>
        <v>0</v>
      </c>
      <c r="AA39" s="150">
        <f t="shared" si="12"/>
        <v>0</v>
      </c>
      <c r="AB39" s="182">
        <f t="shared" si="13"/>
        <v>0</v>
      </c>
      <c r="AC39" s="182">
        <f t="shared" si="14"/>
        <v>0</v>
      </c>
      <c r="AD39" s="182">
        <f t="shared" si="15"/>
        <v>0</v>
      </c>
      <c r="AE39" s="180">
        <f t="shared" si="16"/>
        <v>0</v>
      </c>
      <c r="AF39" s="150">
        <f t="shared" si="17"/>
        <v>0</v>
      </c>
      <c r="AG39" s="150">
        <f t="shared" si="18"/>
        <v>0</v>
      </c>
      <c r="AH39" s="150">
        <f t="shared" si="26"/>
        <v>0</v>
      </c>
      <c r="AI39" s="154">
        <f t="shared" si="19"/>
        <v>3072.0007500000002</v>
      </c>
      <c r="AJ39" s="70">
        <f t="shared" si="20"/>
        <v>3070.4992499999985</v>
      </c>
      <c r="AK39" s="155">
        <f t="shared" si="21"/>
        <v>0.22988758303525794</v>
      </c>
      <c r="AL39" s="155">
        <f t="shared" si="22"/>
        <v>0.29855530264319219</v>
      </c>
    </row>
    <row r="40" spans="2:38" ht="14.25" customHeight="1" x14ac:dyDescent="0.25">
      <c r="B40" s="174" t="s">
        <v>270</v>
      </c>
      <c r="C40" s="171" t="s">
        <v>73</v>
      </c>
      <c r="D40" s="103">
        <v>176</v>
      </c>
      <c r="E40" s="104" t="s">
        <v>76</v>
      </c>
      <c r="F40" s="92">
        <v>0</v>
      </c>
      <c r="G40" s="219">
        <f>IF(F40&gt;0,F40,
IF(B40&lt;&gt;"",
IF(C40="CLT",VLOOKUP(B40,'Lista Profissionais'!$C$11:$H$348,3,0),
VLOOKUP(B40,'Lista Profissionais'!$C$11:$H$348,6,0)), 0))</f>
        <v>3900</v>
      </c>
      <c r="H40" s="219">
        <f>IF(B40&lt;&gt;"",
IF(C40="CLT",
       22*$M$5 + (G40*'Lista Profissionais'!$G$9),0),0)</f>
        <v>0</v>
      </c>
      <c r="I40" s="66">
        <f t="shared" si="0"/>
        <v>3900</v>
      </c>
      <c r="J40" s="66">
        <f t="shared" si="1"/>
        <v>3900</v>
      </c>
      <c r="K40" s="66">
        <f t="shared" si="2"/>
        <v>5655.4290000000001</v>
      </c>
      <c r="L40" s="93">
        <f t="shared" si="23"/>
        <v>22.15909090909091</v>
      </c>
      <c r="M40" s="151"/>
      <c r="N40" s="152">
        <v>0</v>
      </c>
      <c r="O40" s="69">
        <f t="shared" si="3"/>
        <v>0</v>
      </c>
      <c r="P40" s="69">
        <f t="shared" si="4"/>
        <v>7410</v>
      </c>
      <c r="Q40" s="70">
        <f t="shared" si="5"/>
        <v>7410</v>
      </c>
      <c r="R40" s="153">
        <f t="shared" si="24"/>
        <v>222.29999999999998</v>
      </c>
      <c r="S40" s="70">
        <v>0</v>
      </c>
      <c r="T40" s="165">
        <f t="shared" si="6"/>
        <v>7632.3</v>
      </c>
      <c r="U40" s="163">
        <f t="shared" si="7"/>
        <v>43.365340909090911</v>
      </c>
      <c r="V40" s="164">
        <f t="shared" si="25"/>
        <v>0</v>
      </c>
      <c r="W40" s="164">
        <f t="shared" si="8"/>
        <v>0</v>
      </c>
      <c r="X40" s="144">
        <f t="shared" si="9"/>
        <v>0</v>
      </c>
      <c r="Y40" s="150">
        <f t="shared" si="10"/>
        <v>0</v>
      </c>
      <c r="Z40" s="150">
        <f t="shared" si="11"/>
        <v>0</v>
      </c>
      <c r="AA40" s="150">
        <f t="shared" si="12"/>
        <v>0</v>
      </c>
      <c r="AB40" s="182">
        <f t="shared" si="13"/>
        <v>0</v>
      </c>
      <c r="AC40" s="182">
        <f t="shared" si="14"/>
        <v>0</v>
      </c>
      <c r="AD40" s="182">
        <f t="shared" si="15"/>
        <v>0</v>
      </c>
      <c r="AE40" s="180">
        <f t="shared" si="16"/>
        <v>0</v>
      </c>
      <c r="AF40" s="150">
        <f t="shared" si="17"/>
        <v>0</v>
      </c>
      <c r="AG40" s="150">
        <f t="shared" si="18"/>
        <v>0</v>
      </c>
      <c r="AH40" s="150">
        <f t="shared" si="26"/>
        <v>0</v>
      </c>
      <c r="AI40" s="154">
        <f t="shared" si="19"/>
        <v>1755.4290000000001</v>
      </c>
      <c r="AJ40" s="70">
        <f t="shared" si="20"/>
        <v>1754.5710000000001</v>
      </c>
      <c r="AK40" s="155">
        <f t="shared" si="21"/>
        <v>0.22988758303525805</v>
      </c>
      <c r="AL40" s="155">
        <f t="shared" si="22"/>
        <v>0.2985553026431923</v>
      </c>
    </row>
    <row r="41" spans="2:38" ht="14.25" customHeight="1" x14ac:dyDescent="0.25">
      <c r="B41" s="174" t="s">
        <v>271</v>
      </c>
      <c r="C41" s="171" t="s">
        <v>73</v>
      </c>
      <c r="D41" s="103">
        <v>176</v>
      </c>
      <c r="E41" s="104" t="s">
        <v>76</v>
      </c>
      <c r="F41" s="92">
        <v>0</v>
      </c>
      <c r="G41" s="219">
        <f>IF(F41&gt;0,F41,
IF(B41&lt;&gt;"",
IF(C41="CLT",VLOOKUP(B41,'Lista Profissionais'!$C$11:$H$348,3,0),
VLOOKUP(B41,'Lista Profissionais'!$C$11:$H$348,6,0)), 0))</f>
        <v>5200</v>
      </c>
      <c r="H41" s="219">
        <f>IF(B41&lt;&gt;"",
IF(C41="CLT",
       22*$M$5 + (G41*'Lista Profissionais'!$G$9),0),0)</f>
        <v>0</v>
      </c>
      <c r="I41" s="66">
        <f t="shared" si="0"/>
        <v>5200</v>
      </c>
      <c r="J41" s="66">
        <f t="shared" si="1"/>
        <v>5200</v>
      </c>
      <c r="K41" s="66">
        <f t="shared" si="2"/>
        <v>7540.5720000000001</v>
      </c>
      <c r="L41" s="93">
        <f t="shared" si="23"/>
        <v>29.545454545454547</v>
      </c>
      <c r="M41" s="151"/>
      <c r="N41" s="152">
        <v>0</v>
      </c>
      <c r="O41" s="69">
        <f t="shared" si="3"/>
        <v>0</v>
      </c>
      <c r="P41" s="69">
        <f t="shared" si="4"/>
        <v>9880</v>
      </c>
      <c r="Q41" s="70">
        <f t="shared" si="5"/>
        <v>9880</v>
      </c>
      <c r="R41" s="153">
        <f t="shared" si="24"/>
        <v>296.39999999999998</v>
      </c>
      <c r="S41" s="70">
        <v>0</v>
      </c>
      <c r="T41" s="165">
        <f t="shared" si="6"/>
        <v>10176.4</v>
      </c>
      <c r="U41" s="163">
        <f t="shared" si="7"/>
        <v>57.820454545454545</v>
      </c>
      <c r="V41" s="164">
        <f t="shared" si="25"/>
        <v>0</v>
      </c>
      <c r="W41" s="164">
        <f t="shared" si="8"/>
        <v>0</v>
      </c>
      <c r="X41" s="144">
        <f t="shared" si="9"/>
        <v>0</v>
      </c>
      <c r="Y41" s="150">
        <f t="shared" si="10"/>
        <v>0</v>
      </c>
      <c r="Z41" s="150">
        <f t="shared" si="11"/>
        <v>0</v>
      </c>
      <c r="AA41" s="150">
        <f t="shared" si="12"/>
        <v>0</v>
      </c>
      <c r="AB41" s="182">
        <f t="shared" si="13"/>
        <v>0</v>
      </c>
      <c r="AC41" s="182">
        <f t="shared" si="14"/>
        <v>0</v>
      </c>
      <c r="AD41" s="182">
        <f t="shared" si="15"/>
        <v>0</v>
      </c>
      <c r="AE41" s="180">
        <f t="shared" si="16"/>
        <v>0</v>
      </c>
      <c r="AF41" s="150">
        <f t="shared" si="17"/>
        <v>0</v>
      </c>
      <c r="AG41" s="150">
        <f t="shared" si="18"/>
        <v>0</v>
      </c>
      <c r="AH41" s="150">
        <f t="shared" si="26"/>
        <v>0</v>
      </c>
      <c r="AI41" s="154">
        <f t="shared" si="19"/>
        <v>2340.5720000000001</v>
      </c>
      <c r="AJ41" s="70">
        <f t="shared" si="20"/>
        <v>2339.4279999999994</v>
      </c>
      <c r="AK41" s="155">
        <f t="shared" si="21"/>
        <v>0.229887583035258</v>
      </c>
      <c r="AL41" s="155">
        <f t="shared" si="22"/>
        <v>0.29855530264319219</v>
      </c>
    </row>
    <row r="42" spans="2:38" ht="14.25" customHeight="1" x14ac:dyDescent="0.25">
      <c r="B42" s="174" t="s">
        <v>272</v>
      </c>
      <c r="C42" s="171" t="s">
        <v>73</v>
      </c>
      <c r="D42" s="103">
        <v>176</v>
      </c>
      <c r="E42" s="104" t="s">
        <v>76</v>
      </c>
      <c r="F42" s="92">
        <v>0</v>
      </c>
      <c r="G42" s="219">
        <f>IF(F42&gt;0,F42,
IF(B42&lt;&gt;"",
IF(C42="CLT",VLOOKUP(B42,'Lista Profissionais'!$C$11:$H$348,3,0),
VLOOKUP(B42,'Lista Profissionais'!$C$11:$H$348,6,0)), 0))</f>
        <v>7150</v>
      </c>
      <c r="H42" s="219">
        <f>IF(B42&lt;&gt;"",
IF(C42="CLT",
       22*$M$5 + (G42*'Lista Profissionais'!$G$9),0),0)</f>
        <v>0</v>
      </c>
      <c r="I42" s="66">
        <f t="shared" si="0"/>
        <v>7150</v>
      </c>
      <c r="J42" s="66">
        <f t="shared" si="1"/>
        <v>7150</v>
      </c>
      <c r="K42" s="66">
        <f t="shared" si="2"/>
        <v>10368.2865</v>
      </c>
      <c r="L42" s="93">
        <f t="shared" si="23"/>
        <v>40.625</v>
      </c>
      <c r="M42" s="151"/>
      <c r="N42" s="152">
        <v>0</v>
      </c>
      <c r="O42" s="69">
        <f t="shared" si="3"/>
        <v>0</v>
      </c>
      <c r="P42" s="69">
        <f t="shared" si="4"/>
        <v>13585</v>
      </c>
      <c r="Q42" s="70">
        <f t="shared" si="5"/>
        <v>13585</v>
      </c>
      <c r="R42" s="153">
        <f t="shared" si="24"/>
        <v>407.55</v>
      </c>
      <c r="S42" s="70">
        <v>0</v>
      </c>
      <c r="T42" s="165">
        <f t="shared" si="6"/>
        <v>13992.55</v>
      </c>
      <c r="U42" s="163">
        <f t="shared" si="7"/>
        <v>79.503124999999997</v>
      </c>
      <c r="V42" s="164">
        <f t="shared" si="25"/>
        <v>0</v>
      </c>
      <c r="W42" s="164">
        <f t="shared" si="8"/>
        <v>0</v>
      </c>
      <c r="X42" s="144">
        <f t="shared" si="9"/>
        <v>0</v>
      </c>
      <c r="Y42" s="150">
        <f t="shared" si="10"/>
        <v>0</v>
      </c>
      <c r="Z42" s="150">
        <f t="shared" si="11"/>
        <v>0</v>
      </c>
      <c r="AA42" s="150">
        <f t="shared" si="12"/>
        <v>0</v>
      </c>
      <c r="AB42" s="182">
        <f t="shared" si="13"/>
        <v>0</v>
      </c>
      <c r="AC42" s="182">
        <f t="shared" si="14"/>
        <v>0</v>
      </c>
      <c r="AD42" s="182">
        <f t="shared" si="15"/>
        <v>0</v>
      </c>
      <c r="AE42" s="180">
        <f t="shared" si="16"/>
        <v>0</v>
      </c>
      <c r="AF42" s="150">
        <f t="shared" si="17"/>
        <v>0</v>
      </c>
      <c r="AG42" s="150">
        <f t="shared" si="18"/>
        <v>0</v>
      </c>
      <c r="AH42" s="150">
        <f t="shared" si="26"/>
        <v>0</v>
      </c>
      <c r="AI42" s="154">
        <f t="shared" si="19"/>
        <v>3218.2865000000002</v>
      </c>
      <c r="AJ42" s="70">
        <f t="shared" si="20"/>
        <v>3216.7134999999989</v>
      </c>
      <c r="AK42" s="155">
        <f t="shared" si="21"/>
        <v>0.22988758303525797</v>
      </c>
      <c r="AL42" s="155">
        <f t="shared" si="22"/>
        <v>0.29855530264319219</v>
      </c>
    </row>
    <row r="43" spans="2:38" ht="14.25" customHeight="1" x14ac:dyDescent="0.25">
      <c r="B43" s="174" t="s">
        <v>273</v>
      </c>
      <c r="C43" s="171" t="s">
        <v>73</v>
      </c>
      <c r="D43" s="103">
        <v>176</v>
      </c>
      <c r="E43" s="104" t="s">
        <v>76</v>
      </c>
      <c r="F43" s="92">
        <v>0</v>
      </c>
      <c r="G43" s="219">
        <f>IF(F43&gt;0,F43,
IF(B43&lt;&gt;"",
IF(C43="CLT",VLOOKUP(B43,'Lista Profissionais'!$C$11:$H$348,3,0),
VLOOKUP(B43,'Lista Profissionais'!$C$11:$H$348,6,0)), 0))</f>
        <v>12350</v>
      </c>
      <c r="H43" s="219">
        <f>IF(B43&lt;&gt;"",
IF(C43="CLT",
       22*$M$5 + (G43*'Lista Profissionais'!$G$9),0),0)</f>
        <v>0</v>
      </c>
      <c r="I43" s="66">
        <f t="shared" si="0"/>
        <v>12350</v>
      </c>
      <c r="J43" s="66">
        <f t="shared" si="1"/>
        <v>12350</v>
      </c>
      <c r="K43" s="66">
        <f t="shared" si="2"/>
        <v>17908.858500000002</v>
      </c>
      <c r="L43" s="93">
        <f t="shared" si="23"/>
        <v>70.170454545454547</v>
      </c>
      <c r="M43" s="151"/>
      <c r="N43" s="152">
        <v>0</v>
      </c>
      <c r="O43" s="69">
        <f t="shared" si="3"/>
        <v>0</v>
      </c>
      <c r="P43" s="69">
        <f t="shared" si="4"/>
        <v>23465</v>
      </c>
      <c r="Q43" s="70">
        <f t="shared" si="5"/>
        <v>23465</v>
      </c>
      <c r="R43" s="153">
        <f t="shared" si="24"/>
        <v>703.94999999999993</v>
      </c>
      <c r="S43" s="70">
        <v>0</v>
      </c>
      <c r="T43" s="165">
        <f t="shared" si="6"/>
        <v>24168.95</v>
      </c>
      <c r="U43" s="163">
        <f t="shared" si="7"/>
        <v>137.32357954545455</v>
      </c>
      <c r="V43" s="164">
        <f t="shared" si="25"/>
        <v>0</v>
      </c>
      <c r="W43" s="164">
        <f t="shared" si="8"/>
        <v>0</v>
      </c>
      <c r="X43" s="144">
        <f t="shared" si="9"/>
        <v>0</v>
      </c>
      <c r="Y43" s="150">
        <f t="shared" si="10"/>
        <v>0</v>
      </c>
      <c r="Z43" s="150">
        <f t="shared" si="11"/>
        <v>0</v>
      </c>
      <c r="AA43" s="150">
        <f t="shared" si="12"/>
        <v>0</v>
      </c>
      <c r="AB43" s="182">
        <f t="shared" si="13"/>
        <v>0</v>
      </c>
      <c r="AC43" s="182">
        <f t="shared" si="14"/>
        <v>0</v>
      </c>
      <c r="AD43" s="182">
        <f t="shared" si="15"/>
        <v>0</v>
      </c>
      <c r="AE43" s="180">
        <f t="shared" si="16"/>
        <v>0</v>
      </c>
      <c r="AF43" s="150">
        <f t="shared" si="17"/>
        <v>0</v>
      </c>
      <c r="AG43" s="150">
        <f t="shared" si="18"/>
        <v>0</v>
      </c>
      <c r="AH43" s="150">
        <f t="shared" si="26"/>
        <v>0</v>
      </c>
      <c r="AI43" s="154">
        <f t="shared" si="19"/>
        <v>5558.8585000000003</v>
      </c>
      <c r="AJ43" s="70">
        <f t="shared" si="20"/>
        <v>5556.1415000000025</v>
      </c>
      <c r="AK43" s="155">
        <f t="shared" si="21"/>
        <v>0.22988758303525814</v>
      </c>
      <c r="AL43" s="155">
        <f t="shared" si="22"/>
        <v>0.29855530264319236</v>
      </c>
    </row>
    <row r="44" spans="2:38" ht="14.25" customHeight="1" x14ac:dyDescent="0.25">
      <c r="B44" s="174" t="s">
        <v>274</v>
      </c>
      <c r="C44" s="171" t="s">
        <v>73</v>
      </c>
      <c r="D44" s="103">
        <v>176</v>
      </c>
      <c r="E44" s="104" t="s">
        <v>76</v>
      </c>
      <c r="F44" s="92">
        <v>0</v>
      </c>
      <c r="G44" s="219">
        <f>IF(F44&gt;0,F44,
IF(B44&lt;&gt;"",
IF(C44="CLT",VLOOKUP(B44,'Lista Profissionais'!$C$11:$H$348,3,0),
VLOOKUP(B44,'Lista Profissionais'!$C$11:$H$348,6,0)), 0))</f>
        <v>5200</v>
      </c>
      <c r="H44" s="219">
        <f>IF(B44&lt;&gt;"",
IF(C44="CLT",
       22*$M$5 + (G44*'Lista Profissionais'!$G$9),0),0)</f>
        <v>0</v>
      </c>
      <c r="I44" s="66">
        <f t="shared" si="0"/>
        <v>5200</v>
      </c>
      <c r="J44" s="66">
        <f t="shared" si="1"/>
        <v>5200</v>
      </c>
      <c r="K44" s="66">
        <f t="shared" si="2"/>
        <v>7540.5720000000001</v>
      </c>
      <c r="L44" s="93">
        <f t="shared" si="23"/>
        <v>29.545454545454547</v>
      </c>
      <c r="M44" s="151"/>
      <c r="N44" s="152">
        <v>0</v>
      </c>
      <c r="O44" s="69">
        <f t="shared" si="3"/>
        <v>0</v>
      </c>
      <c r="P44" s="69">
        <f t="shared" si="4"/>
        <v>9880</v>
      </c>
      <c r="Q44" s="70">
        <f t="shared" si="5"/>
        <v>9880</v>
      </c>
      <c r="R44" s="153">
        <f t="shared" si="24"/>
        <v>296.39999999999998</v>
      </c>
      <c r="S44" s="70">
        <v>0</v>
      </c>
      <c r="T44" s="165">
        <f t="shared" si="6"/>
        <v>10176.4</v>
      </c>
      <c r="U44" s="163">
        <f t="shared" si="7"/>
        <v>57.820454545454545</v>
      </c>
      <c r="V44" s="164">
        <f t="shared" si="25"/>
        <v>0</v>
      </c>
      <c r="W44" s="164">
        <f t="shared" si="8"/>
        <v>0</v>
      </c>
      <c r="X44" s="144">
        <f t="shared" si="9"/>
        <v>0</v>
      </c>
      <c r="Y44" s="150">
        <f t="shared" si="10"/>
        <v>0</v>
      </c>
      <c r="Z44" s="150">
        <f t="shared" si="11"/>
        <v>0</v>
      </c>
      <c r="AA44" s="150">
        <f t="shared" si="12"/>
        <v>0</v>
      </c>
      <c r="AB44" s="182">
        <f t="shared" si="13"/>
        <v>0</v>
      </c>
      <c r="AC44" s="182">
        <f t="shared" si="14"/>
        <v>0</v>
      </c>
      <c r="AD44" s="182">
        <f t="shared" si="15"/>
        <v>0</v>
      </c>
      <c r="AE44" s="180">
        <f t="shared" si="16"/>
        <v>0</v>
      </c>
      <c r="AF44" s="150">
        <f t="shared" si="17"/>
        <v>0</v>
      </c>
      <c r="AG44" s="150">
        <f t="shared" si="18"/>
        <v>0</v>
      </c>
      <c r="AH44" s="150">
        <f t="shared" si="26"/>
        <v>0</v>
      </c>
      <c r="AI44" s="154">
        <f t="shared" si="19"/>
        <v>2340.5720000000001</v>
      </c>
      <c r="AJ44" s="70">
        <f t="shared" si="20"/>
        <v>2339.4279999999994</v>
      </c>
      <c r="AK44" s="155">
        <f t="shared" si="21"/>
        <v>0.229887583035258</v>
      </c>
      <c r="AL44" s="155">
        <f t="shared" si="22"/>
        <v>0.29855530264319219</v>
      </c>
    </row>
    <row r="45" spans="2:38" ht="14.25" customHeight="1" x14ac:dyDescent="0.25">
      <c r="B45" s="174" t="s">
        <v>275</v>
      </c>
      <c r="C45" s="171" t="s">
        <v>73</v>
      </c>
      <c r="D45" s="103">
        <v>176</v>
      </c>
      <c r="E45" s="104" t="s">
        <v>76</v>
      </c>
      <c r="F45" s="92">
        <v>0</v>
      </c>
      <c r="G45" s="219">
        <f>IF(F45&gt;0,F45,
IF(B45&lt;&gt;"",
IF(C45="CLT",VLOOKUP(B45,'Lista Profissionais'!$C$11:$H$348,3,0),
VLOOKUP(B45,'Lista Profissionais'!$C$11:$H$348,6,0)), 0))</f>
        <v>7150</v>
      </c>
      <c r="H45" s="219">
        <f>IF(B45&lt;&gt;"",
IF(C45="CLT",
       22*$M$5 + (G45*'Lista Profissionais'!$G$9),0),0)</f>
        <v>0</v>
      </c>
      <c r="I45" s="66">
        <f t="shared" si="0"/>
        <v>7150</v>
      </c>
      <c r="J45" s="66">
        <f t="shared" si="1"/>
        <v>7150</v>
      </c>
      <c r="K45" s="66">
        <f t="shared" si="2"/>
        <v>10368.2865</v>
      </c>
      <c r="L45" s="93">
        <f t="shared" si="23"/>
        <v>40.625</v>
      </c>
      <c r="M45" s="151"/>
      <c r="N45" s="152">
        <v>0</v>
      </c>
      <c r="O45" s="69">
        <f t="shared" si="3"/>
        <v>0</v>
      </c>
      <c r="P45" s="69">
        <f t="shared" si="4"/>
        <v>13585</v>
      </c>
      <c r="Q45" s="70">
        <f t="shared" si="5"/>
        <v>13585</v>
      </c>
      <c r="R45" s="153">
        <f t="shared" si="24"/>
        <v>407.55</v>
      </c>
      <c r="S45" s="70">
        <v>0</v>
      </c>
      <c r="T45" s="165">
        <f t="shared" si="6"/>
        <v>13992.55</v>
      </c>
      <c r="U45" s="163">
        <f t="shared" si="7"/>
        <v>79.503124999999997</v>
      </c>
      <c r="V45" s="164">
        <f t="shared" si="25"/>
        <v>0</v>
      </c>
      <c r="W45" s="164">
        <f t="shared" si="8"/>
        <v>0</v>
      </c>
      <c r="X45" s="144">
        <f t="shared" si="9"/>
        <v>0</v>
      </c>
      <c r="Y45" s="150">
        <f t="shared" si="10"/>
        <v>0</v>
      </c>
      <c r="Z45" s="150">
        <f t="shared" si="11"/>
        <v>0</v>
      </c>
      <c r="AA45" s="150">
        <f t="shared" si="12"/>
        <v>0</v>
      </c>
      <c r="AB45" s="182">
        <f t="shared" si="13"/>
        <v>0</v>
      </c>
      <c r="AC45" s="182">
        <f t="shared" si="14"/>
        <v>0</v>
      </c>
      <c r="AD45" s="182">
        <f t="shared" si="15"/>
        <v>0</v>
      </c>
      <c r="AE45" s="180">
        <f t="shared" si="16"/>
        <v>0</v>
      </c>
      <c r="AF45" s="150">
        <f t="shared" si="17"/>
        <v>0</v>
      </c>
      <c r="AG45" s="150">
        <f t="shared" si="18"/>
        <v>0</v>
      </c>
      <c r="AH45" s="150">
        <f t="shared" si="26"/>
        <v>0</v>
      </c>
      <c r="AI45" s="154">
        <f t="shared" si="19"/>
        <v>3218.2865000000002</v>
      </c>
      <c r="AJ45" s="70">
        <f t="shared" si="20"/>
        <v>3216.7134999999989</v>
      </c>
      <c r="AK45" s="155">
        <f t="shared" si="21"/>
        <v>0.22988758303525797</v>
      </c>
      <c r="AL45" s="155">
        <f t="shared" si="22"/>
        <v>0.29855530264319219</v>
      </c>
    </row>
    <row r="46" spans="2:38" ht="14.25" customHeight="1" x14ac:dyDescent="0.25">
      <c r="B46" s="174" t="s">
        <v>276</v>
      </c>
      <c r="C46" s="171" t="s">
        <v>73</v>
      </c>
      <c r="D46" s="103">
        <v>176</v>
      </c>
      <c r="E46" s="104" t="s">
        <v>76</v>
      </c>
      <c r="F46" s="92">
        <v>0</v>
      </c>
      <c r="G46" s="219">
        <f>IF(F46&gt;0,F46,
IF(B46&lt;&gt;"",
IF(C46="CLT",VLOOKUP(B46,'Lista Profissionais'!$C$11:$H$348,3,0),
VLOOKUP(B46,'Lista Profissionais'!$C$11:$H$348,6,0)), 0))</f>
        <v>9360</v>
      </c>
      <c r="H46" s="219">
        <f>IF(B46&lt;&gt;"",
IF(C46="CLT",
       22*$M$5 + (G46*'Lista Profissionais'!$G$9),0),0)</f>
        <v>0</v>
      </c>
      <c r="I46" s="66">
        <f t="shared" si="0"/>
        <v>9360</v>
      </c>
      <c r="J46" s="66">
        <f t="shared" si="1"/>
        <v>9360</v>
      </c>
      <c r="K46" s="66">
        <f t="shared" si="2"/>
        <v>13573.0296</v>
      </c>
      <c r="L46" s="93">
        <f t="shared" si="23"/>
        <v>53.18181818181818</v>
      </c>
      <c r="M46" s="151"/>
      <c r="N46" s="152">
        <v>0</v>
      </c>
      <c r="O46" s="69">
        <f t="shared" si="3"/>
        <v>0</v>
      </c>
      <c r="P46" s="69">
        <f t="shared" si="4"/>
        <v>17784</v>
      </c>
      <c r="Q46" s="70">
        <f t="shared" si="5"/>
        <v>17784</v>
      </c>
      <c r="R46" s="153">
        <f t="shared" si="24"/>
        <v>533.52</v>
      </c>
      <c r="S46" s="70">
        <v>0</v>
      </c>
      <c r="T46" s="165">
        <f t="shared" si="6"/>
        <v>18317.52</v>
      </c>
      <c r="U46" s="163">
        <f t="shared" si="7"/>
        <v>104.07681818181818</v>
      </c>
      <c r="V46" s="164">
        <f t="shared" si="25"/>
        <v>0</v>
      </c>
      <c r="W46" s="164">
        <f t="shared" si="8"/>
        <v>0</v>
      </c>
      <c r="X46" s="144">
        <f t="shared" si="9"/>
        <v>0</v>
      </c>
      <c r="Y46" s="150">
        <f t="shared" si="10"/>
        <v>0</v>
      </c>
      <c r="Z46" s="150">
        <f t="shared" si="11"/>
        <v>0</v>
      </c>
      <c r="AA46" s="150">
        <f t="shared" si="12"/>
        <v>0</v>
      </c>
      <c r="AB46" s="182">
        <f t="shared" si="13"/>
        <v>0</v>
      </c>
      <c r="AC46" s="182">
        <f t="shared" si="14"/>
        <v>0</v>
      </c>
      <c r="AD46" s="182">
        <f t="shared" si="15"/>
        <v>0</v>
      </c>
      <c r="AE46" s="180">
        <f t="shared" si="16"/>
        <v>0</v>
      </c>
      <c r="AF46" s="150">
        <f t="shared" si="17"/>
        <v>0</v>
      </c>
      <c r="AG46" s="150">
        <f t="shared" si="18"/>
        <v>0</v>
      </c>
      <c r="AH46" s="150">
        <f t="shared" si="26"/>
        <v>0</v>
      </c>
      <c r="AI46" s="154">
        <f t="shared" si="19"/>
        <v>4213.0295999999998</v>
      </c>
      <c r="AJ46" s="70">
        <f t="shared" si="20"/>
        <v>4210.9704000000002</v>
      </c>
      <c r="AK46" s="155">
        <f t="shared" si="21"/>
        <v>0.22988758303525805</v>
      </c>
      <c r="AL46" s="155">
        <f t="shared" si="22"/>
        <v>0.29855530264319224</v>
      </c>
    </row>
    <row r="47" spans="2:38" ht="14.25" customHeight="1" x14ac:dyDescent="0.25">
      <c r="B47" s="174" t="s">
        <v>277</v>
      </c>
      <c r="C47" s="171" t="s">
        <v>73</v>
      </c>
      <c r="D47" s="103">
        <v>176</v>
      </c>
      <c r="E47" s="104" t="s">
        <v>76</v>
      </c>
      <c r="F47" s="92">
        <v>0</v>
      </c>
      <c r="G47" s="219">
        <f>IF(F47&gt;0,F47,
IF(B47&lt;&gt;"",
IF(C47="CLT",VLOOKUP(B47,'Lista Profissionais'!$C$11:$H$348,3,0),
VLOOKUP(B47,'Lista Profissionais'!$C$11:$H$348,6,0)), 0))</f>
        <v>18850</v>
      </c>
      <c r="H47" s="219">
        <f>IF(B47&lt;&gt;"",
IF(C47="CLT",
       22*$M$5 + (G47*'Lista Profissionais'!$G$9),0),0)</f>
        <v>0</v>
      </c>
      <c r="I47" s="66">
        <f t="shared" si="0"/>
        <v>18850</v>
      </c>
      <c r="J47" s="66">
        <f t="shared" si="1"/>
        <v>18850</v>
      </c>
      <c r="K47" s="66">
        <f t="shared" si="2"/>
        <v>27334.573499999999</v>
      </c>
      <c r="L47" s="93">
        <f t="shared" si="23"/>
        <v>107.10227272727273</v>
      </c>
      <c r="M47" s="151"/>
      <c r="N47" s="152">
        <v>0</v>
      </c>
      <c r="O47" s="69">
        <f t="shared" si="3"/>
        <v>0</v>
      </c>
      <c r="P47" s="69">
        <f t="shared" si="4"/>
        <v>35815</v>
      </c>
      <c r="Q47" s="70">
        <f t="shared" si="5"/>
        <v>35815</v>
      </c>
      <c r="R47" s="153">
        <f t="shared" si="24"/>
        <v>1074.45</v>
      </c>
      <c r="S47" s="70">
        <v>0</v>
      </c>
      <c r="T47" s="165">
        <f t="shared" si="6"/>
        <v>36889.449999999997</v>
      </c>
      <c r="U47" s="163">
        <f t="shared" si="7"/>
        <v>209.59914772727271</v>
      </c>
      <c r="V47" s="164">
        <f t="shared" si="25"/>
        <v>0</v>
      </c>
      <c r="W47" s="164">
        <f t="shared" si="8"/>
        <v>0</v>
      </c>
      <c r="X47" s="144">
        <f t="shared" si="9"/>
        <v>0</v>
      </c>
      <c r="Y47" s="150">
        <f t="shared" si="10"/>
        <v>0</v>
      </c>
      <c r="Z47" s="150">
        <f t="shared" si="11"/>
        <v>0</v>
      </c>
      <c r="AA47" s="150">
        <f t="shared" si="12"/>
        <v>0</v>
      </c>
      <c r="AB47" s="182">
        <f t="shared" si="13"/>
        <v>0</v>
      </c>
      <c r="AC47" s="182">
        <f t="shared" si="14"/>
        <v>0</v>
      </c>
      <c r="AD47" s="182">
        <f t="shared" si="15"/>
        <v>0</v>
      </c>
      <c r="AE47" s="180">
        <f t="shared" si="16"/>
        <v>0</v>
      </c>
      <c r="AF47" s="150">
        <f t="shared" si="17"/>
        <v>0</v>
      </c>
      <c r="AG47" s="150">
        <f t="shared" si="18"/>
        <v>0</v>
      </c>
      <c r="AH47" s="150">
        <f t="shared" si="26"/>
        <v>0</v>
      </c>
      <c r="AI47" s="154">
        <f t="shared" si="19"/>
        <v>8484.5735000000004</v>
      </c>
      <c r="AJ47" s="70">
        <f t="shared" si="20"/>
        <v>8480.4264999999978</v>
      </c>
      <c r="AK47" s="155">
        <f t="shared" si="21"/>
        <v>0.229887583035258</v>
      </c>
      <c r="AL47" s="155">
        <f t="shared" si="22"/>
        <v>0.29855530264319219</v>
      </c>
    </row>
    <row r="48" spans="2:38" ht="14.25" customHeight="1" x14ac:dyDescent="0.25">
      <c r="B48" s="174" t="s">
        <v>278</v>
      </c>
      <c r="C48" s="171" t="s">
        <v>73</v>
      </c>
      <c r="D48" s="103">
        <v>176</v>
      </c>
      <c r="E48" s="104" t="s">
        <v>76</v>
      </c>
      <c r="F48" s="92">
        <v>0</v>
      </c>
      <c r="G48" s="219">
        <f>IF(F48&gt;0,F48,
IF(B48&lt;&gt;"",
IF(C48="CLT",VLOOKUP(B48,'Lista Profissionais'!$C$11:$H$348,3,0),
VLOOKUP(B48,'Lista Profissionais'!$C$11:$H$348,6,0)), 0))</f>
        <v>11700</v>
      </c>
      <c r="H48" s="219">
        <f>IF(B48&lt;&gt;"",
IF(C48="CLT",
       22*$M$5 + (G48*'Lista Profissionais'!$G$9),0),0)</f>
        <v>0</v>
      </c>
      <c r="I48" s="66">
        <f t="shared" si="0"/>
        <v>11700.000000000002</v>
      </c>
      <c r="J48" s="66">
        <f t="shared" si="1"/>
        <v>11700.000000000002</v>
      </c>
      <c r="K48" s="66">
        <f t="shared" si="2"/>
        <v>16966.287000000004</v>
      </c>
      <c r="L48" s="93">
        <f t="shared" si="23"/>
        <v>66.477272727272734</v>
      </c>
      <c r="M48" s="151"/>
      <c r="N48" s="152">
        <v>0</v>
      </c>
      <c r="O48" s="69">
        <f t="shared" si="3"/>
        <v>0</v>
      </c>
      <c r="P48" s="69">
        <f t="shared" si="4"/>
        <v>22230.000000000004</v>
      </c>
      <c r="Q48" s="70">
        <f t="shared" si="5"/>
        <v>22230.000000000004</v>
      </c>
      <c r="R48" s="153">
        <f t="shared" si="24"/>
        <v>666.90000000000009</v>
      </c>
      <c r="S48" s="70">
        <v>0</v>
      </c>
      <c r="T48" s="165">
        <f t="shared" si="6"/>
        <v>22896.900000000005</v>
      </c>
      <c r="U48" s="163">
        <f t="shared" si="7"/>
        <v>130.09602272727275</v>
      </c>
      <c r="V48" s="164">
        <f t="shared" si="25"/>
        <v>0</v>
      </c>
      <c r="W48" s="164">
        <f t="shared" si="8"/>
        <v>0</v>
      </c>
      <c r="X48" s="144">
        <f t="shared" si="9"/>
        <v>0</v>
      </c>
      <c r="Y48" s="150">
        <f t="shared" si="10"/>
        <v>0</v>
      </c>
      <c r="Z48" s="150">
        <f t="shared" si="11"/>
        <v>0</v>
      </c>
      <c r="AA48" s="150">
        <f t="shared" si="12"/>
        <v>0</v>
      </c>
      <c r="AB48" s="182">
        <f t="shared" si="13"/>
        <v>0</v>
      </c>
      <c r="AC48" s="182">
        <f t="shared" si="14"/>
        <v>0</v>
      </c>
      <c r="AD48" s="182">
        <f t="shared" si="15"/>
        <v>0</v>
      </c>
      <c r="AE48" s="180">
        <f t="shared" si="16"/>
        <v>0</v>
      </c>
      <c r="AF48" s="150">
        <f t="shared" si="17"/>
        <v>0</v>
      </c>
      <c r="AG48" s="150">
        <f t="shared" si="18"/>
        <v>0</v>
      </c>
      <c r="AH48" s="150">
        <f t="shared" si="26"/>
        <v>0</v>
      </c>
      <c r="AI48" s="154">
        <f t="shared" si="19"/>
        <v>5266.2870000000012</v>
      </c>
      <c r="AJ48" s="70">
        <f t="shared" si="20"/>
        <v>5263.7130000000034</v>
      </c>
      <c r="AK48" s="155">
        <f t="shared" si="21"/>
        <v>0.22988758303525814</v>
      </c>
      <c r="AL48" s="155">
        <f t="shared" si="22"/>
        <v>0.29855530264319236</v>
      </c>
    </row>
    <row r="49" spans="2:38" ht="14.25" customHeight="1" x14ac:dyDescent="0.25">
      <c r="B49" s="174" t="s">
        <v>279</v>
      </c>
      <c r="C49" s="171" t="s">
        <v>73</v>
      </c>
      <c r="D49" s="103">
        <v>176</v>
      </c>
      <c r="E49" s="104" t="s">
        <v>76</v>
      </c>
      <c r="F49" s="92">
        <v>0</v>
      </c>
      <c r="G49" s="219">
        <f>IF(F49&gt;0,F49,
IF(B49&lt;&gt;"",
IF(C49="CLT",VLOOKUP(B49,'Lista Profissionais'!$C$11:$H$348,3,0),
VLOOKUP(B49,'Lista Profissionais'!$C$11:$H$348,6,0)), 0))</f>
        <v>16380</v>
      </c>
      <c r="H49" s="219">
        <f>IF(B49&lt;&gt;"",
IF(C49="CLT",
       22*$M$5 + (G49*'Lista Profissionais'!$G$9),0),0)</f>
        <v>0</v>
      </c>
      <c r="I49" s="66">
        <f t="shared" si="0"/>
        <v>16380</v>
      </c>
      <c r="J49" s="66">
        <f t="shared" si="1"/>
        <v>16380</v>
      </c>
      <c r="K49" s="66">
        <f t="shared" si="2"/>
        <v>23752.801800000001</v>
      </c>
      <c r="L49" s="93">
        <f t="shared" si="23"/>
        <v>93.068181818181813</v>
      </c>
      <c r="M49" s="151"/>
      <c r="N49" s="152">
        <v>0</v>
      </c>
      <c r="O49" s="69">
        <f t="shared" si="3"/>
        <v>0</v>
      </c>
      <c r="P49" s="69">
        <f t="shared" si="4"/>
        <v>31122</v>
      </c>
      <c r="Q49" s="70">
        <f t="shared" si="5"/>
        <v>31122</v>
      </c>
      <c r="R49" s="153">
        <f t="shared" si="24"/>
        <v>933.66</v>
      </c>
      <c r="S49" s="70">
        <v>0</v>
      </c>
      <c r="T49" s="165">
        <f t="shared" si="6"/>
        <v>32055.66</v>
      </c>
      <c r="U49" s="163">
        <f t="shared" si="7"/>
        <v>182.13443181818181</v>
      </c>
      <c r="V49" s="164">
        <f t="shared" si="25"/>
        <v>0</v>
      </c>
      <c r="W49" s="164">
        <f t="shared" si="8"/>
        <v>0</v>
      </c>
      <c r="X49" s="144">
        <f t="shared" si="9"/>
        <v>0</v>
      </c>
      <c r="Y49" s="150">
        <f t="shared" si="10"/>
        <v>0</v>
      </c>
      <c r="Z49" s="150">
        <f t="shared" si="11"/>
        <v>0</v>
      </c>
      <c r="AA49" s="150">
        <f t="shared" si="12"/>
        <v>0</v>
      </c>
      <c r="AB49" s="182">
        <f t="shared" si="13"/>
        <v>0</v>
      </c>
      <c r="AC49" s="182">
        <f t="shared" si="14"/>
        <v>0</v>
      </c>
      <c r="AD49" s="182">
        <f t="shared" si="15"/>
        <v>0</v>
      </c>
      <c r="AE49" s="180">
        <f t="shared" si="16"/>
        <v>0</v>
      </c>
      <c r="AF49" s="150">
        <f t="shared" si="17"/>
        <v>0</v>
      </c>
      <c r="AG49" s="150">
        <f t="shared" si="18"/>
        <v>0</v>
      </c>
      <c r="AH49" s="150">
        <f t="shared" si="26"/>
        <v>0</v>
      </c>
      <c r="AI49" s="154">
        <f t="shared" si="19"/>
        <v>7372.8018000000002</v>
      </c>
      <c r="AJ49" s="70">
        <f t="shared" si="20"/>
        <v>7369.1981999999989</v>
      </c>
      <c r="AK49" s="155">
        <f t="shared" si="21"/>
        <v>0.22988758303525803</v>
      </c>
      <c r="AL49" s="155">
        <f t="shared" si="22"/>
        <v>0.29855530264319224</v>
      </c>
    </row>
    <row r="50" spans="2:38" ht="14.25" customHeight="1" x14ac:dyDescent="0.25">
      <c r="B50" s="174" t="s">
        <v>280</v>
      </c>
      <c r="C50" s="171" t="s">
        <v>73</v>
      </c>
      <c r="D50" s="103">
        <v>176</v>
      </c>
      <c r="E50" s="104" t="s">
        <v>76</v>
      </c>
      <c r="F50" s="92">
        <v>0</v>
      </c>
      <c r="G50" s="219">
        <f>IF(F50&gt;0,F50,
IF(B50&lt;&gt;"",
IF(C50="CLT",VLOOKUP(B50,'Lista Profissionais'!$C$11:$H$348,3,0),
VLOOKUP(B50,'Lista Profissionais'!$C$11:$H$348,6,0)), 0))</f>
        <v>18850</v>
      </c>
      <c r="H50" s="219">
        <f>IF(B50&lt;&gt;"",
IF(C50="CLT",
       22*$M$5 + (G50*'Lista Profissionais'!$G$9),0),0)</f>
        <v>0</v>
      </c>
      <c r="I50" s="66">
        <f t="shared" si="0"/>
        <v>18850</v>
      </c>
      <c r="J50" s="66">
        <f t="shared" si="1"/>
        <v>18850</v>
      </c>
      <c r="K50" s="66">
        <f t="shared" si="2"/>
        <v>27334.573499999999</v>
      </c>
      <c r="L50" s="93">
        <f t="shared" si="23"/>
        <v>107.10227272727273</v>
      </c>
      <c r="M50" s="151"/>
      <c r="N50" s="152">
        <v>0</v>
      </c>
      <c r="O50" s="69">
        <f t="shared" si="3"/>
        <v>0</v>
      </c>
      <c r="P50" s="69">
        <f t="shared" si="4"/>
        <v>35815</v>
      </c>
      <c r="Q50" s="70">
        <f t="shared" si="5"/>
        <v>35815</v>
      </c>
      <c r="R50" s="153">
        <f t="shared" si="24"/>
        <v>1074.45</v>
      </c>
      <c r="S50" s="70">
        <v>0</v>
      </c>
      <c r="T50" s="165">
        <f t="shared" si="6"/>
        <v>36889.449999999997</v>
      </c>
      <c r="U50" s="163">
        <f t="shared" si="7"/>
        <v>209.59914772727271</v>
      </c>
      <c r="V50" s="164">
        <f t="shared" si="25"/>
        <v>0</v>
      </c>
      <c r="W50" s="164">
        <f t="shared" si="8"/>
        <v>0</v>
      </c>
      <c r="X50" s="144">
        <f t="shared" si="9"/>
        <v>0</v>
      </c>
      <c r="Y50" s="150">
        <f t="shared" si="10"/>
        <v>0</v>
      </c>
      <c r="Z50" s="150">
        <f t="shared" si="11"/>
        <v>0</v>
      </c>
      <c r="AA50" s="150">
        <f t="shared" si="12"/>
        <v>0</v>
      </c>
      <c r="AB50" s="182">
        <f t="shared" si="13"/>
        <v>0</v>
      </c>
      <c r="AC50" s="182">
        <f t="shared" si="14"/>
        <v>0</v>
      </c>
      <c r="AD50" s="182">
        <f t="shared" si="15"/>
        <v>0</v>
      </c>
      <c r="AE50" s="180">
        <f t="shared" si="16"/>
        <v>0</v>
      </c>
      <c r="AF50" s="150">
        <f t="shared" si="17"/>
        <v>0</v>
      </c>
      <c r="AG50" s="150">
        <f t="shared" si="18"/>
        <v>0</v>
      </c>
      <c r="AH50" s="150">
        <f t="shared" si="26"/>
        <v>0</v>
      </c>
      <c r="AI50" s="154">
        <f t="shared" si="19"/>
        <v>8484.5735000000004</v>
      </c>
      <c r="AJ50" s="70">
        <f t="shared" si="20"/>
        <v>8480.4264999999978</v>
      </c>
      <c r="AK50" s="155">
        <f t="shared" si="21"/>
        <v>0.229887583035258</v>
      </c>
      <c r="AL50" s="155">
        <f t="shared" si="22"/>
        <v>0.29855530264319219</v>
      </c>
    </row>
    <row r="51" spans="2:38" ht="14.25" customHeight="1" x14ac:dyDescent="0.25">
      <c r="B51" s="174" t="s">
        <v>281</v>
      </c>
      <c r="C51" s="171" t="s">
        <v>73</v>
      </c>
      <c r="D51" s="103">
        <v>176</v>
      </c>
      <c r="E51" s="104" t="s">
        <v>76</v>
      </c>
      <c r="F51" s="92">
        <v>0</v>
      </c>
      <c r="G51" s="219">
        <f>IF(F51&gt;0,F51,
IF(B51&lt;&gt;"",
IF(C51="CLT",VLOOKUP(B51,'Lista Profissionais'!$C$11:$H$348,3,0),
VLOOKUP(B51,'Lista Profissionais'!$C$11:$H$348,6,0)), 0))</f>
        <v>11700</v>
      </c>
      <c r="H51" s="219">
        <f>IF(B51&lt;&gt;"",
IF(C51="CLT",
       22*$M$5 + (G51*'Lista Profissionais'!$G$9),0),0)</f>
        <v>0</v>
      </c>
      <c r="I51" s="66">
        <f t="shared" si="0"/>
        <v>11700.000000000002</v>
      </c>
      <c r="J51" s="66">
        <f t="shared" si="1"/>
        <v>11700.000000000002</v>
      </c>
      <c r="K51" s="66">
        <f t="shared" si="2"/>
        <v>16966.287000000004</v>
      </c>
      <c r="L51" s="93">
        <f t="shared" si="23"/>
        <v>66.477272727272734</v>
      </c>
      <c r="M51" s="151"/>
      <c r="N51" s="152">
        <v>0</v>
      </c>
      <c r="O51" s="69">
        <f t="shared" si="3"/>
        <v>0</v>
      </c>
      <c r="P51" s="69">
        <f t="shared" si="4"/>
        <v>22230.000000000004</v>
      </c>
      <c r="Q51" s="70">
        <f t="shared" si="5"/>
        <v>22230.000000000004</v>
      </c>
      <c r="R51" s="153">
        <f t="shared" si="24"/>
        <v>666.90000000000009</v>
      </c>
      <c r="S51" s="70">
        <v>0</v>
      </c>
      <c r="T51" s="165">
        <f t="shared" si="6"/>
        <v>22896.900000000005</v>
      </c>
      <c r="U51" s="163">
        <f t="shared" si="7"/>
        <v>130.09602272727275</v>
      </c>
      <c r="V51" s="164">
        <f t="shared" si="25"/>
        <v>0</v>
      </c>
      <c r="W51" s="164">
        <f t="shared" si="8"/>
        <v>0</v>
      </c>
      <c r="X51" s="144">
        <f t="shared" si="9"/>
        <v>0</v>
      </c>
      <c r="Y51" s="150">
        <f t="shared" si="10"/>
        <v>0</v>
      </c>
      <c r="Z51" s="150">
        <f t="shared" si="11"/>
        <v>0</v>
      </c>
      <c r="AA51" s="150">
        <f t="shared" si="12"/>
        <v>0</v>
      </c>
      <c r="AB51" s="182">
        <f t="shared" si="13"/>
        <v>0</v>
      </c>
      <c r="AC51" s="182">
        <f t="shared" si="14"/>
        <v>0</v>
      </c>
      <c r="AD51" s="182">
        <f t="shared" si="15"/>
        <v>0</v>
      </c>
      <c r="AE51" s="180">
        <f t="shared" si="16"/>
        <v>0</v>
      </c>
      <c r="AF51" s="150">
        <f t="shared" si="17"/>
        <v>0</v>
      </c>
      <c r="AG51" s="150">
        <f t="shared" si="18"/>
        <v>0</v>
      </c>
      <c r="AH51" s="150">
        <f t="shared" si="26"/>
        <v>0</v>
      </c>
      <c r="AI51" s="154">
        <f t="shared" si="19"/>
        <v>5266.2870000000012</v>
      </c>
      <c r="AJ51" s="70">
        <f t="shared" si="20"/>
        <v>5263.7130000000034</v>
      </c>
      <c r="AK51" s="155">
        <f t="shared" si="21"/>
        <v>0.22988758303525814</v>
      </c>
      <c r="AL51" s="155">
        <f t="shared" si="22"/>
        <v>0.29855530264319236</v>
      </c>
    </row>
    <row r="52" spans="2:38" ht="14.25" customHeight="1" x14ac:dyDescent="0.25">
      <c r="B52" s="174" t="s">
        <v>282</v>
      </c>
      <c r="C52" s="171" t="s">
        <v>73</v>
      </c>
      <c r="D52" s="103">
        <v>176</v>
      </c>
      <c r="E52" s="104" t="s">
        <v>76</v>
      </c>
      <c r="F52" s="92">
        <v>0</v>
      </c>
      <c r="G52" s="219">
        <f>IF(F52&gt;0,F52,
IF(B52&lt;&gt;"",
IF(C52="CLT",VLOOKUP(B52,'Lista Profissionais'!$C$11:$H$348,3,0),
VLOOKUP(B52,'Lista Profissionais'!$C$11:$H$348,6,0)), 0))</f>
        <v>16380</v>
      </c>
      <c r="H52" s="219">
        <f>IF(B52&lt;&gt;"",
IF(C52="CLT",
       22*$M$5 + (G52*'Lista Profissionais'!$G$9),0),0)</f>
        <v>0</v>
      </c>
      <c r="I52" s="66">
        <f t="shared" si="0"/>
        <v>16380</v>
      </c>
      <c r="J52" s="66">
        <f t="shared" si="1"/>
        <v>16380</v>
      </c>
      <c r="K52" s="66">
        <f t="shared" si="2"/>
        <v>23752.801800000001</v>
      </c>
      <c r="L52" s="93">
        <f t="shared" si="23"/>
        <v>93.068181818181813</v>
      </c>
      <c r="M52" s="151"/>
      <c r="N52" s="152">
        <v>0</v>
      </c>
      <c r="O52" s="69">
        <f t="shared" si="3"/>
        <v>0</v>
      </c>
      <c r="P52" s="69">
        <f t="shared" si="4"/>
        <v>31122</v>
      </c>
      <c r="Q52" s="70">
        <f t="shared" si="5"/>
        <v>31122</v>
      </c>
      <c r="R52" s="153">
        <f t="shared" si="24"/>
        <v>933.66</v>
      </c>
      <c r="S52" s="70">
        <v>0</v>
      </c>
      <c r="T52" s="165">
        <f t="shared" si="6"/>
        <v>32055.66</v>
      </c>
      <c r="U52" s="163">
        <f t="shared" si="7"/>
        <v>182.13443181818181</v>
      </c>
      <c r="V52" s="164">
        <f t="shared" si="25"/>
        <v>0</v>
      </c>
      <c r="W52" s="164">
        <f t="shared" si="8"/>
        <v>0</v>
      </c>
      <c r="X52" s="144">
        <f t="shared" si="9"/>
        <v>0</v>
      </c>
      <c r="Y52" s="150">
        <f t="shared" si="10"/>
        <v>0</v>
      </c>
      <c r="Z52" s="150">
        <f t="shared" si="11"/>
        <v>0</v>
      </c>
      <c r="AA52" s="150">
        <f t="shared" si="12"/>
        <v>0</v>
      </c>
      <c r="AB52" s="182">
        <f t="shared" si="13"/>
        <v>0</v>
      </c>
      <c r="AC52" s="182">
        <f t="shared" si="14"/>
        <v>0</v>
      </c>
      <c r="AD52" s="182">
        <f t="shared" si="15"/>
        <v>0</v>
      </c>
      <c r="AE52" s="180">
        <f t="shared" si="16"/>
        <v>0</v>
      </c>
      <c r="AF52" s="150">
        <f t="shared" si="17"/>
        <v>0</v>
      </c>
      <c r="AG52" s="150">
        <f t="shared" si="18"/>
        <v>0</v>
      </c>
      <c r="AH52" s="150">
        <f t="shared" si="26"/>
        <v>0</v>
      </c>
      <c r="AI52" s="154">
        <f t="shared" si="19"/>
        <v>7372.8018000000002</v>
      </c>
      <c r="AJ52" s="70">
        <f t="shared" si="20"/>
        <v>7369.1981999999989</v>
      </c>
      <c r="AK52" s="155">
        <f t="shared" si="21"/>
        <v>0.22988758303525803</v>
      </c>
      <c r="AL52" s="155">
        <f t="shared" si="22"/>
        <v>0.29855530264319224</v>
      </c>
    </row>
    <row r="53" spans="2:38" ht="14.25" customHeight="1" x14ac:dyDescent="0.25">
      <c r="B53" s="174" t="s">
        <v>283</v>
      </c>
      <c r="C53" s="171" t="s">
        <v>73</v>
      </c>
      <c r="D53" s="103">
        <v>176</v>
      </c>
      <c r="E53" s="104" t="s">
        <v>76</v>
      </c>
      <c r="F53" s="92">
        <v>0</v>
      </c>
      <c r="G53" s="219">
        <f>IF(F53&gt;0,F53,
IF(B53&lt;&gt;"",
IF(C53="CLT",VLOOKUP(B53,'Lista Profissionais'!$C$11:$H$348,3,0),
VLOOKUP(B53,'Lista Profissionais'!$C$11:$H$348,6,0)), 0))</f>
        <v>18460</v>
      </c>
      <c r="H53" s="219">
        <f>IF(B53&lt;&gt;"",
IF(C53="CLT",
       22*$M$5 + (G53*'Lista Profissionais'!$G$9),0),0)</f>
        <v>0</v>
      </c>
      <c r="I53" s="66">
        <f t="shared" si="0"/>
        <v>18460</v>
      </c>
      <c r="J53" s="66">
        <f t="shared" si="1"/>
        <v>18460</v>
      </c>
      <c r="K53" s="66">
        <f t="shared" si="2"/>
        <v>26769.030599999998</v>
      </c>
      <c r="L53" s="93">
        <f t="shared" si="23"/>
        <v>104.88636363636364</v>
      </c>
      <c r="M53" s="151"/>
      <c r="N53" s="152">
        <v>0</v>
      </c>
      <c r="O53" s="69">
        <f t="shared" si="3"/>
        <v>0</v>
      </c>
      <c r="P53" s="69">
        <f t="shared" si="4"/>
        <v>35074</v>
      </c>
      <c r="Q53" s="70">
        <f t="shared" si="5"/>
        <v>35074</v>
      </c>
      <c r="R53" s="153">
        <f t="shared" si="24"/>
        <v>1052.22</v>
      </c>
      <c r="S53" s="70">
        <v>0</v>
      </c>
      <c r="T53" s="165">
        <f t="shared" si="6"/>
        <v>36126.22</v>
      </c>
      <c r="U53" s="163">
        <f t="shared" si="7"/>
        <v>205.26261363636365</v>
      </c>
      <c r="V53" s="164">
        <f t="shared" si="25"/>
        <v>0</v>
      </c>
      <c r="W53" s="164">
        <f t="shared" si="8"/>
        <v>0</v>
      </c>
      <c r="X53" s="144">
        <f t="shared" si="9"/>
        <v>0</v>
      </c>
      <c r="Y53" s="150">
        <f t="shared" si="10"/>
        <v>0</v>
      </c>
      <c r="Z53" s="150">
        <f t="shared" si="11"/>
        <v>0</v>
      </c>
      <c r="AA53" s="150">
        <f t="shared" si="12"/>
        <v>0</v>
      </c>
      <c r="AB53" s="182">
        <f t="shared" si="13"/>
        <v>0</v>
      </c>
      <c r="AC53" s="182">
        <f t="shared" si="14"/>
        <v>0</v>
      </c>
      <c r="AD53" s="182">
        <f t="shared" si="15"/>
        <v>0</v>
      </c>
      <c r="AE53" s="180">
        <f t="shared" si="16"/>
        <v>0</v>
      </c>
      <c r="AF53" s="150">
        <f t="shared" si="17"/>
        <v>0</v>
      </c>
      <c r="AG53" s="150">
        <f t="shared" si="18"/>
        <v>0</v>
      </c>
      <c r="AH53" s="150">
        <f t="shared" si="26"/>
        <v>0</v>
      </c>
      <c r="AI53" s="154">
        <f t="shared" si="19"/>
        <v>8309.0306</v>
      </c>
      <c r="AJ53" s="70">
        <f t="shared" si="20"/>
        <v>8304.9694000000036</v>
      </c>
      <c r="AK53" s="155">
        <f t="shared" si="21"/>
        <v>0.22988758303525814</v>
      </c>
      <c r="AL53" s="155">
        <f t="shared" si="22"/>
        <v>0.29855530264319236</v>
      </c>
    </row>
    <row r="54" spans="2:38" ht="14.25" customHeight="1" x14ac:dyDescent="0.25">
      <c r="B54" s="174" t="s">
        <v>284</v>
      </c>
      <c r="C54" s="171" t="s">
        <v>73</v>
      </c>
      <c r="D54" s="103">
        <v>176</v>
      </c>
      <c r="E54" s="104" t="s">
        <v>76</v>
      </c>
      <c r="F54" s="92">
        <v>0</v>
      </c>
      <c r="G54" s="219">
        <f>IF(F54&gt;0,F54,
IF(B54&lt;&gt;"",
IF(C54="CLT",VLOOKUP(B54,'Lista Profissionais'!$C$11:$H$348,3,0),
VLOOKUP(B54,'Lista Profissionais'!$C$11:$H$348,6,0)), 0))</f>
        <v>6760</v>
      </c>
      <c r="H54" s="219">
        <f>IF(B54&lt;&gt;"",
IF(C54="CLT",
       22*$M$5 + (G54*'Lista Profissionais'!$G$9),0),0)</f>
        <v>0</v>
      </c>
      <c r="I54" s="66">
        <f t="shared" si="0"/>
        <v>6760</v>
      </c>
      <c r="J54" s="66">
        <f t="shared" si="1"/>
        <v>6760</v>
      </c>
      <c r="K54" s="66">
        <f t="shared" si="2"/>
        <v>9802.7435999999998</v>
      </c>
      <c r="L54" s="93">
        <f t="shared" si="23"/>
        <v>38.409090909090907</v>
      </c>
      <c r="M54" s="151"/>
      <c r="N54" s="152">
        <v>0</v>
      </c>
      <c r="O54" s="69">
        <f t="shared" si="3"/>
        <v>0</v>
      </c>
      <c r="P54" s="69">
        <f t="shared" si="4"/>
        <v>12844</v>
      </c>
      <c r="Q54" s="70">
        <f t="shared" si="5"/>
        <v>12844</v>
      </c>
      <c r="R54" s="153">
        <f t="shared" si="24"/>
        <v>385.32</v>
      </c>
      <c r="S54" s="70">
        <v>0</v>
      </c>
      <c r="T54" s="165">
        <f t="shared" si="6"/>
        <v>13229.32</v>
      </c>
      <c r="U54" s="163">
        <f t="shared" si="7"/>
        <v>75.166590909090914</v>
      </c>
      <c r="V54" s="164">
        <f t="shared" si="25"/>
        <v>0</v>
      </c>
      <c r="W54" s="164">
        <f t="shared" si="8"/>
        <v>0</v>
      </c>
      <c r="X54" s="144">
        <f t="shared" si="9"/>
        <v>0</v>
      </c>
      <c r="Y54" s="150">
        <f t="shared" si="10"/>
        <v>0</v>
      </c>
      <c r="Z54" s="150">
        <f t="shared" si="11"/>
        <v>0</v>
      </c>
      <c r="AA54" s="150">
        <f t="shared" si="12"/>
        <v>0</v>
      </c>
      <c r="AB54" s="182">
        <f t="shared" si="13"/>
        <v>0</v>
      </c>
      <c r="AC54" s="182">
        <f t="shared" si="14"/>
        <v>0</v>
      </c>
      <c r="AD54" s="182">
        <f t="shared" si="15"/>
        <v>0</v>
      </c>
      <c r="AE54" s="180">
        <f t="shared" si="16"/>
        <v>0</v>
      </c>
      <c r="AF54" s="150">
        <f t="shared" si="17"/>
        <v>0</v>
      </c>
      <c r="AG54" s="150">
        <f t="shared" si="18"/>
        <v>0</v>
      </c>
      <c r="AH54" s="150">
        <f t="shared" si="26"/>
        <v>0</v>
      </c>
      <c r="AI54" s="154">
        <f t="shared" si="19"/>
        <v>3042.7436000000002</v>
      </c>
      <c r="AJ54" s="70">
        <f t="shared" si="20"/>
        <v>3041.2563999999998</v>
      </c>
      <c r="AK54" s="155">
        <f t="shared" si="21"/>
        <v>0.22988758303525803</v>
      </c>
      <c r="AL54" s="155">
        <f t="shared" si="22"/>
        <v>0.29855530264319224</v>
      </c>
    </row>
    <row r="55" spans="2:38" ht="14.25" customHeight="1" x14ac:dyDescent="0.25">
      <c r="B55" s="174" t="s">
        <v>285</v>
      </c>
      <c r="C55" s="171" t="s">
        <v>73</v>
      </c>
      <c r="D55" s="103">
        <v>176</v>
      </c>
      <c r="E55" s="104" t="s">
        <v>76</v>
      </c>
      <c r="F55" s="92">
        <v>0</v>
      </c>
      <c r="G55" s="219">
        <f>IF(F55&gt;0,F55,
IF(B55&lt;&gt;"",
IF(C55="CLT",VLOOKUP(B55,'Lista Profissionais'!$C$11:$H$348,3,0),
VLOOKUP(B55,'Lista Profissionais'!$C$11:$H$348,6,0)), 0))</f>
        <v>10660</v>
      </c>
      <c r="H55" s="219">
        <f>IF(B55&lt;&gt;"",
IF(C55="CLT",
       22*$M$5 + (G55*'Lista Profissionais'!$G$9),0),0)</f>
        <v>0</v>
      </c>
      <c r="I55" s="66">
        <f t="shared" si="0"/>
        <v>10660</v>
      </c>
      <c r="J55" s="66">
        <f t="shared" si="1"/>
        <v>10660</v>
      </c>
      <c r="K55" s="66">
        <f t="shared" si="2"/>
        <v>15458.1726</v>
      </c>
      <c r="L55" s="93">
        <f t="shared" si="23"/>
        <v>60.56818181818182</v>
      </c>
      <c r="M55" s="151"/>
      <c r="N55" s="152">
        <v>0</v>
      </c>
      <c r="O55" s="69">
        <f t="shared" si="3"/>
        <v>0</v>
      </c>
      <c r="P55" s="69">
        <f t="shared" si="4"/>
        <v>20254</v>
      </c>
      <c r="Q55" s="70">
        <f t="shared" si="5"/>
        <v>20254</v>
      </c>
      <c r="R55" s="153">
        <f t="shared" si="24"/>
        <v>607.62</v>
      </c>
      <c r="S55" s="70">
        <v>0</v>
      </c>
      <c r="T55" s="165">
        <f t="shared" si="6"/>
        <v>20861.62</v>
      </c>
      <c r="U55" s="163">
        <f t="shared" si="7"/>
        <v>118.53193181818182</v>
      </c>
      <c r="V55" s="164">
        <f t="shared" si="25"/>
        <v>0</v>
      </c>
      <c r="W55" s="164">
        <f t="shared" si="8"/>
        <v>0</v>
      </c>
      <c r="X55" s="144">
        <f t="shared" si="9"/>
        <v>0</v>
      </c>
      <c r="Y55" s="150">
        <f t="shared" si="10"/>
        <v>0</v>
      </c>
      <c r="Z55" s="150">
        <f t="shared" si="11"/>
        <v>0</v>
      </c>
      <c r="AA55" s="150">
        <f t="shared" si="12"/>
        <v>0</v>
      </c>
      <c r="AB55" s="182">
        <f t="shared" si="13"/>
        <v>0</v>
      </c>
      <c r="AC55" s="182">
        <f t="shared" si="14"/>
        <v>0</v>
      </c>
      <c r="AD55" s="182">
        <f t="shared" si="15"/>
        <v>0</v>
      </c>
      <c r="AE55" s="180">
        <f t="shared" si="16"/>
        <v>0</v>
      </c>
      <c r="AF55" s="150">
        <f t="shared" si="17"/>
        <v>0</v>
      </c>
      <c r="AG55" s="150">
        <f t="shared" si="18"/>
        <v>0</v>
      </c>
      <c r="AH55" s="150">
        <f t="shared" si="26"/>
        <v>0</v>
      </c>
      <c r="AI55" s="154">
        <f t="shared" si="19"/>
        <v>4798.1725999999999</v>
      </c>
      <c r="AJ55" s="70">
        <f t="shared" si="20"/>
        <v>4795.8273999999992</v>
      </c>
      <c r="AK55" s="155">
        <f t="shared" si="21"/>
        <v>0.22988758303525803</v>
      </c>
      <c r="AL55" s="155">
        <f t="shared" si="22"/>
        <v>0.29855530264319224</v>
      </c>
    </row>
    <row r="56" spans="2:38" ht="14.25" customHeight="1" x14ac:dyDescent="0.25">
      <c r="B56" s="174" t="s">
        <v>286</v>
      </c>
      <c r="C56" s="171" t="s">
        <v>73</v>
      </c>
      <c r="D56" s="103">
        <v>176</v>
      </c>
      <c r="E56" s="104" t="s">
        <v>76</v>
      </c>
      <c r="F56" s="92">
        <v>0</v>
      </c>
      <c r="G56" s="219">
        <f>IF(F56&gt;0,F56,
IF(B56&lt;&gt;"",
IF(C56="CLT",VLOOKUP(B56,'Lista Profissionais'!$C$11:$H$348,3,0),
VLOOKUP(B56,'Lista Profissionais'!$C$11:$H$348,6,0)), 0))</f>
        <v>16250</v>
      </c>
      <c r="H56" s="219">
        <f>IF(B56&lt;&gt;"",
IF(C56="CLT",
       22*$M$5 + (G56*'Lista Profissionais'!$G$9),0),0)</f>
        <v>0</v>
      </c>
      <c r="I56" s="66">
        <f t="shared" si="0"/>
        <v>16250</v>
      </c>
      <c r="J56" s="66">
        <f t="shared" si="1"/>
        <v>16250</v>
      </c>
      <c r="K56" s="66">
        <f t="shared" si="2"/>
        <v>23564.287499999999</v>
      </c>
      <c r="L56" s="93">
        <f t="shared" si="23"/>
        <v>92.329545454545453</v>
      </c>
      <c r="M56" s="151"/>
      <c r="N56" s="152">
        <v>0</v>
      </c>
      <c r="O56" s="69">
        <f t="shared" si="3"/>
        <v>0</v>
      </c>
      <c r="P56" s="69">
        <f t="shared" si="4"/>
        <v>30875</v>
      </c>
      <c r="Q56" s="70">
        <f t="shared" si="5"/>
        <v>30875</v>
      </c>
      <c r="R56" s="153">
        <f t="shared" si="24"/>
        <v>926.25</v>
      </c>
      <c r="S56" s="70">
        <v>0</v>
      </c>
      <c r="T56" s="165">
        <f t="shared" si="6"/>
        <v>31801.25</v>
      </c>
      <c r="U56" s="163">
        <f t="shared" si="7"/>
        <v>180.68892045454547</v>
      </c>
      <c r="V56" s="164">
        <f t="shared" si="25"/>
        <v>0</v>
      </c>
      <c r="W56" s="164">
        <f t="shared" si="8"/>
        <v>0</v>
      </c>
      <c r="X56" s="144">
        <f t="shared" si="9"/>
        <v>0</v>
      </c>
      <c r="Y56" s="150">
        <f t="shared" si="10"/>
        <v>0</v>
      </c>
      <c r="Z56" s="150">
        <f t="shared" si="11"/>
        <v>0</v>
      </c>
      <c r="AA56" s="150">
        <f t="shared" si="12"/>
        <v>0</v>
      </c>
      <c r="AB56" s="182">
        <f t="shared" si="13"/>
        <v>0</v>
      </c>
      <c r="AC56" s="182">
        <f t="shared" si="14"/>
        <v>0</v>
      </c>
      <c r="AD56" s="182">
        <f t="shared" si="15"/>
        <v>0</v>
      </c>
      <c r="AE56" s="180">
        <f t="shared" si="16"/>
        <v>0</v>
      </c>
      <c r="AF56" s="150">
        <f t="shared" si="17"/>
        <v>0</v>
      </c>
      <c r="AG56" s="150">
        <f t="shared" si="18"/>
        <v>0</v>
      </c>
      <c r="AH56" s="150">
        <f t="shared" si="26"/>
        <v>0</v>
      </c>
      <c r="AI56" s="154">
        <f t="shared" si="19"/>
        <v>7314.2875000000004</v>
      </c>
      <c r="AJ56" s="70">
        <f t="shared" si="20"/>
        <v>7310.7125000000015</v>
      </c>
      <c r="AK56" s="155">
        <f t="shared" si="21"/>
        <v>0.22988758303525808</v>
      </c>
      <c r="AL56" s="155">
        <f t="shared" si="22"/>
        <v>0.2985553026431923</v>
      </c>
    </row>
    <row r="57" spans="2:38" ht="14.25" customHeight="1" x14ac:dyDescent="0.25">
      <c r="B57" s="174" t="s">
        <v>365</v>
      </c>
      <c r="C57" s="171" t="s">
        <v>73</v>
      </c>
      <c r="D57" s="103">
        <v>176</v>
      </c>
      <c r="E57" s="104" t="s">
        <v>76</v>
      </c>
      <c r="F57" s="92">
        <v>0</v>
      </c>
      <c r="G57" s="219">
        <f>IF(F57&gt;0,F57,
IF(B57&lt;&gt;"",
IF(C57="CLT",VLOOKUP(B57,'Lista Profissionais'!$C$11:$H$348,3,0),
VLOOKUP(B57,'Lista Profissionais'!$C$11:$H$348,6,0)), 0))</f>
        <v>18200</v>
      </c>
      <c r="H57" s="219">
        <f>IF(B57&lt;&gt;"",
IF(C57="CLT",
       22*$M$5 + (G57*'Lista Profissionais'!$G$9),0),0)</f>
        <v>0</v>
      </c>
      <c r="I57" s="66">
        <f t="shared" si="0"/>
        <v>18200</v>
      </c>
      <c r="J57" s="66">
        <f t="shared" si="1"/>
        <v>18200</v>
      </c>
      <c r="K57" s="66">
        <f t="shared" si="2"/>
        <v>26392.002</v>
      </c>
      <c r="L57" s="93">
        <f t="shared" si="23"/>
        <v>103.40909090909091</v>
      </c>
      <c r="M57" s="151"/>
      <c r="N57" s="152">
        <v>0</v>
      </c>
      <c r="O57" s="69">
        <f t="shared" si="3"/>
        <v>0</v>
      </c>
      <c r="P57" s="69">
        <f t="shared" si="4"/>
        <v>34580</v>
      </c>
      <c r="Q57" s="70">
        <f t="shared" si="5"/>
        <v>34580</v>
      </c>
      <c r="R57" s="153">
        <f t="shared" si="24"/>
        <v>1037.3999999999999</v>
      </c>
      <c r="S57" s="70">
        <v>0</v>
      </c>
      <c r="T57" s="165">
        <f t="shared" si="6"/>
        <v>35617.4</v>
      </c>
      <c r="U57" s="163">
        <f t="shared" si="7"/>
        <v>202.37159090909091</v>
      </c>
      <c r="V57" s="164">
        <f t="shared" si="25"/>
        <v>0</v>
      </c>
      <c r="W57" s="164">
        <f t="shared" si="8"/>
        <v>0</v>
      </c>
      <c r="X57" s="144">
        <f t="shared" si="9"/>
        <v>0</v>
      </c>
      <c r="Y57" s="150">
        <f t="shared" si="10"/>
        <v>0</v>
      </c>
      <c r="Z57" s="150">
        <f t="shared" si="11"/>
        <v>0</v>
      </c>
      <c r="AA57" s="150">
        <f t="shared" si="12"/>
        <v>0</v>
      </c>
      <c r="AB57" s="182">
        <f t="shared" si="13"/>
        <v>0</v>
      </c>
      <c r="AC57" s="182">
        <f t="shared" si="14"/>
        <v>0</v>
      </c>
      <c r="AD57" s="182">
        <f t="shared" si="15"/>
        <v>0</v>
      </c>
      <c r="AE57" s="180">
        <f t="shared" si="16"/>
        <v>0</v>
      </c>
      <c r="AF57" s="150">
        <f t="shared" si="17"/>
        <v>0</v>
      </c>
      <c r="AG57" s="150">
        <f t="shared" si="18"/>
        <v>0</v>
      </c>
      <c r="AH57" s="150">
        <f t="shared" si="26"/>
        <v>0</v>
      </c>
      <c r="AI57" s="154">
        <f t="shared" si="19"/>
        <v>8192.0020000000004</v>
      </c>
      <c r="AJ57" s="70">
        <f t="shared" si="20"/>
        <v>8187.9980000000014</v>
      </c>
      <c r="AK57" s="155">
        <f t="shared" si="21"/>
        <v>0.22988758303525808</v>
      </c>
      <c r="AL57" s="155">
        <f t="shared" si="22"/>
        <v>0.2985553026431923</v>
      </c>
    </row>
    <row r="58" spans="2:38" ht="14.25" customHeight="1" x14ac:dyDescent="0.25">
      <c r="B58" s="174" t="s">
        <v>366</v>
      </c>
      <c r="C58" s="171" t="s">
        <v>73</v>
      </c>
      <c r="D58" s="103">
        <v>176</v>
      </c>
      <c r="E58" s="104" t="s">
        <v>76</v>
      </c>
      <c r="F58" s="92">
        <v>0</v>
      </c>
      <c r="G58" s="219">
        <f>IF(F58&gt;0,F58,
IF(B58&lt;&gt;"",
IF(C58="CLT",VLOOKUP(B58,'Lista Profissionais'!$C$11:$H$348,3,0),
VLOOKUP(B58,'Lista Profissionais'!$C$11:$H$348,6,0)), 0))</f>
        <v>5200</v>
      </c>
      <c r="H58" s="219">
        <f>IF(B58&lt;&gt;"",
IF(C58="CLT",
       22*$M$5 + (G58*'Lista Profissionais'!$G$9),0),0)</f>
        <v>0</v>
      </c>
      <c r="I58" s="66">
        <f t="shared" si="0"/>
        <v>5200</v>
      </c>
      <c r="J58" s="66">
        <f t="shared" si="1"/>
        <v>5200</v>
      </c>
      <c r="K58" s="66">
        <f t="shared" si="2"/>
        <v>7540.5720000000001</v>
      </c>
      <c r="L58" s="93">
        <f t="shared" si="23"/>
        <v>29.545454545454547</v>
      </c>
      <c r="M58" s="151"/>
      <c r="N58" s="152">
        <v>0</v>
      </c>
      <c r="O58" s="69">
        <f t="shared" si="3"/>
        <v>0</v>
      </c>
      <c r="P58" s="69">
        <f t="shared" si="4"/>
        <v>9880</v>
      </c>
      <c r="Q58" s="70">
        <f t="shared" si="5"/>
        <v>9880</v>
      </c>
      <c r="R58" s="153">
        <f t="shared" si="24"/>
        <v>296.39999999999998</v>
      </c>
      <c r="S58" s="70">
        <v>0</v>
      </c>
      <c r="T58" s="165">
        <f t="shared" si="6"/>
        <v>10176.4</v>
      </c>
      <c r="U58" s="163">
        <f t="shared" si="7"/>
        <v>57.820454545454545</v>
      </c>
      <c r="V58" s="164">
        <f t="shared" si="25"/>
        <v>0</v>
      </c>
      <c r="W58" s="164">
        <f t="shared" si="8"/>
        <v>0</v>
      </c>
      <c r="X58" s="144">
        <f t="shared" si="9"/>
        <v>0</v>
      </c>
      <c r="Y58" s="150">
        <f t="shared" si="10"/>
        <v>0</v>
      </c>
      <c r="Z58" s="150">
        <f t="shared" si="11"/>
        <v>0</v>
      </c>
      <c r="AA58" s="150">
        <f t="shared" si="12"/>
        <v>0</v>
      </c>
      <c r="AB58" s="182">
        <f t="shared" si="13"/>
        <v>0</v>
      </c>
      <c r="AC58" s="182">
        <f t="shared" si="14"/>
        <v>0</v>
      </c>
      <c r="AD58" s="182">
        <f t="shared" si="15"/>
        <v>0</v>
      </c>
      <c r="AE58" s="180">
        <f t="shared" si="16"/>
        <v>0</v>
      </c>
      <c r="AF58" s="150">
        <f t="shared" si="17"/>
        <v>0</v>
      </c>
      <c r="AG58" s="150">
        <f t="shared" si="18"/>
        <v>0</v>
      </c>
      <c r="AH58" s="150">
        <f t="shared" si="26"/>
        <v>0</v>
      </c>
      <c r="AI58" s="154">
        <f t="shared" si="19"/>
        <v>2340.5720000000001</v>
      </c>
      <c r="AJ58" s="70">
        <f t="shared" si="20"/>
        <v>2339.4279999999994</v>
      </c>
      <c r="AK58" s="155">
        <f t="shared" si="21"/>
        <v>0.229887583035258</v>
      </c>
      <c r="AL58" s="155">
        <f t="shared" si="22"/>
        <v>0.29855530264319219</v>
      </c>
    </row>
    <row r="59" spans="2:38" ht="14.25" customHeight="1" x14ac:dyDescent="0.25">
      <c r="B59" s="174" t="s">
        <v>367</v>
      </c>
      <c r="C59" s="171" t="s">
        <v>73</v>
      </c>
      <c r="D59" s="103">
        <v>176</v>
      </c>
      <c r="E59" s="104" t="s">
        <v>76</v>
      </c>
      <c r="F59" s="92">
        <v>0</v>
      </c>
      <c r="G59" s="219">
        <f>IF(F59&gt;0,F59,
IF(B59&lt;&gt;"",
IF(C59="CLT",VLOOKUP(B59,'Lista Profissionais'!$C$11:$H$348,3,0),
VLOOKUP(B59,'Lista Profissionais'!$C$11:$H$348,6,0)), 0))</f>
        <v>8450</v>
      </c>
      <c r="H59" s="219">
        <f>IF(B59&lt;&gt;"",
IF(C59="CLT",
       22*$M$5 + (G59*'Lista Profissionais'!$G$9),0),0)</f>
        <v>0</v>
      </c>
      <c r="I59" s="66">
        <f t="shared" si="0"/>
        <v>8450</v>
      </c>
      <c r="J59" s="66">
        <f t="shared" si="1"/>
        <v>8450</v>
      </c>
      <c r="K59" s="66">
        <f t="shared" si="2"/>
        <v>12253.4295</v>
      </c>
      <c r="L59" s="93">
        <f t="shared" si="23"/>
        <v>48.011363636363633</v>
      </c>
      <c r="M59" s="151"/>
      <c r="N59" s="152">
        <v>0</v>
      </c>
      <c r="O59" s="69">
        <f t="shared" si="3"/>
        <v>0</v>
      </c>
      <c r="P59" s="69">
        <f t="shared" si="4"/>
        <v>16055</v>
      </c>
      <c r="Q59" s="70">
        <f t="shared" si="5"/>
        <v>16055</v>
      </c>
      <c r="R59" s="153">
        <f t="shared" si="24"/>
        <v>481.65</v>
      </c>
      <c r="S59" s="70">
        <v>0</v>
      </c>
      <c r="T59" s="165">
        <f t="shared" si="6"/>
        <v>16536.650000000001</v>
      </c>
      <c r="U59" s="163">
        <f t="shared" si="7"/>
        <v>93.958238636363646</v>
      </c>
      <c r="V59" s="164">
        <f t="shared" si="25"/>
        <v>0</v>
      </c>
      <c r="W59" s="164">
        <f t="shared" si="8"/>
        <v>0</v>
      </c>
      <c r="X59" s="144">
        <f t="shared" si="9"/>
        <v>0</v>
      </c>
      <c r="Y59" s="150">
        <f t="shared" si="10"/>
        <v>0</v>
      </c>
      <c r="Z59" s="150">
        <f t="shared" si="11"/>
        <v>0</v>
      </c>
      <c r="AA59" s="150">
        <f t="shared" si="12"/>
        <v>0</v>
      </c>
      <c r="AB59" s="182">
        <f t="shared" si="13"/>
        <v>0</v>
      </c>
      <c r="AC59" s="182">
        <f t="shared" si="14"/>
        <v>0</v>
      </c>
      <c r="AD59" s="182">
        <f t="shared" si="15"/>
        <v>0</v>
      </c>
      <c r="AE59" s="180">
        <f t="shared" si="16"/>
        <v>0</v>
      </c>
      <c r="AF59" s="150">
        <f t="shared" si="17"/>
        <v>0</v>
      </c>
      <c r="AG59" s="150">
        <f t="shared" si="18"/>
        <v>0</v>
      </c>
      <c r="AH59" s="150">
        <f t="shared" si="26"/>
        <v>0</v>
      </c>
      <c r="AI59" s="154">
        <f t="shared" si="19"/>
        <v>3803.4295000000006</v>
      </c>
      <c r="AJ59" s="70">
        <f t="shared" si="20"/>
        <v>3801.5705000000012</v>
      </c>
      <c r="AK59" s="155">
        <f t="shared" si="21"/>
        <v>0.22988758303525811</v>
      </c>
      <c r="AL59" s="155">
        <f t="shared" si="22"/>
        <v>0.29855530264319236</v>
      </c>
    </row>
    <row r="60" spans="2:38" ht="14.25" customHeight="1" x14ac:dyDescent="0.25">
      <c r="B60" s="174" t="s">
        <v>368</v>
      </c>
      <c r="C60" s="171" t="s">
        <v>73</v>
      </c>
      <c r="D60" s="103">
        <v>176</v>
      </c>
      <c r="E60" s="104" t="s">
        <v>76</v>
      </c>
      <c r="F60" s="92">
        <v>0</v>
      </c>
      <c r="G60" s="219">
        <f>IF(F60&gt;0,F60,
IF(B60&lt;&gt;"",
IF(C60="CLT",VLOOKUP(B60,'Lista Profissionais'!$C$11:$H$348,3,0),
VLOOKUP(B60,'Lista Profissionais'!$C$11:$H$348,6,0)), 0))</f>
        <v>11700</v>
      </c>
      <c r="H60" s="219">
        <f>IF(B60&lt;&gt;"",
IF(C60="CLT",
       22*$M$5 + (G60*'Lista Profissionais'!$G$9),0),0)</f>
        <v>0</v>
      </c>
      <c r="I60" s="66">
        <f t="shared" si="0"/>
        <v>11700.000000000002</v>
      </c>
      <c r="J60" s="66">
        <f t="shared" si="1"/>
        <v>11700.000000000002</v>
      </c>
      <c r="K60" s="66">
        <f t="shared" si="2"/>
        <v>16966.287000000004</v>
      </c>
      <c r="L60" s="93">
        <f t="shared" si="23"/>
        <v>66.477272727272734</v>
      </c>
      <c r="M60" s="151"/>
      <c r="N60" s="152">
        <v>0</v>
      </c>
      <c r="O60" s="69">
        <f t="shared" si="3"/>
        <v>0</v>
      </c>
      <c r="P60" s="69">
        <f t="shared" si="4"/>
        <v>22230.000000000004</v>
      </c>
      <c r="Q60" s="70">
        <f t="shared" si="5"/>
        <v>22230.000000000004</v>
      </c>
      <c r="R60" s="153">
        <f t="shared" si="24"/>
        <v>666.90000000000009</v>
      </c>
      <c r="S60" s="70">
        <v>0</v>
      </c>
      <c r="T60" s="165">
        <f t="shared" si="6"/>
        <v>22896.900000000005</v>
      </c>
      <c r="U60" s="163">
        <f t="shared" si="7"/>
        <v>130.09602272727275</v>
      </c>
      <c r="V60" s="164">
        <f t="shared" si="25"/>
        <v>0</v>
      </c>
      <c r="W60" s="164">
        <f t="shared" si="8"/>
        <v>0</v>
      </c>
      <c r="X60" s="144">
        <f t="shared" si="9"/>
        <v>0</v>
      </c>
      <c r="Y60" s="150">
        <f t="shared" si="10"/>
        <v>0</v>
      </c>
      <c r="Z60" s="150">
        <f t="shared" si="11"/>
        <v>0</v>
      </c>
      <c r="AA60" s="150">
        <f t="shared" si="12"/>
        <v>0</v>
      </c>
      <c r="AB60" s="182">
        <f t="shared" si="13"/>
        <v>0</v>
      </c>
      <c r="AC60" s="182">
        <f t="shared" si="14"/>
        <v>0</v>
      </c>
      <c r="AD60" s="182">
        <f t="shared" si="15"/>
        <v>0</v>
      </c>
      <c r="AE60" s="180">
        <f t="shared" si="16"/>
        <v>0</v>
      </c>
      <c r="AF60" s="150">
        <f t="shared" si="17"/>
        <v>0</v>
      </c>
      <c r="AG60" s="150">
        <f t="shared" si="18"/>
        <v>0</v>
      </c>
      <c r="AH60" s="150">
        <f t="shared" si="26"/>
        <v>0</v>
      </c>
      <c r="AI60" s="154">
        <f t="shared" si="19"/>
        <v>5266.2870000000012</v>
      </c>
      <c r="AJ60" s="70">
        <f t="shared" si="20"/>
        <v>5263.7130000000034</v>
      </c>
      <c r="AK60" s="155">
        <f t="shared" si="21"/>
        <v>0.22988758303525814</v>
      </c>
      <c r="AL60" s="155">
        <f t="shared" si="22"/>
        <v>0.29855530264319236</v>
      </c>
    </row>
    <row r="61" spans="2:38" ht="14.25" customHeight="1" x14ac:dyDescent="0.25">
      <c r="B61" s="174" t="s">
        <v>287</v>
      </c>
      <c r="C61" s="171" t="s">
        <v>73</v>
      </c>
      <c r="D61" s="103">
        <v>176</v>
      </c>
      <c r="E61" s="104" t="s">
        <v>76</v>
      </c>
      <c r="F61" s="92">
        <v>0</v>
      </c>
      <c r="G61" s="219">
        <f>IF(F61&gt;0,F61,
IF(B61&lt;&gt;"",
IF(C61="CLT",VLOOKUP(B61,'Lista Profissionais'!$C$11:$H$348,3,0),
VLOOKUP(B61,'Lista Profissionais'!$C$11:$H$348,6,0)), 0))</f>
        <v>16900</v>
      </c>
      <c r="H61" s="219">
        <f>IF(B61&lt;&gt;"",
IF(C61="CLT",
       22*$M$5 + (G61*'Lista Profissionais'!$G$9),0),0)</f>
        <v>0</v>
      </c>
      <c r="I61" s="66">
        <f t="shared" si="0"/>
        <v>16900</v>
      </c>
      <c r="J61" s="66">
        <f t="shared" si="1"/>
        <v>16900</v>
      </c>
      <c r="K61" s="66">
        <f t="shared" si="2"/>
        <v>24506.859</v>
      </c>
      <c r="L61" s="93">
        <f t="shared" si="23"/>
        <v>96.022727272727266</v>
      </c>
      <c r="M61" s="151"/>
      <c r="N61" s="152">
        <v>0</v>
      </c>
      <c r="O61" s="69">
        <f t="shared" si="3"/>
        <v>0</v>
      </c>
      <c r="P61" s="69">
        <f t="shared" si="4"/>
        <v>32110</v>
      </c>
      <c r="Q61" s="70">
        <f t="shared" si="5"/>
        <v>32110</v>
      </c>
      <c r="R61" s="153">
        <f t="shared" si="24"/>
        <v>963.3</v>
      </c>
      <c r="S61" s="70">
        <v>0</v>
      </c>
      <c r="T61" s="165">
        <f t="shared" si="6"/>
        <v>33073.300000000003</v>
      </c>
      <c r="U61" s="163">
        <f t="shared" si="7"/>
        <v>187.91647727272729</v>
      </c>
      <c r="V61" s="164">
        <f t="shared" si="25"/>
        <v>0</v>
      </c>
      <c r="W61" s="164">
        <f t="shared" si="8"/>
        <v>0</v>
      </c>
      <c r="X61" s="144">
        <f t="shared" si="9"/>
        <v>0</v>
      </c>
      <c r="Y61" s="150">
        <f t="shared" si="10"/>
        <v>0</v>
      </c>
      <c r="Z61" s="150">
        <f t="shared" si="11"/>
        <v>0</v>
      </c>
      <c r="AA61" s="150">
        <f t="shared" si="12"/>
        <v>0</v>
      </c>
      <c r="AB61" s="182">
        <f t="shared" si="13"/>
        <v>0</v>
      </c>
      <c r="AC61" s="182">
        <f t="shared" si="14"/>
        <v>0</v>
      </c>
      <c r="AD61" s="182">
        <f t="shared" si="15"/>
        <v>0</v>
      </c>
      <c r="AE61" s="180">
        <f t="shared" si="16"/>
        <v>0</v>
      </c>
      <c r="AF61" s="150">
        <f t="shared" si="17"/>
        <v>0</v>
      </c>
      <c r="AG61" s="150">
        <f t="shared" si="18"/>
        <v>0</v>
      </c>
      <c r="AH61" s="150">
        <f t="shared" si="26"/>
        <v>0</v>
      </c>
      <c r="AI61" s="154">
        <f t="shared" si="19"/>
        <v>7606.8590000000013</v>
      </c>
      <c r="AJ61" s="70">
        <f t="shared" si="20"/>
        <v>7603.1410000000024</v>
      </c>
      <c r="AK61" s="155">
        <f t="shared" si="21"/>
        <v>0.22988758303525811</v>
      </c>
      <c r="AL61" s="155">
        <f t="shared" si="22"/>
        <v>0.29855530264319236</v>
      </c>
    </row>
    <row r="62" spans="2:38" ht="14.25" customHeight="1" x14ac:dyDescent="0.25">
      <c r="B62" s="174" t="s">
        <v>288</v>
      </c>
      <c r="C62" s="171" t="s">
        <v>73</v>
      </c>
      <c r="D62" s="103">
        <v>176</v>
      </c>
      <c r="E62" s="104" t="s">
        <v>76</v>
      </c>
      <c r="F62" s="92">
        <v>0</v>
      </c>
      <c r="G62" s="219">
        <f>IF(F62&gt;0,F62,
IF(B62&lt;&gt;"",
IF(C62="CLT",VLOOKUP(B62,'Lista Profissionais'!$C$11:$H$348,3,0),
VLOOKUP(B62,'Lista Profissionais'!$C$11:$H$348,6,0)), 0))</f>
        <v>6370</v>
      </c>
      <c r="H62" s="219">
        <f>IF(B62&lt;&gt;"",
IF(C62="CLT",
       22*$M$5 + (G62*'Lista Profissionais'!$G$9),0),0)</f>
        <v>0</v>
      </c>
      <c r="I62" s="66">
        <f t="shared" si="0"/>
        <v>6370</v>
      </c>
      <c r="J62" s="66">
        <f t="shared" si="1"/>
        <v>6370</v>
      </c>
      <c r="K62" s="66">
        <f t="shared" si="2"/>
        <v>9237.2007000000012</v>
      </c>
      <c r="L62" s="93">
        <f t="shared" si="23"/>
        <v>36.19318181818182</v>
      </c>
      <c r="M62" s="151"/>
      <c r="N62" s="152">
        <v>0</v>
      </c>
      <c r="O62" s="69">
        <f t="shared" si="3"/>
        <v>0</v>
      </c>
      <c r="P62" s="69">
        <f t="shared" si="4"/>
        <v>12103</v>
      </c>
      <c r="Q62" s="70">
        <f t="shared" si="5"/>
        <v>12103</v>
      </c>
      <c r="R62" s="153">
        <f t="shared" si="24"/>
        <v>363.09</v>
      </c>
      <c r="S62" s="70">
        <v>0</v>
      </c>
      <c r="T62" s="165">
        <f t="shared" si="6"/>
        <v>12466.09</v>
      </c>
      <c r="U62" s="163">
        <f t="shared" si="7"/>
        <v>70.830056818181816</v>
      </c>
      <c r="V62" s="164">
        <f t="shared" si="25"/>
        <v>0</v>
      </c>
      <c r="W62" s="164">
        <f t="shared" si="8"/>
        <v>0</v>
      </c>
      <c r="X62" s="144">
        <f t="shared" si="9"/>
        <v>0</v>
      </c>
      <c r="Y62" s="150">
        <f t="shared" si="10"/>
        <v>0</v>
      </c>
      <c r="Z62" s="150">
        <f t="shared" si="11"/>
        <v>0</v>
      </c>
      <c r="AA62" s="150">
        <f t="shared" si="12"/>
        <v>0</v>
      </c>
      <c r="AB62" s="182">
        <f t="shared" si="13"/>
        <v>0</v>
      </c>
      <c r="AC62" s="182">
        <f t="shared" si="14"/>
        <v>0</v>
      </c>
      <c r="AD62" s="182">
        <f t="shared" si="15"/>
        <v>0</v>
      </c>
      <c r="AE62" s="180">
        <f t="shared" si="16"/>
        <v>0</v>
      </c>
      <c r="AF62" s="150">
        <f t="shared" si="17"/>
        <v>0</v>
      </c>
      <c r="AG62" s="150">
        <f t="shared" si="18"/>
        <v>0</v>
      </c>
      <c r="AH62" s="150">
        <f t="shared" si="26"/>
        <v>0</v>
      </c>
      <c r="AI62" s="154">
        <f t="shared" si="19"/>
        <v>2867.2007000000003</v>
      </c>
      <c r="AJ62" s="70">
        <f t="shared" si="20"/>
        <v>2865.7992999999988</v>
      </c>
      <c r="AK62" s="155">
        <f t="shared" si="21"/>
        <v>0.22988758303525794</v>
      </c>
      <c r="AL62" s="155">
        <f t="shared" si="22"/>
        <v>0.29855530264319219</v>
      </c>
    </row>
    <row r="63" spans="2:38" ht="14.25" customHeight="1" x14ac:dyDescent="0.25">
      <c r="B63" s="174" t="s">
        <v>289</v>
      </c>
      <c r="C63" s="171" t="s">
        <v>73</v>
      </c>
      <c r="D63" s="103">
        <v>176</v>
      </c>
      <c r="E63" s="104" t="s">
        <v>76</v>
      </c>
      <c r="F63" s="92">
        <v>0</v>
      </c>
      <c r="G63" s="219">
        <f>IF(F63&gt;0,F63,
IF(B63&lt;&gt;"",
IF(C63="CLT",VLOOKUP(B63,'Lista Profissionais'!$C$11:$H$348,3,0),
VLOOKUP(B63,'Lista Profissionais'!$C$11:$H$348,6,0)), 0))</f>
        <v>11700</v>
      </c>
      <c r="H63" s="219">
        <f>IF(B63&lt;&gt;"",
IF(C63="CLT",
       22*$M$5 + (G63*'Lista Profissionais'!$G$9),0),0)</f>
        <v>0</v>
      </c>
      <c r="I63" s="66">
        <f t="shared" si="0"/>
        <v>11700.000000000002</v>
      </c>
      <c r="J63" s="66">
        <f t="shared" si="1"/>
        <v>11700.000000000002</v>
      </c>
      <c r="K63" s="66">
        <f t="shared" si="2"/>
        <v>16966.287000000004</v>
      </c>
      <c r="L63" s="93">
        <f t="shared" si="23"/>
        <v>66.477272727272734</v>
      </c>
      <c r="M63" s="151"/>
      <c r="N63" s="152">
        <v>0</v>
      </c>
      <c r="O63" s="69">
        <f t="shared" si="3"/>
        <v>0</v>
      </c>
      <c r="P63" s="69">
        <f t="shared" si="4"/>
        <v>22230.000000000004</v>
      </c>
      <c r="Q63" s="70">
        <f t="shared" si="5"/>
        <v>22230.000000000004</v>
      </c>
      <c r="R63" s="153">
        <f t="shared" si="24"/>
        <v>666.90000000000009</v>
      </c>
      <c r="S63" s="70">
        <v>0</v>
      </c>
      <c r="T63" s="165">
        <f t="shared" si="6"/>
        <v>22896.900000000005</v>
      </c>
      <c r="U63" s="163">
        <f t="shared" si="7"/>
        <v>130.09602272727275</v>
      </c>
      <c r="V63" s="164">
        <f t="shared" si="25"/>
        <v>0</v>
      </c>
      <c r="W63" s="164">
        <f t="shared" si="8"/>
        <v>0</v>
      </c>
      <c r="X63" s="144">
        <f t="shared" si="9"/>
        <v>0</v>
      </c>
      <c r="Y63" s="150">
        <f t="shared" si="10"/>
        <v>0</v>
      </c>
      <c r="Z63" s="150">
        <f t="shared" si="11"/>
        <v>0</v>
      </c>
      <c r="AA63" s="150">
        <f t="shared" si="12"/>
        <v>0</v>
      </c>
      <c r="AB63" s="182">
        <f t="shared" si="13"/>
        <v>0</v>
      </c>
      <c r="AC63" s="182">
        <f t="shared" si="14"/>
        <v>0</v>
      </c>
      <c r="AD63" s="182">
        <f t="shared" si="15"/>
        <v>0</v>
      </c>
      <c r="AE63" s="180">
        <f t="shared" si="16"/>
        <v>0</v>
      </c>
      <c r="AF63" s="150">
        <f t="shared" si="17"/>
        <v>0</v>
      </c>
      <c r="AG63" s="150">
        <f t="shared" si="18"/>
        <v>0</v>
      </c>
      <c r="AH63" s="150">
        <f t="shared" si="26"/>
        <v>0</v>
      </c>
      <c r="AI63" s="154">
        <f t="shared" si="19"/>
        <v>5266.2870000000012</v>
      </c>
      <c r="AJ63" s="70">
        <f t="shared" si="20"/>
        <v>5263.7130000000034</v>
      </c>
      <c r="AK63" s="155">
        <f t="shared" si="21"/>
        <v>0.22988758303525814</v>
      </c>
      <c r="AL63" s="155">
        <f t="shared" si="22"/>
        <v>0.29855530264319236</v>
      </c>
    </row>
    <row r="64" spans="2:38" ht="14.25" customHeight="1" x14ac:dyDescent="0.25">
      <c r="B64" s="174" t="s">
        <v>290</v>
      </c>
      <c r="C64" s="171" t="s">
        <v>73</v>
      </c>
      <c r="D64" s="103">
        <v>176</v>
      </c>
      <c r="E64" s="104" t="s">
        <v>76</v>
      </c>
      <c r="F64" s="92">
        <v>0</v>
      </c>
      <c r="G64" s="219">
        <f>IF(F64&gt;0,F64,
IF(B64&lt;&gt;"",
IF(C64="CLT",VLOOKUP(B64,'Lista Profissionais'!$C$11:$H$348,3,0),
VLOOKUP(B64,'Lista Profissionais'!$C$11:$H$348,6,0)), 0))</f>
        <v>14300</v>
      </c>
      <c r="H64" s="219">
        <f>IF(B64&lt;&gt;"",
IF(C64="CLT",
       22*$M$5 + (G64*'Lista Profissionais'!$G$9),0),0)</f>
        <v>0</v>
      </c>
      <c r="I64" s="66">
        <f t="shared" si="0"/>
        <v>14300</v>
      </c>
      <c r="J64" s="66">
        <f t="shared" si="1"/>
        <v>14300</v>
      </c>
      <c r="K64" s="66">
        <f t="shared" si="2"/>
        <v>20736.573</v>
      </c>
      <c r="L64" s="93">
        <f t="shared" si="23"/>
        <v>81.25</v>
      </c>
      <c r="M64" s="151"/>
      <c r="N64" s="152">
        <v>0</v>
      </c>
      <c r="O64" s="69">
        <f t="shared" si="3"/>
        <v>0</v>
      </c>
      <c r="P64" s="69">
        <f t="shared" si="4"/>
        <v>27170</v>
      </c>
      <c r="Q64" s="70">
        <f t="shared" si="5"/>
        <v>27170</v>
      </c>
      <c r="R64" s="153">
        <f t="shared" si="24"/>
        <v>815.1</v>
      </c>
      <c r="S64" s="70">
        <v>0</v>
      </c>
      <c r="T64" s="165">
        <f t="shared" si="6"/>
        <v>27985.1</v>
      </c>
      <c r="U64" s="163">
        <f t="shared" si="7"/>
        <v>159.00624999999999</v>
      </c>
      <c r="V64" s="164">
        <f t="shared" si="25"/>
        <v>0</v>
      </c>
      <c r="W64" s="164">
        <f t="shared" si="8"/>
        <v>0</v>
      </c>
      <c r="X64" s="144">
        <f t="shared" si="9"/>
        <v>0</v>
      </c>
      <c r="Y64" s="150">
        <f t="shared" si="10"/>
        <v>0</v>
      </c>
      <c r="Z64" s="150">
        <f t="shared" si="11"/>
        <v>0</v>
      </c>
      <c r="AA64" s="150">
        <f t="shared" si="12"/>
        <v>0</v>
      </c>
      <c r="AB64" s="182">
        <f t="shared" si="13"/>
        <v>0</v>
      </c>
      <c r="AC64" s="182">
        <f t="shared" si="14"/>
        <v>0</v>
      </c>
      <c r="AD64" s="182">
        <f t="shared" si="15"/>
        <v>0</v>
      </c>
      <c r="AE64" s="180">
        <f t="shared" si="16"/>
        <v>0</v>
      </c>
      <c r="AF64" s="150">
        <f t="shared" si="17"/>
        <v>0</v>
      </c>
      <c r="AG64" s="150">
        <f t="shared" si="18"/>
        <v>0</v>
      </c>
      <c r="AH64" s="150">
        <f t="shared" si="26"/>
        <v>0</v>
      </c>
      <c r="AI64" s="154">
        <f t="shared" si="19"/>
        <v>6436.5730000000003</v>
      </c>
      <c r="AJ64" s="70">
        <f t="shared" si="20"/>
        <v>6433.4269999999979</v>
      </c>
      <c r="AK64" s="155">
        <f t="shared" si="21"/>
        <v>0.22988758303525797</v>
      </c>
      <c r="AL64" s="155">
        <f t="shared" si="22"/>
        <v>0.29855530264319219</v>
      </c>
    </row>
    <row r="65" spans="2:38" ht="14.25" customHeight="1" x14ac:dyDescent="0.25">
      <c r="B65" s="174" t="s">
        <v>291</v>
      </c>
      <c r="C65" s="171" t="s">
        <v>73</v>
      </c>
      <c r="D65" s="103">
        <v>176</v>
      </c>
      <c r="E65" s="104" t="s">
        <v>76</v>
      </c>
      <c r="F65" s="92">
        <v>0</v>
      </c>
      <c r="G65" s="219">
        <f>IF(F65&gt;0,F65,
IF(B65&lt;&gt;"",
IF(C65="CLT",VLOOKUP(B65,'Lista Profissionais'!$C$11:$H$348,3,0),
VLOOKUP(B65,'Lista Profissionais'!$C$11:$H$348,6,0)), 0))</f>
        <v>16900</v>
      </c>
      <c r="H65" s="219">
        <f>IF(B65&lt;&gt;"",
IF(C65="CLT",
       22*$M$5 + (G65*'Lista Profissionais'!$G$9),0),0)</f>
        <v>0</v>
      </c>
      <c r="I65" s="66">
        <f t="shared" si="0"/>
        <v>16900</v>
      </c>
      <c r="J65" s="66">
        <f t="shared" si="1"/>
        <v>16900</v>
      </c>
      <c r="K65" s="66">
        <f t="shared" si="2"/>
        <v>24506.859</v>
      </c>
      <c r="L65" s="93">
        <f t="shared" si="23"/>
        <v>96.022727272727266</v>
      </c>
      <c r="M65" s="151"/>
      <c r="N65" s="152">
        <v>0</v>
      </c>
      <c r="O65" s="69">
        <f t="shared" si="3"/>
        <v>0</v>
      </c>
      <c r="P65" s="69">
        <f t="shared" si="4"/>
        <v>32110</v>
      </c>
      <c r="Q65" s="70">
        <f t="shared" si="5"/>
        <v>32110</v>
      </c>
      <c r="R65" s="153">
        <f t="shared" si="24"/>
        <v>963.3</v>
      </c>
      <c r="S65" s="70">
        <v>0</v>
      </c>
      <c r="T65" s="165">
        <f t="shared" si="6"/>
        <v>33073.300000000003</v>
      </c>
      <c r="U65" s="163">
        <f t="shared" si="7"/>
        <v>187.91647727272729</v>
      </c>
      <c r="V65" s="164">
        <f t="shared" si="25"/>
        <v>0</v>
      </c>
      <c r="W65" s="164">
        <f t="shared" si="8"/>
        <v>0</v>
      </c>
      <c r="X65" s="144">
        <f t="shared" si="9"/>
        <v>0</v>
      </c>
      <c r="Y65" s="150">
        <f t="shared" si="10"/>
        <v>0</v>
      </c>
      <c r="Z65" s="150">
        <f t="shared" si="11"/>
        <v>0</v>
      </c>
      <c r="AA65" s="150">
        <f t="shared" si="12"/>
        <v>0</v>
      </c>
      <c r="AB65" s="182">
        <f t="shared" si="13"/>
        <v>0</v>
      </c>
      <c r="AC65" s="182">
        <f t="shared" si="14"/>
        <v>0</v>
      </c>
      <c r="AD65" s="182">
        <f t="shared" si="15"/>
        <v>0</v>
      </c>
      <c r="AE65" s="180">
        <f t="shared" si="16"/>
        <v>0</v>
      </c>
      <c r="AF65" s="150">
        <f t="shared" si="17"/>
        <v>0</v>
      </c>
      <c r="AG65" s="150">
        <f t="shared" si="18"/>
        <v>0</v>
      </c>
      <c r="AH65" s="150">
        <f t="shared" si="26"/>
        <v>0</v>
      </c>
      <c r="AI65" s="154">
        <f t="shared" si="19"/>
        <v>7606.8590000000013</v>
      </c>
      <c r="AJ65" s="70">
        <f t="shared" si="20"/>
        <v>7603.1410000000024</v>
      </c>
      <c r="AK65" s="155">
        <f t="shared" si="21"/>
        <v>0.22988758303525811</v>
      </c>
      <c r="AL65" s="155">
        <f t="shared" si="22"/>
        <v>0.29855530264319236</v>
      </c>
    </row>
    <row r="66" spans="2:38" ht="14.25" customHeight="1" x14ac:dyDescent="0.25">
      <c r="B66" s="174" t="s">
        <v>292</v>
      </c>
      <c r="C66" s="171" t="s">
        <v>73</v>
      </c>
      <c r="D66" s="103">
        <v>176</v>
      </c>
      <c r="E66" s="104" t="s">
        <v>76</v>
      </c>
      <c r="F66" s="92">
        <v>0</v>
      </c>
      <c r="G66" s="219">
        <f>IF(F66&gt;0,F66,
IF(B66&lt;&gt;"",
IF(C66="CLT",VLOOKUP(B66,'Lista Profissionais'!$C$11:$H$348,3,0),
VLOOKUP(B66,'Lista Profissionais'!$C$11:$H$348,6,0)), 0))</f>
        <v>6370</v>
      </c>
      <c r="H66" s="219">
        <f>IF(B66&lt;&gt;"",
IF(C66="CLT",
       22*$M$5 + (G66*'Lista Profissionais'!$G$9),0),0)</f>
        <v>0</v>
      </c>
      <c r="I66" s="66">
        <f t="shared" si="0"/>
        <v>6370</v>
      </c>
      <c r="J66" s="66">
        <f t="shared" si="1"/>
        <v>6370</v>
      </c>
      <c r="K66" s="66">
        <f t="shared" si="2"/>
        <v>9237.2007000000012</v>
      </c>
      <c r="L66" s="93">
        <f t="shared" si="23"/>
        <v>36.19318181818182</v>
      </c>
      <c r="M66" s="151"/>
      <c r="N66" s="152">
        <v>0</v>
      </c>
      <c r="O66" s="69">
        <f t="shared" si="3"/>
        <v>0</v>
      </c>
      <c r="P66" s="69">
        <f t="shared" si="4"/>
        <v>12103</v>
      </c>
      <c r="Q66" s="70">
        <f t="shared" si="5"/>
        <v>12103</v>
      </c>
      <c r="R66" s="153">
        <f t="shared" si="24"/>
        <v>363.09</v>
      </c>
      <c r="S66" s="70">
        <v>0</v>
      </c>
      <c r="T66" s="165">
        <f t="shared" si="6"/>
        <v>12466.09</v>
      </c>
      <c r="U66" s="163">
        <f t="shared" si="7"/>
        <v>70.830056818181816</v>
      </c>
      <c r="V66" s="164">
        <f t="shared" si="25"/>
        <v>0</v>
      </c>
      <c r="W66" s="164">
        <f t="shared" si="8"/>
        <v>0</v>
      </c>
      <c r="X66" s="144">
        <f t="shared" si="9"/>
        <v>0</v>
      </c>
      <c r="Y66" s="150">
        <f t="shared" si="10"/>
        <v>0</v>
      </c>
      <c r="Z66" s="150">
        <f t="shared" si="11"/>
        <v>0</v>
      </c>
      <c r="AA66" s="150">
        <f t="shared" si="12"/>
        <v>0</v>
      </c>
      <c r="AB66" s="182">
        <f t="shared" si="13"/>
        <v>0</v>
      </c>
      <c r="AC66" s="182">
        <f t="shared" si="14"/>
        <v>0</v>
      </c>
      <c r="AD66" s="182">
        <f t="shared" si="15"/>
        <v>0</v>
      </c>
      <c r="AE66" s="180">
        <f t="shared" si="16"/>
        <v>0</v>
      </c>
      <c r="AF66" s="150">
        <f t="shared" si="17"/>
        <v>0</v>
      </c>
      <c r="AG66" s="150">
        <f t="shared" si="18"/>
        <v>0</v>
      </c>
      <c r="AH66" s="150">
        <f t="shared" si="26"/>
        <v>0</v>
      </c>
      <c r="AI66" s="154">
        <f t="shared" si="19"/>
        <v>2867.2007000000003</v>
      </c>
      <c r="AJ66" s="70">
        <f t="shared" si="20"/>
        <v>2865.7992999999988</v>
      </c>
      <c r="AK66" s="155">
        <f t="shared" si="21"/>
        <v>0.22988758303525794</v>
      </c>
      <c r="AL66" s="155">
        <f t="shared" si="22"/>
        <v>0.29855530264319219</v>
      </c>
    </row>
    <row r="67" spans="2:38" ht="14.25" customHeight="1" x14ac:dyDescent="0.25">
      <c r="B67" s="174" t="s">
        <v>293</v>
      </c>
      <c r="C67" s="171" t="s">
        <v>73</v>
      </c>
      <c r="D67" s="103">
        <v>176</v>
      </c>
      <c r="E67" s="104" t="s">
        <v>76</v>
      </c>
      <c r="F67" s="92">
        <v>0</v>
      </c>
      <c r="G67" s="219">
        <f>IF(F67&gt;0,F67,
IF(B67&lt;&gt;"",
IF(C67="CLT",VLOOKUP(B67,'Lista Profissionais'!$C$11:$H$348,3,0),
VLOOKUP(B67,'Lista Profissionais'!$C$11:$H$348,6,0)), 0))</f>
        <v>11700</v>
      </c>
      <c r="H67" s="219">
        <f>IF(B67&lt;&gt;"",
IF(C67="CLT",
       22*$M$5 + (G67*'Lista Profissionais'!$G$9),0),0)</f>
        <v>0</v>
      </c>
      <c r="I67" s="66">
        <f t="shared" si="0"/>
        <v>11700.000000000002</v>
      </c>
      <c r="J67" s="66">
        <f t="shared" si="1"/>
        <v>11700.000000000002</v>
      </c>
      <c r="K67" s="66">
        <f t="shared" si="2"/>
        <v>16966.287000000004</v>
      </c>
      <c r="L67" s="93">
        <f t="shared" si="23"/>
        <v>66.477272727272734</v>
      </c>
      <c r="M67" s="151"/>
      <c r="N67" s="152">
        <v>0</v>
      </c>
      <c r="O67" s="69">
        <f t="shared" si="3"/>
        <v>0</v>
      </c>
      <c r="P67" s="69">
        <f t="shared" si="4"/>
        <v>22230.000000000004</v>
      </c>
      <c r="Q67" s="70">
        <f t="shared" si="5"/>
        <v>22230.000000000004</v>
      </c>
      <c r="R67" s="153">
        <f t="shared" si="24"/>
        <v>666.90000000000009</v>
      </c>
      <c r="S67" s="70">
        <v>0</v>
      </c>
      <c r="T67" s="165">
        <f t="shared" si="6"/>
        <v>22896.900000000005</v>
      </c>
      <c r="U67" s="163">
        <f t="shared" si="7"/>
        <v>130.09602272727275</v>
      </c>
      <c r="V67" s="164">
        <f t="shared" si="25"/>
        <v>0</v>
      </c>
      <c r="W67" s="164">
        <f t="shared" si="8"/>
        <v>0</v>
      </c>
      <c r="X67" s="144">
        <f t="shared" si="9"/>
        <v>0</v>
      </c>
      <c r="Y67" s="150">
        <f t="shared" si="10"/>
        <v>0</v>
      </c>
      <c r="Z67" s="150">
        <f t="shared" si="11"/>
        <v>0</v>
      </c>
      <c r="AA67" s="150">
        <f t="shared" si="12"/>
        <v>0</v>
      </c>
      <c r="AB67" s="182">
        <f t="shared" si="13"/>
        <v>0</v>
      </c>
      <c r="AC67" s="182">
        <f t="shared" si="14"/>
        <v>0</v>
      </c>
      <c r="AD67" s="182">
        <f t="shared" si="15"/>
        <v>0</v>
      </c>
      <c r="AE67" s="180">
        <f t="shared" si="16"/>
        <v>0</v>
      </c>
      <c r="AF67" s="150">
        <f t="shared" si="17"/>
        <v>0</v>
      </c>
      <c r="AG67" s="150">
        <f t="shared" si="18"/>
        <v>0</v>
      </c>
      <c r="AH67" s="150">
        <f t="shared" si="26"/>
        <v>0</v>
      </c>
      <c r="AI67" s="154">
        <f t="shared" si="19"/>
        <v>5266.2870000000012</v>
      </c>
      <c r="AJ67" s="70">
        <f t="shared" si="20"/>
        <v>5263.7130000000034</v>
      </c>
      <c r="AK67" s="155">
        <f t="shared" si="21"/>
        <v>0.22988758303525814</v>
      </c>
      <c r="AL67" s="155">
        <f t="shared" si="22"/>
        <v>0.29855530264319236</v>
      </c>
    </row>
    <row r="68" spans="2:38" ht="15.75" customHeight="1" x14ac:dyDescent="0.25">
      <c r="B68" s="174" t="s">
        <v>294</v>
      </c>
      <c r="C68" s="171" t="s">
        <v>73</v>
      </c>
      <c r="D68" s="103">
        <v>176</v>
      </c>
      <c r="E68" s="104" t="s">
        <v>76</v>
      </c>
      <c r="F68" s="92">
        <v>0</v>
      </c>
      <c r="G68" s="219">
        <f>IF(F68&gt;0,F68,
IF(B68&lt;&gt;"",
IF(C68="CLT",VLOOKUP(B68,'Lista Profissionais'!$C$11:$H$348,3,0),
VLOOKUP(B68,'Lista Profissionais'!$C$11:$H$348,6,0)), 0))</f>
        <v>14300</v>
      </c>
      <c r="H68" s="219">
        <f>IF(B68&lt;&gt;"",
IF(C68="CLT",
       22*$M$5 + (G68*'Lista Profissionais'!$G$9),0),0)</f>
        <v>0</v>
      </c>
      <c r="I68" s="66">
        <f t="shared" si="0"/>
        <v>14300</v>
      </c>
      <c r="J68" s="66">
        <f t="shared" si="1"/>
        <v>14300</v>
      </c>
      <c r="K68" s="66">
        <f t="shared" si="2"/>
        <v>20736.573</v>
      </c>
      <c r="L68" s="93">
        <f t="shared" si="23"/>
        <v>81.25</v>
      </c>
      <c r="M68" s="151"/>
      <c r="N68" s="152">
        <v>0</v>
      </c>
      <c r="O68" s="69">
        <f t="shared" si="3"/>
        <v>0</v>
      </c>
      <c r="P68" s="69">
        <f t="shared" si="4"/>
        <v>27170</v>
      </c>
      <c r="Q68" s="70">
        <f t="shared" si="5"/>
        <v>27170</v>
      </c>
      <c r="R68" s="153">
        <f t="shared" si="24"/>
        <v>815.1</v>
      </c>
      <c r="S68" s="70">
        <v>0</v>
      </c>
      <c r="T68" s="165">
        <f t="shared" si="6"/>
        <v>27985.1</v>
      </c>
      <c r="U68" s="163">
        <f t="shared" si="7"/>
        <v>159.00624999999999</v>
      </c>
      <c r="V68" s="164">
        <f t="shared" si="25"/>
        <v>0</v>
      </c>
      <c r="W68" s="164">
        <f t="shared" si="8"/>
        <v>0</v>
      </c>
      <c r="X68" s="144">
        <f t="shared" si="9"/>
        <v>0</v>
      </c>
      <c r="Y68" s="150">
        <f t="shared" si="10"/>
        <v>0</v>
      </c>
      <c r="Z68" s="150">
        <f t="shared" si="11"/>
        <v>0</v>
      </c>
      <c r="AA68" s="150">
        <f t="shared" si="12"/>
        <v>0</v>
      </c>
      <c r="AB68" s="182">
        <f t="shared" si="13"/>
        <v>0</v>
      </c>
      <c r="AC68" s="182">
        <f t="shared" si="14"/>
        <v>0</v>
      </c>
      <c r="AD68" s="182">
        <f t="shared" si="15"/>
        <v>0</v>
      </c>
      <c r="AE68" s="180">
        <f t="shared" si="16"/>
        <v>0</v>
      </c>
      <c r="AF68" s="150">
        <f t="shared" si="17"/>
        <v>0</v>
      </c>
      <c r="AG68" s="150">
        <f t="shared" si="18"/>
        <v>0</v>
      </c>
      <c r="AH68" s="150">
        <f t="shared" si="26"/>
        <v>0</v>
      </c>
      <c r="AI68" s="154">
        <f t="shared" si="19"/>
        <v>6436.5730000000003</v>
      </c>
      <c r="AJ68" s="70">
        <f t="shared" si="20"/>
        <v>6433.4269999999979</v>
      </c>
      <c r="AK68" s="155">
        <f t="shared" si="21"/>
        <v>0.22988758303525797</v>
      </c>
      <c r="AL68" s="155">
        <f t="shared" si="22"/>
        <v>0.29855530264319219</v>
      </c>
    </row>
    <row r="69" spans="2:38" ht="15.75" customHeight="1" x14ac:dyDescent="0.25">
      <c r="B69" s="174" t="s">
        <v>295</v>
      </c>
      <c r="C69" s="171" t="s">
        <v>73</v>
      </c>
      <c r="D69" s="103">
        <v>176</v>
      </c>
      <c r="E69" s="104" t="s">
        <v>76</v>
      </c>
      <c r="F69" s="92">
        <v>0</v>
      </c>
      <c r="G69" s="219">
        <f>IF(F69&gt;0,F69,
IF(B69&lt;&gt;"",
IF(C69="CLT",VLOOKUP(B69,'Lista Profissionais'!$C$11:$H$348,3,0),
VLOOKUP(B69,'Lista Profissionais'!$C$11:$H$348,6,0)), 0))</f>
        <v>17680</v>
      </c>
      <c r="H69" s="219">
        <f>IF(B69&lt;&gt;"",
IF(C69="CLT",
       22*$M$5 + (G69*'Lista Profissionais'!$G$9),0),0)</f>
        <v>0</v>
      </c>
      <c r="I69" s="66">
        <f t="shared" si="0"/>
        <v>17680</v>
      </c>
      <c r="J69" s="66">
        <f t="shared" si="1"/>
        <v>17680</v>
      </c>
      <c r="K69" s="66">
        <f t="shared" si="2"/>
        <v>25637.944800000001</v>
      </c>
      <c r="L69" s="93">
        <f t="shared" si="23"/>
        <v>100.45454545454545</v>
      </c>
      <c r="M69" s="151"/>
      <c r="N69" s="152">
        <v>0</v>
      </c>
      <c r="O69" s="69">
        <f t="shared" si="3"/>
        <v>0</v>
      </c>
      <c r="P69" s="69">
        <f t="shared" si="4"/>
        <v>33592</v>
      </c>
      <c r="Q69" s="70">
        <f t="shared" si="5"/>
        <v>33592</v>
      </c>
      <c r="R69" s="153">
        <f t="shared" si="24"/>
        <v>1007.76</v>
      </c>
      <c r="S69" s="70">
        <v>0</v>
      </c>
      <c r="T69" s="165">
        <f t="shared" si="6"/>
        <v>34599.760000000002</v>
      </c>
      <c r="U69" s="163">
        <f t="shared" si="7"/>
        <v>196.58954545454546</v>
      </c>
      <c r="V69" s="164">
        <f t="shared" si="25"/>
        <v>0</v>
      </c>
      <c r="W69" s="164">
        <f t="shared" si="8"/>
        <v>0</v>
      </c>
      <c r="X69" s="144">
        <f t="shared" si="9"/>
        <v>0</v>
      </c>
      <c r="Y69" s="150">
        <f t="shared" si="10"/>
        <v>0</v>
      </c>
      <c r="Z69" s="150">
        <f t="shared" si="11"/>
        <v>0</v>
      </c>
      <c r="AA69" s="150">
        <f t="shared" si="12"/>
        <v>0</v>
      </c>
      <c r="AB69" s="182">
        <f t="shared" si="13"/>
        <v>0</v>
      </c>
      <c r="AC69" s="182">
        <f t="shared" si="14"/>
        <v>0</v>
      </c>
      <c r="AD69" s="182">
        <f t="shared" si="15"/>
        <v>0</v>
      </c>
      <c r="AE69" s="180">
        <f t="shared" si="16"/>
        <v>0</v>
      </c>
      <c r="AF69" s="150">
        <f t="shared" si="17"/>
        <v>0</v>
      </c>
      <c r="AG69" s="150">
        <f t="shared" si="18"/>
        <v>0</v>
      </c>
      <c r="AH69" s="150">
        <f t="shared" si="26"/>
        <v>0</v>
      </c>
      <c r="AI69" s="154">
        <f t="shared" si="19"/>
        <v>7957.9448000000011</v>
      </c>
      <c r="AJ69" s="70">
        <f t="shared" si="20"/>
        <v>7954.0552000000007</v>
      </c>
      <c r="AK69" s="155">
        <f t="shared" si="21"/>
        <v>0.22988758303525805</v>
      </c>
      <c r="AL69" s="155">
        <f t="shared" si="22"/>
        <v>0.2985553026431923</v>
      </c>
    </row>
    <row r="70" spans="2:38" ht="15.75" customHeight="1" x14ac:dyDescent="0.25">
      <c r="B70" s="174" t="s">
        <v>296</v>
      </c>
      <c r="C70" s="171" t="s">
        <v>73</v>
      </c>
      <c r="D70" s="103">
        <v>176</v>
      </c>
      <c r="E70" s="104" t="s">
        <v>76</v>
      </c>
      <c r="F70" s="92">
        <v>0</v>
      </c>
      <c r="G70" s="219">
        <f>IF(F70&gt;0,F70,
IF(B70&lt;&gt;"",
IF(C70="CLT",VLOOKUP(B70,'Lista Profissionais'!$C$11:$H$348,3,0),
VLOOKUP(B70,'Lista Profissionais'!$C$11:$H$348,6,0)), 0))</f>
        <v>6370</v>
      </c>
      <c r="H70" s="219">
        <f>IF(B70&lt;&gt;"",
IF(C70="CLT",
       22*$M$5 + (G70*'Lista Profissionais'!$G$9),0),0)</f>
        <v>0</v>
      </c>
      <c r="I70" s="66">
        <f t="shared" si="0"/>
        <v>6370</v>
      </c>
      <c r="J70" s="66">
        <f t="shared" si="1"/>
        <v>6370</v>
      </c>
      <c r="K70" s="66">
        <f t="shared" si="2"/>
        <v>9237.2007000000012</v>
      </c>
      <c r="L70" s="93">
        <f t="shared" si="23"/>
        <v>36.19318181818182</v>
      </c>
      <c r="M70" s="151"/>
      <c r="N70" s="152">
        <v>0</v>
      </c>
      <c r="O70" s="69">
        <f t="shared" si="3"/>
        <v>0</v>
      </c>
      <c r="P70" s="69">
        <f t="shared" si="4"/>
        <v>12103</v>
      </c>
      <c r="Q70" s="70">
        <f t="shared" si="5"/>
        <v>12103</v>
      </c>
      <c r="R70" s="153">
        <f t="shared" si="24"/>
        <v>363.09</v>
      </c>
      <c r="S70" s="70">
        <v>0</v>
      </c>
      <c r="T70" s="165">
        <f t="shared" si="6"/>
        <v>12466.09</v>
      </c>
      <c r="U70" s="163">
        <f t="shared" si="7"/>
        <v>70.830056818181816</v>
      </c>
      <c r="V70" s="164">
        <f t="shared" si="25"/>
        <v>0</v>
      </c>
      <c r="W70" s="164">
        <f t="shared" si="8"/>
        <v>0</v>
      </c>
      <c r="X70" s="144">
        <f t="shared" si="9"/>
        <v>0</v>
      </c>
      <c r="Y70" s="150">
        <f t="shared" si="10"/>
        <v>0</v>
      </c>
      <c r="Z70" s="150">
        <f t="shared" si="11"/>
        <v>0</v>
      </c>
      <c r="AA70" s="150">
        <f t="shared" si="12"/>
        <v>0</v>
      </c>
      <c r="AB70" s="182">
        <f t="shared" si="13"/>
        <v>0</v>
      </c>
      <c r="AC70" s="182">
        <f t="shared" si="14"/>
        <v>0</v>
      </c>
      <c r="AD70" s="182">
        <f t="shared" si="15"/>
        <v>0</v>
      </c>
      <c r="AE70" s="180">
        <f t="shared" si="16"/>
        <v>0</v>
      </c>
      <c r="AF70" s="150">
        <f t="shared" si="17"/>
        <v>0</v>
      </c>
      <c r="AG70" s="150">
        <f t="shared" si="18"/>
        <v>0</v>
      </c>
      <c r="AH70" s="150">
        <f t="shared" si="26"/>
        <v>0</v>
      </c>
      <c r="AI70" s="154">
        <f t="shared" si="19"/>
        <v>2867.2007000000003</v>
      </c>
      <c r="AJ70" s="70">
        <f t="shared" si="20"/>
        <v>2865.7992999999988</v>
      </c>
      <c r="AK70" s="155">
        <f t="shared" si="21"/>
        <v>0.22988758303525794</v>
      </c>
      <c r="AL70" s="155">
        <f t="shared" si="22"/>
        <v>0.29855530264319219</v>
      </c>
    </row>
    <row r="71" spans="2:38" ht="15.75" customHeight="1" x14ac:dyDescent="0.25">
      <c r="B71" s="174" t="s">
        <v>297</v>
      </c>
      <c r="C71" s="171" t="s">
        <v>73</v>
      </c>
      <c r="D71" s="103">
        <v>176</v>
      </c>
      <c r="E71" s="104" t="s">
        <v>76</v>
      </c>
      <c r="F71" s="92">
        <v>0</v>
      </c>
      <c r="G71" s="219">
        <f>IF(F71&gt;0,F71,
IF(B71&lt;&gt;"",
IF(C71="CLT",VLOOKUP(B71,'Lista Profissionais'!$C$11:$H$348,3,0),
VLOOKUP(B71,'Lista Profissionais'!$C$11:$H$348,6,0)), 0))</f>
        <v>12220</v>
      </c>
      <c r="H71" s="219">
        <f>IF(B71&lt;&gt;"",
IF(C71="CLT",
       22*$M$5 + (G71*'Lista Profissionais'!$G$9),0),0)</f>
        <v>0</v>
      </c>
      <c r="I71" s="66">
        <f t="shared" si="0"/>
        <v>12220</v>
      </c>
      <c r="J71" s="66">
        <f t="shared" si="1"/>
        <v>12220</v>
      </c>
      <c r="K71" s="66">
        <f t="shared" si="2"/>
        <v>17720.3442</v>
      </c>
      <c r="L71" s="93">
        <f t="shared" si="23"/>
        <v>69.431818181818187</v>
      </c>
      <c r="M71" s="151"/>
      <c r="N71" s="152">
        <v>0</v>
      </c>
      <c r="O71" s="69">
        <f t="shared" si="3"/>
        <v>0</v>
      </c>
      <c r="P71" s="69">
        <f t="shared" si="4"/>
        <v>23218</v>
      </c>
      <c r="Q71" s="70">
        <f t="shared" si="5"/>
        <v>23218</v>
      </c>
      <c r="R71" s="153">
        <f t="shared" si="24"/>
        <v>696.54</v>
      </c>
      <c r="S71" s="70">
        <v>0</v>
      </c>
      <c r="T71" s="165">
        <f t="shared" si="6"/>
        <v>23914.54</v>
      </c>
      <c r="U71" s="163">
        <f t="shared" si="7"/>
        <v>135.87806818181818</v>
      </c>
      <c r="V71" s="164">
        <f t="shared" si="25"/>
        <v>0</v>
      </c>
      <c r="W71" s="164">
        <f t="shared" si="8"/>
        <v>0</v>
      </c>
      <c r="X71" s="144">
        <f t="shared" si="9"/>
        <v>0</v>
      </c>
      <c r="Y71" s="150">
        <f t="shared" si="10"/>
        <v>0</v>
      </c>
      <c r="Z71" s="150">
        <f t="shared" si="11"/>
        <v>0</v>
      </c>
      <c r="AA71" s="150">
        <f t="shared" si="12"/>
        <v>0</v>
      </c>
      <c r="AB71" s="182">
        <f t="shared" si="13"/>
        <v>0</v>
      </c>
      <c r="AC71" s="182">
        <f t="shared" si="14"/>
        <v>0</v>
      </c>
      <c r="AD71" s="182">
        <f t="shared" si="15"/>
        <v>0</v>
      </c>
      <c r="AE71" s="180">
        <f t="shared" si="16"/>
        <v>0</v>
      </c>
      <c r="AF71" s="150">
        <f t="shared" si="17"/>
        <v>0</v>
      </c>
      <c r="AG71" s="150">
        <f t="shared" si="18"/>
        <v>0</v>
      </c>
      <c r="AH71" s="150">
        <f t="shared" si="26"/>
        <v>0</v>
      </c>
      <c r="AI71" s="154">
        <f t="shared" si="19"/>
        <v>5500.3442000000005</v>
      </c>
      <c r="AJ71" s="70">
        <f t="shared" si="20"/>
        <v>5497.6558000000014</v>
      </c>
      <c r="AK71" s="155">
        <f t="shared" si="21"/>
        <v>0.22988758303525811</v>
      </c>
      <c r="AL71" s="155">
        <f t="shared" si="22"/>
        <v>0.2985553026431923</v>
      </c>
    </row>
    <row r="72" spans="2:38" ht="15.75" customHeight="1" x14ac:dyDescent="0.25">
      <c r="B72" s="174" t="s">
        <v>298</v>
      </c>
      <c r="C72" s="171" t="s">
        <v>73</v>
      </c>
      <c r="D72" s="103">
        <v>176</v>
      </c>
      <c r="E72" s="104" t="s">
        <v>76</v>
      </c>
      <c r="F72" s="92">
        <v>0</v>
      </c>
      <c r="G72" s="219">
        <f>IF(F72&gt;0,F72,
IF(B72&lt;&gt;"",
IF(C72="CLT",VLOOKUP(B72,'Lista Profissionais'!$C$11:$H$348,3,0),
VLOOKUP(B72,'Lista Profissionais'!$C$11:$H$348,6,0)), 0))</f>
        <v>14950</v>
      </c>
      <c r="H72" s="219">
        <f>IF(B72&lt;&gt;"",
IF(C72="CLT",
       22*$M$5 + (G72*'Lista Profissionais'!$G$9),0),0)</f>
        <v>0</v>
      </c>
      <c r="I72" s="66">
        <f t="shared" si="0"/>
        <v>14950</v>
      </c>
      <c r="J72" s="66">
        <f t="shared" si="1"/>
        <v>14950</v>
      </c>
      <c r="K72" s="66">
        <f t="shared" si="2"/>
        <v>21679.144500000002</v>
      </c>
      <c r="L72" s="93">
        <f t="shared" si="23"/>
        <v>84.943181818181813</v>
      </c>
      <c r="M72" s="151"/>
      <c r="N72" s="152">
        <v>0</v>
      </c>
      <c r="O72" s="69">
        <f t="shared" si="3"/>
        <v>0</v>
      </c>
      <c r="P72" s="69">
        <f t="shared" si="4"/>
        <v>28405</v>
      </c>
      <c r="Q72" s="70">
        <f t="shared" si="5"/>
        <v>28405</v>
      </c>
      <c r="R72" s="153">
        <f t="shared" si="24"/>
        <v>852.15</v>
      </c>
      <c r="S72" s="70">
        <v>0</v>
      </c>
      <c r="T72" s="165">
        <f t="shared" si="6"/>
        <v>29257.15</v>
      </c>
      <c r="U72" s="163">
        <f t="shared" si="7"/>
        <v>166.23380681818182</v>
      </c>
      <c r="V72" s="164">
        <f t="shared" si="25"/>
        <v>0</v>
      </c>
      <c r="W72" s="164">
        <f t="shared" si="8"/>
        <v>0</v>
      </c>
      <c r="X72" s="144">
        <f t="shared" si="9"/>
        <v>0</v>
      </c>
      <c r="Y72" s="150">
        <f t="shared" si="10"/>
        <v>0</v>
      </c>
      <c r="Z72" s="150">
        <f t="shared" si="11"/>
        <v>0</v>
      </c>
      <c r="AA72" s="150">
        <f t="shared" si="12"/>
        <v>0</v>
      </c>
      <c r="AB72" s="182">
        <f t="shared" si="13"/>
        <v>0</v>
      </c>
      <c r="AC72" s="182">
        <f t="shared" si="14"/>
        <v>0</v>
      </c>
      <c r="AD72" s="182">
        <f t="shared" si="15"/>
        <v>0</v>
      </c>
      <c r="AE72" s="180">
        <f t="shared" si="16"/>
        <v>0</v>
      </c>
      <c r="AF72" s="150">
        <f t="shared" si="17"/>
        <v>0</v>
      </c>
      <c r="AG72" s="150">
        <f t="shared" si="18"/>
        <v>0</v>
      </c>
      <c r="AH72" s="150">
        <f t="shared" si="26"/>
        <v>0</v>
      </c>
      <c r="AI72" s="154">
        <f t="shared" si="19"/>
        <v>6729.1445000000003</v>
      </c>
      <c r="AJ72" s="70">
        <f t="shared" si="20"/>
        <v>6725.8554999999997</v>
      </c>
      <c r="AK72" s="155">
        <f t="shared" si="21"/>
        <v>0.22988758303525803</v>
      </c>
      <c r="AL72" s="155">
        <f t="shared" si="22"/>
        <v>0.29855530264319224</v>
      </c>
    </row>
    <row r="73" spans="2:38" ht="15.75" customHeight="1" x14ac:dyDescent="0.25">
      <c r="B73" s="174" t="s">
        <v>299</v>
      </c>
      <c r="C73" s="171" t="s">
        <v>73</v>
      </c>
      <c r="D73" s="103">
        <v>176</v>
      </c>
      <c r="E73" s="104" t="s">
        <v>76</v>
      </c>
      <c r="F73" s="92">
        <v>0</v>
      </c>
      <c r="G73" s="219">
        <f>IF(F73&gt;0,F73,
IF(B73&lt;&gt;"",
IF(C73="CLT",VLOOKUP(B73,'Lista Profissionais'!$C$11:$H$348,3,0),
VLOOKUP(B73,'Lista Profissionais'!$C$11:$H$348,6,0)), 0))</f>
        <v>17680</v>
      </c>
      <c r="H73" s="219">
        <f>IF(B73&lt;&gt;"",
IF(C73="CLT",
       22*$M$5 + (G73*'Lista Profissionais'!$G$9),0),0)</f>
        <v>0</v>
      </c>
      <c r="I73" s="66">
        <f t="shared" ref="I73:I127" si="27">(G73/$G$2)*D73</f>
        <v>17680</v>
      </c>
      <c r="J73" s="66">
        <f t="shared" ref="J73:J127" si="28">I73+AH73</f>
        <v>17680</v>
      </c>
      <c r="K73" s="66">
        <f t="shared" ref="K73:K127" si="29">J73+S73+AI73</f>
        <v>25637.944800000001</v>
      </c>
      <c r="L73" s="93">
        <f t="shared" si="23"/>
        <v>100.45454545454545</v>
      </c>
      <c r="M73" s="151"/>
      <c r="N73" s="152">
        <v>0</v>
      </c>
      <c r="O73" s="69">
        <f t="shared" ref="O73:O127" si="30">J73*$G$6</f>
        <v>0</v>
      </c>
      <c r="P73" s="69">
        <f t="shared" ref="P73:P127" si="31">IF(M73&gt;0,M73,  J73*(1+$G$5))</f>
        <v>33592</v>
      </c>
      <c r="Q73" s="70">
        <f t="shared" ref="Q73:Q127" si="32">(P73+O73)</f>
        <v>33592</v>
      </c>
      <c r="R73" s="153">
        <f t="shared" si="24"/>
        <v>1007.76</v>
      </c>
      <c r="S73" s="70">
        <v>0</v>
      </c>
      <c r="T73" s="165">
        <f t="shared" ref="T73:T127" si="33">IF($D$4="Sim",(IF(E73="Não",0,(Q73+(Q73*$O$4)+R73+S73)*$D$5)+Q73),
IF(E73="Não",0,Q73+(Q73*$O$4)+R73+S73
))</f>
        <v>34599.760000000002</v>
      </c>
      <c r="U73" s="163">
        <f t="shared" ref="U73:U127" si="34">IF(D73&gt;0,T73/D73,0)</f>
        <v>196.58954545454546</v>
      </c>
      <c r="V73" s="164">
        <f t="shared" si="25"/>
        <v>0</v>
      </c>
      <c r="W73" s="164">
        <f t="shared" ref="W73:W127" si="35">IF(C73="CLT",
       V73*$M$3, 0)</f>
        <v>0</v>
      </c>
      <c r="X73" s="144">
        <f t="shared" ref="X73:X127" si="36">IF(C73="CLT",
       I73/12, 0)</f>
        <v>0</v>
      </c>
      <c r="Y73" s="150">
        <f t="shared" ref="Y73:Y127" si="37">IF(C73="CLT",
       X73/3, 0)</f>
        <v>0</v>
      </c>
      <c r="Z73" s="150">
        <f t="shared" ref="Z73:Z127" si="38">IF(C73="CLT",
       I73/12, 0)</f>
        <v>0</v>
      </c>
      <c r="AA73" s="150">
        <f t="shared" ref="AA73:AA127" si="39">IF(C73="CLT", I73*$S$2,0)</f>
        <v>0</v>
      </c>
      <c r="AB73" s="182">
        <f t="shared" ref="AB73:AB127" si="40">IF(C73="CLT", SUM(X73:Z73) * $M$2,0)</f>
        <v>0</v>
      </c>
      <c r="AC73" s="182">
        <f t="shared" ref="AC73:AC127" si="41">IF(C73="CLT", SUM(X73:Z73)*$S$2,0)</f>
        <v>0</v>
      </c>
      <c r="AD73" s="182">
        <f t="shared" ref="AD73:AD127" si="42">IF(C73="CLT",
       I73/30*3, 0)</f>
        <v>0</v>
      </c>
      <c r="AE73" s="180">
        <f t="shared" ref="AE73:AE127" si="43">IF(C73="CLT",  AD73*$M$2, 0)</f>
        <v>0</v>
      </c>
      <c r="AF73" s="150">
        <f t="shared" ref="AF73:AF127" si="44">IF(C73="CLT",
       I73*$M$4, 0)</f>
        <v>0</v>
      </c>
      <c r="AG73" s="150">
        <f t="shared" ref="AG73:AG127" si="45">IF(B73&lt;&gt;"",
IF(C73="CLT",
       $Q$2, 0),0)</f>
        <v>0</v>
      </c>
      <c r="AH73" s="150">
        <f t="shared" si="26"/>
        <v>0</v>
      </c>
      <c r="AI73" s="154">
        <f t="shared" ref="AI73:AI127" si="46">IF(E73="Sim", T73*$G$4, 0)</f>
        <v>7957.9448000000011</v>
      </c>
      <c r="AJ73" s="70">
        <f t="shared" ref="AJ73:AJ127" si="47">T73-AI73-J73-R73</f>
        <v>7954.0552000000007</v>
      </c>
      <c r="AK73" s="155">
        <f t="shared" ref="AK73:AK127" si="48">(IF(AJ73&gt;0,AJ73/T73,0))</f>
        <v>0.22988758303525805</v>
      </c>
      <c r="AL73" s="155">
        <f t="shared" ref="AL73:AL127" si="49">(IF(AJ73&gt;0,AJ73/(T73-AI73),0))</f>
        <v>0.2985553026431923</v>
      </c>
    </row>
    <row r="74" spans="2:38" ht="15.75" customHeight="1" x14ac:dyDescent="0.25">
      <c r="B74" s="174" t="s">
        <v>300</v>
      </c>
      <c r="C74" s="171" t="s">
        <v>73</v>
      </c>
      <c r="D74" s="103">
        <v>176</v>
      </c>
      <c r="E74" s="104" t="s">
        <v>76</v>
      </c>
      <c r="F74" s="92">
        <v>0</v>
      </c>
      <c r="G74" s="219">
        <f>IF(F74&gt;0,F74,
IF(B74&lt;&gt;"",
IF(C74="CLT",VLOOKUP(B74,'Lista Profissionais'!$C$11:$H$348,3,0),
VLOOKUP(B74,'Lista Profissionais'!$C$11:$H$348,6,0)), 0))</f>
        <v>6370</v>
      </c>
      <c r="H74" s="219">
        <f>IF(B74&lt;&gt;"",
IF(C74="CLT",
       22*$M$5 + (G74*'Lista Profissionais'!$G$9),0),0)</f>
        <v>0</v>
      </c>
      <c r="I74" s="66">
        <f t="shared" si="27"/>
        <v>6370</v>
      </c>
      <c r="J74" s="66">
        <f t="shared" si="28"/>
        <v>6370</v>
      </c>
      <c r="K74" s="66">
        <f t="shared" si="29"/>
        <v>9237.2007000000012</v>
      </c>
      <c r="L74" s="93">
        <f t="shared" ref="L74:L127" si="50">IF(D74&gt;0,J74/D74,0)</f>
        <v>36.19318181818182</v>
      </c>
      <c r="M74" s="151"/>
      <c r="N74" s="152">
        <v>0</v>
      </c>
      <c r="O74" s="69">
        <f t="shared" si="30"/>
        <v>0</v>
      </c>
      <c r="P74" s="69">
        <f t="shared" si="31"/>
        <v>12103</v>
      </c>
      <c r="Q74" s="70">
        <f t="shared" si="32"/>
        <v>12103</v>
      </c>
      <c r="R74" s="153">
        <f t="shared" ref="R74:R127" si="51">IF(E74="Sim", Q74*$G$3,0)</f>
        <v>363.09</v>
      </c>
      <c r="S74" s="70">
        <v>0</v>
      </c>
      <c r="T74" s="165">
        <f t="shared" si="33"/>
        <v>12466.09</v>
      </c>
      <c r="U74" s="163">
        <f t="shared" si="34"/>
        <v>70.830056818181816</v>
      </c>
      <c r="V74" s="164">
        <f t="shared" ref="V74:V127" si="52">IF(C74="CLT",
       I74*$M$2, 0)</f>
        <v>0</v>
      </c>
      <c r="W74" s="164">
        <f t="shared" si="35"/>
        <v>0</v>
      </c>
      <c r="X74" s="144">
        <f t="shared" si="36"/>
        <v>0</v>
      </c>
      <c r="Y74" s="150">
        <f t="shared" si="37"/>
        <v>0</v>
      </c>
      <c r="Z74" s="150">
        <f t="shared" si="38"/>
        <v>0</v>
      </c>
      <c r="AA74" s="150">
        <f t="shared" si="39"/>
        <v>0</v>
      </c>
      <c r="AB74" s="182">
        <f t="shared" si="40"/>
        <v>0</v>
      </c>
      <c r="AC74" s="182">
        <f t="shared" si="41"/>
        <v>0</v>
      </c>
      <c r="AD74" s="182">
        <f t="shared" si="42"/>
        <v>0</v>
      </c>
      <c r="AE74" s="180">
        <f t="shared" si="43"/>
        <v>0</v>
      </c>
      <c r="AF74" s="150">
        <f t="shared" si="44"/>
        <v>0</v>
      </c>
      <c r="AG74" s="150">
        <f t="shared" si="45"/>
        <v>0</v>
      </c>
      <c r="AH74" s="150">
        <f t="shared" si="26"/>
        <v>0</v>
      </c>
      <c r="AI74" s="154">
        <f t="shared" si="46"/>
        <v>2867.2007000000003</v>
      </c>
      <c r="AJ74" s="70">
        <f t="shared" si="47"/>
        <v>2865.7992999999988</v>
      </c>
      <c r="AK74" s="155">
        <f t="shared" si="48"/>
        <v>0.22988758303525794</v>
      </c>
      <c r="AL74" s="155">
        <f t="shared" si="49"/>
        <v>0.29855530264319219</v>
      </c>
    </row>
    <row r="75" spans="2:38" ht="15.75" customHeight="1" x14ac:dyDescent="0.25">
      <c r="B75" s="174" t="s">
        <v>301</v>
      </c>
      <c r="C75" s="171" t="s">
        <v>73</v>
      </c>
      <c r="D75" s="103">
        <v>176</v>
      </c>
      <c r="E75" s="104" t="s">
        <v>76</v>
      </c>
      <c r="F75" s="92">
        <v>0</v>
      </c>
      <c r="G75" s="219">
        <f>IF(F75&gt;0,F75,
IF(B75&lt;&gt;"",
IF(C75="CLT",VLOOKUP(B75,'Lista Profissionais'!$C$11:$H$348,3,0),
VLOOKUP(B75,'Lista Profissionais'!$C$11:$H$348,6,0)), 0))</f>
        <v>12220</v>
      </c>
      <c r="H75" s="219">
        <f>IF(B75&lt;&gt;"",
IF(C75="CLT",
       22*$M$5 + (G75*'Lista Profissionais'!$G$9),0),0)</f>
        <v>0</v>
      </c>
      <c r="I75" s="66">
        <f t="shared" si="27"/>
        <v>12220</v>
      </c>
      <c r="J75" s="66">
        <f t="shared" si="28"/>
        <v>12220</v>
      </c>
      <c r="K75" s="66">
        <f t="shared" si="29"/>
        <v>17720.3442</v>
      </c>
      <c r="L75" s="93">
        <f t="shared" si="50"/>
        <v>69.431818181818187</v>
      </c>
      <c r="M75" s="151"/>
      <c r="N75" s="152">
        <v>0</v>
      </c>
      <c r="O75" s="69">
        <f t="shared" si="30"/>
        <v>0</v>
      </c>
      <c r="P75" s="69">
        <f t="shared" si="31"/>
        <v>23218</v>
      </c>
      <c r="Q75" s="70">
        <f t="shared" si="32"/>
        <v>23218</v>
      </c>
      <c r="R75" s="153">
        <f t="shared" si="51"/>
        <v>696.54</v>
      </c>
      <c r="S75" s="70">
        <v>0</v>
      </c>
      <c r="T75" s="165">
        <f t="shared" si="33"/>
        <v>23914.54</v>
      </c>
      <c r="U75" s="163">
        <f t="shared" si="34"/>
        <v>135.87806818181818</v>
      </c>
      <c r="V75" s="164">
        <f t="shared" si="52"/>
        <v>0</v>
      </c>
      <c r="W75" s="164">
        <f t="shared" si="35"/>
        <v>0</v>
      </c>
      <c r="X75" s="144">
        <f t="shared" si="36"/>
        <v>0</v>
      </c>
      <c r="Y75" s="150">
        <f t="shared" si="37"/>
        <v>0</v>
      </c>
      <c r="Z75" s="150">
        <f t="shared" si="38"/>
        <v>0</v>
      </c>
      <c r="AA75" s="150">
        <f t="shared" si="39"/>
        <v>0</v>
      </c>
      <c r="AB75" s="182">
        <f t="shared" si="40"/>
        <v>0</v>
      </c>
      <c r="AC75" s="182">
        <f t="shared" si="41"/>
        <v>0</v>
      </c>
      <c r="AD75" s="182">
        <f t="shared" si="42"/>
        <v>0</v>
      </c>
      <c r="AE75" s="180">
        <f t="shared" si="43"/>
        <v>0</v>
      </c>
      <c r="AF75" s="150">
        <f t="shared" si="44"/>
        <v>0</v>
      </c>
      <c r="AG75" s="150">
        <f t="shared" si="45"/>
        <v>0</v>
      </c>
      <c r="AH75" s="150">
        <f t="shared" si="26"/>
        <v>0</v>
      </c>
      <c r="AI75" s="154">
        <f t="shared" si="46"/>
        <v>5500.3442000000005</v>
      </c>
      <c r="AJ75" s="70">
        <f t="shared" si="47"/>
        <v>5497.6558000000014</v>
      </c>
      <c r="AK75" s="155">
        <f t="shared" si="48"/>
        <v>0.22988758303525811</v>
      </c>
      <c r="AL75" s="155">
        <f t="shared" si="49"/>
        <v>0.2985553026431923</v>
      </c>
    </row>
    <row r="76" spans="2:38" ht="15.75" customHeight="1" x14ac:dyDescent="0.25">
      <c r="B76" s="174" t="s">
        <v>302</v>
      </c>
      <c r="C76" s="171" t="s">
        <v>73</v>
      </c>
      <c r="D76" s="103">
        <v>176</v>
      </c>
      <c r="E76" s="104" t="s">
        <v>76</v>
      </c>
      <c r="F76" s="92">
        <v>0</v>
      </c>
      <c r="G76" s="219">
        <f>IF(F76&gt;0,F76,
IF(B76&lt;&gt;"",
IF(C76="CLT",VLOOKUP(B76,'Lista Profissionais'!$C$11:$H$348,3,0),
VLOOKUP(B76,'Lista Profissionais'!$C$11:$H$348,6,0)), 0))</f>
        <v>14950</v>
      </c>
      <c r="H76" s="219">
        <f>IF(B76&lt;&gt;"",
IF(C76="CLT",
       22*$M$5 + (G76*'Lista Profissionais'!$G$9),0),0)</f>
        <v>0</v>
      </c>
      <c r="I76" s="66">
        <f t="shared" si="27"/>
        <v>14950</v>
      </c>
      <c r="J76" s="66">
        <f t="shared" si="28"/>
        <v>14950</v>
      </c>
      <c r="K76" s="66">
        <f t="shared" si="29"/>
        <v>21679.144500000002</v>
      </c>
      <c r="L76" s="93">
        <f t="shared" si="50"/>
        <v>84.943181818181813</v>
      </c>
      <c r="M76" s="151"/>
      <c r="N76" s="152">
        <v>0</v>
      </c>
      <c r="O76" s="69">
        <f t="shared" si="30"/>
        <v>0</v>
      </c>
      <c r="P76" s="69">
        <f t="shared" si="31"/>
        <v>28405</v>
      </c>
      <c r="Q76" s="70">
        <f t="shared" si="32"/>
        <v>28405</v>
      </c>
      <c r="R76" s="153">
        <f t="shared" si="51"/>
        <v>852.15</v>
      </c>
      <c r="S76" s="70">
        <v>0</v>
      </c>
      <c r="T76" s="165">
        <f t="shared" si="33"/>
        <v>29257.15</v>
      </c>
      <c r="U76" s="163">
        <f t="shared" si="34"/>
        <v>166.23380681818182</v>
      </c>
      <c r="V76" s="164">
        <f t="shared" si="52"/>
        <v>0</v>
      </c>
      <c r="W76" s="164">
        <f t="shared" si="35"/>
        <v>0</v>
      </c>
      <c r="X76" s="144">
        <f t="shared" si="36"/>
        <v>0</v>
      </c>
      <c r="Y76" s="150">
        <f t="shared" si="37"/>
        <v>0</v>
      </c>
      <c r="Z76" s="150">
        <f t="shared" si="38"/>
        <v>0</v>
      </c>
      <c r="AA76" s="150">
        <f t="shared" si="39"/>
        <v>0</v>
      </c>
      <c r="AB76" s="182">
        <f t="shared" si="40"/>
        <v>0</v>
      </c>
      <c r="AC76" s="182">
        <f t="shared" si="41"/>
        <v>0</v>
      </c>
      <c r="AD76" s="182">
        <f t="shared" si="42"/>
        <v>0</v>
      </c>
      <c r="AE76" s="180">
        <f t="shared" si="43"/>
        <v>0</v>
      </c>
      <c r="AF76" s="150">
        <f t="shared" si="44"/>
        <v>0</v>
      </c>
      <c r="AG76" s="150">
        <f t="shared" si="45"/>
        <v>0</v>
      </c>
      <c r="AH76" s="150">
        <f t="shared" si="26"/>
        <v>0</v>
      </c>
      <c r="AI76" s="154">
        <f t="shared" si="46"/>
        <v>6729.1445000000003</v>
      </c>
      <c r="AJ76" s="70">
        <f t="shared" si="47"/>
        <v>6725.8554999999997</v>
      </c>
      <c r="AK76" s="155">
        <f t="shared" si="48"/>
        <v>0.22988758303525803</v>
      </c>
      <c r="AL76" s="155">
        <f t="shared" si="49"/>
        <v>0.29855530264319224</v>
      </c>
    </row>
    <row r="77" spans="2:38" ht="15.75" customHeight="1" x14ac:dyDescent="0.25">
      <c r="B77" s="174" t="s">
        <v>303</v>
      </c>
      <c r="C77" s="171" t="s">
        <v>73</v>
      </c>
      <c r="D77" s="103">
        <v>176</v>
      </c>
      <c r="E77" s="104" t="s">
        <v>76</v>
      </c>
      <c r="F77" s="92">
        <v>0</v>
      </c>
      <c r="G77" s="219">
        <f>IF(F77&gt;0,F77,
IF(B77&lt;&gt;"",
IF(C77="CLT",VLOOKUP(B77,'Lista Profissionais'!$C$11:$H$348,3,0),
VLOOKUP(B77,'Lista Profissionais'!$C$11:$H$348,6,0)), 0))</f>
        <v>14300</v>
      </c>
      <c r="H77" s="219">
        <f>IF(B77&lt;&gt;"",
IF(C77="CLT",
       22*$M$5 + (G77*'Lista Profissionais'!$G$9),0),0)</f>
        <v>0</v>
      </c>
      <c r="I77" s="66">
        <f t="shared" si="27"/>
        <v>14300</v>
      </c>
      <c r="J77" s="66">
        <f t="shared" si="28"/>
        <v>14300</v>
      </c>
      <c r="K77" s="66">
        <f t="shared" si="29"/>
        <v>20736.573</v>
      </c>
      <c r="L77" s="93">
        <f t="shared" si="50"/>
        <v>81.25</v>
      </c>
      <c r="M77" s="151"/>
      <c r="N77" s="152">
        <v>0</v>
      </c>
      <c r="O77" s="69">
        <f t="shared" si="30"/>
        <v>0</v>
      </c>
      <c r="P77" s="69">
        <f t="shared" si="31"/>
        <v>27170</v>
      </c>
      <c r="Q77" s="70">
        <f t="shared" si="32"/>
        <v>27170</v>
      </c>
      <c r="R77" s="153">
        <f t="shared" si="51"/>
        <v>815.1</v>
      </c>
      <c r="S77" s="70">
        <v>0</v>
      </c>
      <c r="T77" s="165">
        <f t="shared" si="33"/>
        <v>27985.1</v>
      </c>
      <c r="U77" s="163">
        <f t="shared" si="34"/>
        <v>159.00624999999999</v>
      </c>
      <c r="V77" s="164">
        <f t="shared" si="52"/>
        <v>0</v>
      </c>
      <c r="W77" s="164">
        <f t="shared" si="35"/>
        <v>0</v>
      </c>
      <c r="X77" s="144">
        <f t="shared" si="36"/>
        <v>0</v>
      </c>
      <c r="Y77" s="150">
        <f t="shared" si="37"/>
        <v>0</v>
      </c>
      <c r="Z77" s="150">
        <f t="shared" si="38"/>
        <v>0</v>
      </c>
      <c r="AA77" s="150">
        <f t="shared" si="39"/>
        <v>0</v>
      </c>
      <c r="AB77" s="182">
        <f t="shared" si="40"/>
        <v>0</v>
      </c>
      <c r="AC77" s="182">
        <f t="shared" si="41"/>
        <v>0</v>
      </c>
      <c r="AD77" s="182">
        <f t="shared" si="42"/>
        <v>0</v>
      </c>
      <c r="AE77" s="180">
        <f t="shared" si="43"/>
        <v>0</v>
      </c>
      <c r="AF77" s="150">
        <f t="shared" si="44"/>
        <v>0</v>
      </c>
      <c r="AG77" s="150">
        <f t="shared" si="45"/>
        <v>0</v>
      </c>
      <c r="AH77" s="150">
        <f t="shared" si="26"/>
        <v>0</v>
      </c>
      <c r="AI77" s="154">
        <f t="shared" si="46"/>
        <v>6436.5730000000003</v>
      </c>
      <c r="AJ77" s="70">
        <f t="shared" si="47"/>
        <v>6433.4269999999979</v>
      </c>
      <c r="AK77" s="155">
        <f t="shared" si="48"/>
        <v>0.22988758303525797</v>
      </c>
      <c r="AL77" s="155">
        <f t="shared" si="49"/>
        <v>0.29855530264319219</v>
      </c>
    </row>
    <row r="78" spans="2:38" ht="15.75" customHeight="1" x14ac:dyDescent="0.25">
      <c r="B78" s="174" t="s">
        <v>304</v>
      </c>
      <c r="C78" s="171" t="s">
        <v>73</v>
      </c>
      <c r="D78" s="103">
        <v>176</v>
      </c>
      <c r="E78" s="104" t="s">
        <v>76</v>
      </c>
      <c r="F78" s="92">
        <v>0</v>
      </c>
      <c r="G78" s="219">
        <f>IF(F78&gt;0,F78,
IF(B78&lt;&gt;"",
IF(C78="CLT",VLOOKUP(B78,'Lista Profissionais'!$C$11:$H$348,3,0),
VLOOKUP(B78,'Lista Profissionais'!$C$11:$H$348,6,0)), 0))</f>
        <v>5850</v>
      </c>
      <c r="H78" s="219">
        <f>IF(B78&lt;&gt;"",
IF(C78="CLT",
       22*$M$5 + (G78*'Lista Profissionais'!$G$9),0),0)</f>
        <v>0</v>
      </c>
      <c r="I78" s="66">
        <f t="shared" si="27"/>
        <v>5850.0000000000009</v>
      </c>
      <c r="J78" s="66">
        <f t="shared" si="28"/>
        <v>5850.0000000000009</v>
      </c>
      <c r="K78" s="66">
        <f t="shared" si="29"/>
        <v>8483.1435000000019</v>
      </c>
      <c r="L78" s="93">
        <f t="shared" si="50"/>
        <v>33.238636363636367</v>
      </c>
      <c r="M78" s="151"/>
      <c r="N78" s="152">
        <v>0</v>
      </c>
      <c r="O78" s="69">
        <f t="shared" si="30"/>
        <v>0</v>
      </c>
      <c r="P78" s="69">
        <f t="shared" si="31"/>
        <v>11115.000000000002</v>
      </c>
      <c r="Q78" s="70">
        <f t="shared" si="32"/>
        <v>11115.000000000002</v>
      </c>
      <c r="R78" s="153">
        <f t="shared" si="51"/>
        <v>333.45000000000005</v>
      </c>
      <c r="S78" s="70">
        <v>0</v>
      </c>
      <c r="T78" s="165">
        <f t="shared" si="33"/>
        <v>11448.450000000003</v>
      </c>
      <c r="U78" s="163">
        <f t="shared" si="34"/>
        <v>65.048011363636377</v>
      </c>
      <c r="V78" s="164">
        <f t="shared" si="52"/>
        <v>0</v>
      </c>
      <c r="W78" s="164">
        <f t="shared" si="35"/>
        <v>0</v>
      </c>
      <c r="X78" s="144">
        <f t="shared" si="36"/>
        <v>0</v>
      </c>
      <c r="Y78" s="150">
        <f t="shared" si="37"/>
        <v>0</v>
      </c>
      <c r="Z78" s="150">
        <f t="shared" si="38"/>
        <v>0</v>
      </c>
      <c r="AA78" s="150">
        <f t="shared" si="39"/>
        <v>0</v>
      </c>
      <c r="AB78" s="182">
        <f t="shared" si="40"/>
        <v>0</v>
      </c>
      <c r="AC78" s="182">
        <f t="shared" si="41"/>
        <v>0</v>
      </c>
      <c r="AD78" s="182">
        <f t="shared" si="42"/>
        <v>0</v>
      </c>
      <c r="AE78" s="180">
        <f t="shared" si="43"/>
        <v>0</v>
      </c>
      <c r="AF78" s="150">
        <f t="shared" si="44"/>
        <v>0</v>
      </c>
      <c r="AG78" s="150">
        <f t="shared" si="45"/>
        <v>0</v>
      </c>
      <c r="AH78" s="150">
        <f t="shared" si="26"/>
        <v>0</v>
      </c>
      <c r="AI78" s="154">
        <f t="shared" si="46"/>
        <v>2633.1435000000006</v>
      </c>
      <c r="AJ78" s="70">
        <f t="shared" si="47"/>
        <v>2631.8565000000017</v>
      </c>
      <c r="AK78" s="155">
        <f t="shared" si="48"/>
        <v>0.22988758303525814</v>
      </c>
      <c r="AL78" s="155">
        <f t="shared" si="49"/>
        <v>0.29855530264319236</v>
      </c>
    </row>
    <row r="79" spans="2:38" ht="15.75" customHeight="1" x14ac:dyDescent="0.25">
      <c r="B79" s="174" t="s">
        <v>305</v>
      </c>
      <c r="C79" s="171" t="s">
        <v>73</v>
      </c>
      <c r="D79" s="103">
        <v>176</v>
      </c>
      <c r="E79" s="104" t="s">
        <v>76</v>
      </c>
      <c r="F79" s="92">
        <v>0</v>
      </c>
      <c r="G79" s="219">
        <f>IF(F79&gt;0,F79,
IF(B79&lt;&gt;"",
IF(C79="CLT",VLOOKUP(B79,'Lista Profissionais'!$C$11:$H$348,3,0),
VLOOKUP(B79,'Lista Profissionais'!$C$11:$H$348,6,0)), 0))</f>
        <v>9100</v>
      </c>
      <c r="H79" s="219">
        <f>IF(B79&lt;&gt;"",
IF(C79="CLT",
       22*$M$5 + (G79*'Lista Profissionais'!$G$9),0),0)</f>
        <v>0</v>
      </c>
      <c r="I79" s="66">
        <f t="shared" si="27"/>
        <v>9100</v>
      </c>
      <c r="J79" s="66">
        <f t="shared" si="28"/>
        <v>9100</v>
      </c>
      <c r="K79" s="66">
        <f t="shared" si="29"/>
        <v>13196.001</v>
      </c>
      <c r="L79" s="93">
        <f t="shared" si="50"/>
        <v>51.704545454545453</v>
      </c>
      <c r="M79" s="151"/>
      <c r="N79" s="152">
        <v>0</v>
      </c>
      <c r="O79" s="69">
        <f t="shared" si="30"/>
        <v>0</v>
      </c>
      <c r="P79" s="69">
        <f t="shared" si="31"/>
        <v>17290</v>
      </c>
      <c r="Q79" s="70">
        <f t="shared" si="32"/>
        <v>17290</v>
      </c>
      <c r="R79" s="153">
        <f t="shared" si="51"/>
        <v>518.69999999999993</v>
      </c>
      <c r="S79" s="70">
        <v>0</v>
      </c>
      <c r="T79" s="165">
        <f t="shared" si="33"/>
        <v>17808.7</v>
      </c>
      <c r="U79" s="163">
        <f t="shared" si="34"/>
        <v>101.18579545454546</v>
      </c>
      <c r="V79" s="164">
        <f t="shared" si="52"/>
        <v>0</v>
      </c>
      <c r="W79" s="164">
        <f t="shared" si="35"/>
        <v>0</v>
      </c>
      <c r="X79" s="144">
        <f t="shared" si="36"/>
        <v>0</v>
      </c>
      <c r="Y79" s="150">
        <f t="shared" si="37"/>
        <v>0</v>
      </c>
      <c r="Z79" s="150">
        <f t="shared" si="38"/>
        <v>0</v>
      </c>
      <c r="AA79" s="150">
        <f t="shared" si="39"/>
        <v>0</v>
      </c>
      <c r="AB79" s="182">
        <f t="shared" si="40"/>
        <v>0</v>
      </c>
      <c r="AC79" s="182">
        <f t="shared" si="41"/>
        <v>0</v>
      </c>
      <c r="AD79" s="182">
        <f t="shared" si="42"/>
        <v>0</v>
      </c>
      <c r="AE79" s="180">
        <f t="shared" si="43"/>
        <v>0</v>
      </c>
      <c r="AF79" s="150">
        <f t="shared" si="44"/>
        <v>0</v>
      </c>
      <c r="AG79" s="150">
        <f t="shared" si="45"/>
        <v>0</v>
      </c>
      <c r="AH79" s="150">
        <f t="shared" si="26"/>
        <v>0</v>
      </c>
      <c r="AI79" s="154">
        <f t="shared" si="46"/>
        <v>4096.0010000000002</v>
      </c>
      <c r="AJ79" s="70">
        <f t="shared" si="47"/>
        <v>4093.9990000000007</v>
      </c>
      <c r="AK79" s="155">
        <f t="shared" si="48"/>
        <v>0.22988758303525808</v>
      </c>
      <c r="AL79" s="155">
        <f t="shared" si="49"/>
        <v>0.2985553026431923</v>
      </c>
    </row>
    <row r="80" spans="2:38" ht="15.75" customHeight="1" x14ac:dyDescent="0.25">
      <c r="B80" s="174" t="s">
        <v>306</v>
      </c>
      <c r="C80" s="171" t="s">
        <v>73</v>
      </c>
      <c r="D80" s="103">
        <v>176</v>
      </c>
      <c r="E80" s="104" t="s">
        <v>76</v>
      </c>
      <c r="F80" s="92">
        <v>0</v>
      </c>
      <c r="G80" s="219">
        <f>IF(F80&gt;0,F80,
IF(B80&lt;&gt;"",
IF(C80="CLT",VLOOKUP(B80,'Lista Profissionais'!$C$11:$H$348,3,0),
VLOOKUP(B80,'Lista Profissionais'!$C$11:$H$348,6,0)), 0))</f>
        <v>11700</v>
      </c>
      <c r="H80" s="219">
        <f>IF(B80&lt;&gt;"",
IF(C80="CLT",
       22*$M$5 + (G80*'Lista Profissionais'!$G$9),0),0)</f>
        <v>0</v>
      </c>
      <c r="I80" s="66">
        <f t="shared" si="27"/>
        <v>11700.000000000002</v>
      </c>
      <c r="J80" s="66">
        <f t="shared" si="28"/>
        <v>11700.000000000002</v>
      </c>
      <c r="K80" s="66">
        <f t="shared" si="29"/>
        <v>16966.287000000004</v>
      </c>
      <c r="L80" s="93">
        <f t="shared" si="50"/>
        <v>66.477272727272734</v>
      </c>
      <c r="M80" s="151"/>
      <c r="N80" s="152">
        <v>0</v>
      </c>
      <c r="O80" s="69">
        <f t="shared" si="30"/>
        <v>0</v>
      </c>
      <c r="P80" s="69">
        <f t="shared" si="31"/>
        <v>22230.000000000004</v>
      </c>
      <c r="Q80" s="70">
        <f t="shared" si="32"/>
        <v>22230.000000000004</v>
      </c>
      <c r="R80" s="153">
        <f t="shared" si="51"/>
        <v>666.90000000000009</v>
      </c>
      <c r="S80" s="70">
        <v>0</v>
      </c>
      <c r="T80" s="165">
        <f t="shared" si="33"/>
        <v>22896.900000000005</v>
      </c>
      <c r="U80" s="163">
        <f t="shared" si="34"/>
        <v>130.09602272727275</v>
      </c>
      <c r="V80" s="164">
        <f t="shared" si="52"/>
        <v>0</v>
      </c>
      <c r="W80" s="164">
        <f t="shared" si="35"/>
        <v>0</v>
      </c>
      <c r="X80" s="144">
        <f t="shared" si="36"/>
        <v>0</v>
      </c>
      <c r="Y80" s="150">
        <f t="shared" si="37"/>
        <v>0</v>
      </c>
      <c r="Z80" s="150">
        <f t="shared" si="38"/>
        <v>0</v>
      </c>
      <c r="AA80" s="150">
        <f t="shared" si="39"/>
        <v>0</v>
      </c>
      <c r="AB80" s="182">
        <f t="shared" si="40"/>
        <v>0</v>
      </c>
      <c r="AC80" s="182">
        <f t="shared" si="41"/>
        <v>0</v>
      </c>
      <c r="AD80" s="182">
        <f t="shared" si="42"/>
        <v>0</v>
      </c>
      <c r="AE80" s="180">
        <f t="shared" si="43"/>
        <v>0</v>
      </c>
      <c r="AF80" s="150">
        <f t="shared" si="44"/>
        <v>0</v>
      </c>
      <c r="AG80" s="150">
        <f t="shared" si="45"/>
        <v>0</v>
      </c>
      <c r="AH80" s="150">
        <f t="shared" si="26"/>
        <v>0</v>
      </c>
      <c r="AI80" s="154">
        <f t="shared" si="46"/>
        <v>5266.2870000000012</v>
      </c>
      <c r="AJ80" s="70">
        <f t="shared" si="47"/>
        <v>5263.7130000000034</v>
      </c>
      <c r="AK80" s="155">
        <f t="shared" si="48"/>
        <v>0.22988758303525814</v>
      </c>
      <c r="AL80" s="155">
        <f t="shared" si="49"/>
        <v>0.29855530264319236</v>
      </c>
    </row>
    <row r="81" spans="2:38" ht="15.75" customHeight="1" x14ac:dyDescent="0.25">
      <c r="B81" s="174" t="s">
        <v>307</v>
      </c>
      <c r="C81" s="171" t="s">
        <v>73</v>
      </c>
      <c r="D81" s="103">
        <v>176</v>
      </c>
      <c r="E81" s="104" t="s">
        <v>76</v>
      </c>
      <c r="F81" s="92">
        <v>0</v>
      </c>
      <c r="G81" s="219">
        <f>IF(F81&gt;0,F81,
IF(B81&lt;&gt;"",
IF(C81="CLT",VLOOKUP(B81,'Lista Profissionais'!$C$11:$H$348,3,0),
VLOOKUP(B81,'Lista Profissionais'!$C$11:$H$348,6,0)), 0))</f>
        <v>15600</v>
      </c>
      <c r="H81" s="219">
        <f>IF(B81&lt;&gt;"",
IF(C81="CLT",
       22*$M$5 + (G81*'Lista Profissionais'!$G$9),0),0)</f>
        <v>0</v>
      </c>
      <c r="I81" s="66">
        <f t="shared" si="27"/>
        <v>15600</v>
      </c>
      <c r="J81" s="66">
        <f t="shared" si="28"/>
        <v>15600</v>
      </c>
      <c r="K81" s="66">
        <f t="shared" si="29"/>
        <v>22621.716</v>
      </c>
      <c r="L81" s="93">
        <f t="shared" si="50"/>
        <v>88.63636363636364</v>
      </c>
      <c r="M81" s="151"/>
      <c r="N81" s="152">
        <v>0</v>
      </c>
      <c r="O81" s="69">
        <f t="shared" si="30"/>
        <v>0</v>
      </c>
      <c r="P81" s="69">
        <f t="shared" si="31"/>
        <v>29640</v>
      </c>
      <c r="Q81" s="70">
        <f t="shared" si="32"/>
        <v>29640</v>
      </c>
      <c r="R81" s="153">
        <f t="shared" si="51"/>
        <v>889.19999999999993</v>
      </c>
      <c r="S81" s="70">
        <v>0</v>
      </c>
      <c r="T81" s="165">
        <f t="shared" si="33"/>
        <v>30529.200000000001</v>
      </c>
      <c r="U81" s="163">
        <f t="shared" si="34"/>
        <v>173.46136363636364</v>
      </c>
      <c r="V81" s="164">
        <f t="shared" si="52"/>
        <v>0</v>
      </c>
      <c r="W81" s="164">
        <f t="shared" si="35"/>
        <v>0</v>
      </c>
      <c r="X81" s="144">
        <f t="shared" si="36"/>
        <v>0</v>
      </c>
      <c r="Y81" s="150">
        <f t="shared" si="37"/>
        <v>0</v>
      </c>
      <c r="Z81" s="150">
        <f t="shared" si="38"/>
        <v>0</v>
      </c>
      <c r="AA81" s="150">
        <f t="shared" si="39"/>
        <v>0</v>
      </c>
      <c r="AB81" s="182">
        <f t="shared" si="40"/>
        <v>0</v>
      </c>
      <c r="AC81" s="182">
        <f t="shared" si="41"/>
        <v>0</v>
      </c>
      <c r="AD81" s="182">
        <f t="shared" si="42"/>
        <v>0</v>
      </c>
      <c r="AE81" s="180">
        <f t="shared" si="43"/>
        <v>0</v>
      </c>
      <c r="AF81" s="150">
        <f t="shared" si="44"/>
        <v>0</v>
      </c>
      <c r="AG81" s="150">
        <f t="shared" si="45"/>
        <v>0</v>
      </c>
      <c r="AH81" s="150">
        <f t="shared" si="26"/>
        <v>0</v>
      </c>
      <c r="AI81" s="154">
        <f t="shared" si="46"/>
        <v>7021.7160000000003</v>
      </c>
      <c r="AJ81" s="70">
        <f t="shared" si="47"/>
        <v>7018.2840000000006</v>
      </c>
      <c r="AK81" s="155">
        <f t="shared" si="48"/>
        <v>0.22988758303525805</v>
      </c>
      <c r="AL81" s="155">
        <f t="shared" si="49"/>
        <v>0.2985553026431923</v>
      </c>
    </row>
    <row r="82" spans="2:38" ht="15.75" customHeight="1" x14ac:dyDescent="0.25">
      <c r="B82" s="174" t="s">
        <v>308</v>
      </c>
      <c r="C82" s="171" t="s">
        <v>73</v>
      </c>
      <c r="D82" s="103">
        <v>176</v>
      </c>
      <c r="E82" s="104" t="s">
        <v>76</v>
      </c>
      <c r="F82" s="92">
        <v>0</v>
      </c>
      <c r="G82" s="219">
        <f>IF(F82&gt;0,F82,
IF(B82&lt;&gt;"",
IF(C82="CLT",VLOOKUP(B82,'Lista Profissionais'!$C$11:$H$348,3,0),
VLOOKUP(B82,'Lista Profissionais'!$C$11:$H$348,6,0)), 0))</f>
        <v>6370</v>
      </c>
      <c r="H82" s="219">
        <f>IF(B82&lt;&gt;"",
IF(C82="CLT",
       22*$M$5 + (G82*'Lista Profissionais'!$G$9),0),0)</f>
        <v>0</v>
      </c>
      <c r="I82" s="66">
        <f t="shared" si="27"/>
        <v>6370</v>
      </c>
      <c r="J82" s="66">
        <f t="shared" si="28"/>
        <v>6370</v>
      </c>
      <c r="K82" s="66">
        <f t="shared" si="29"/>
        <v>9237.2007000000012</v>
      </c>
      <c r="L82" s="93">
        <f t="shared" si="50"/>
        <v>36.19318181818182</v>
      </c>
      <c r="M82" s="151"/>
      <c r="N82" s="152">
        <v>0</v>
      </c>
      <c r="O82" s="69">
        <f t="shared" si="30"/>
        <v>0</v>
      </c>
      <c r="P82" s="69">
        <f t="shared" si="31"/>
        <v>12103</v>
      </c>
      <c r="Q82" s="70">
        <f t="shared" si="32"/>
        <v>12103</v>
      </c>
      <c r="R82" s="153">
        <f t="shared" si="51"/>
        <v>363.09</v>
      </c>
      <c r="S82" s="70">
        <v>0</v>
      </c>
      <c r="T82" s="165">
        <f t="shared" si="33"/>
        <v>12466.09</v>
      </c>
      <c r="U82" s="163">
        <f t="shared" si="34"/>
        <v>70.830056818181816</v>
      </c>
      <c r="V82" s="164">
        <f t="shared" si="52"/>
        <v>0</v>
      </c>
      <c r="W82" s="164">
        <f t="shared" si="35"/>
        <v>0</v>
      </c>
      <c r="X82" s="144">
        <f t="shared" si="36"/>
        <v>0</v>
      </c>
      <c r="Y82" s="150">
        <f t="shared" si="37"/>
        <v>0</v>
      </c>
      <c r="Z82" s="150">
        <f t="shared" si="38"/>
        <v>0</v>
      </c>
      <c r="AA82" s="150">
        <f t="shared" si="39"/>
        <v>0</v>
      </c>
      <c r="AB82" s="182">
        <f t="shared" si="40"/>
        <v>0</v>
      </c>
      <c r="AC82" s="182">
        <f t="shared" si="41"/>
        <v>0</v>
      </c>
      <c r="AD82" s="182">
        <f t="shared" si="42"/>
        <v>0</v>
      </c>
      <c r="AE82" s="180">
        <f t="shared" si="43"/>
        <v>0</v>
      </c>
      <c r="AF82" s="150">
        <f t="shared" si="44"/>
        <v>0</v>
      </c>
      <c r="AG82" s="150">
        <f t="shared" si="45"/>
        <v>0</v>
      </c>
      <c r="AH82" s="150">
        <f t="shared" ref="AH82:AH127" si="53">SUM(V82:AG82)+H82</f>
        <v>0</v>
      </c>
      <c r="AI82" s="154">
        <f t="shared" si="46"/>
        <v>2867.2007000000003</v>
      </c>
      <c r="AJ82" s="70">
        <f t="shared" si="47"/>
        <v>2865.7992999999988</v>
      </c>
      <c r="AK82" s="155">
        <f t="shared" si="48"/>
        <v>0.22988758303525794</v>
      </c>
      <c r="AL82" s="155">
        <f t="shared" si="49"/>
        <v>0.29855530264319219</v>
      </c>
    </row>
    <row r="83" spans="2:38" ht="15.75" customHeight="1" x14ac:dyDescent="0.25">
      <c r="B83" s="174" t="s">
        <v>309</v>
      </c>
      <c r="C83" s="171" t="s">
        <v>73</v>
      </c>
      <c r="D83" s="103">
        <v>176</v>
      </c>
      <c r="E83" s="104" t="s">
        <v>76</v>
      </c>
      <c r="F83" s="92">
        <v>0</v>
      </c>
      <c r="G83" s="219">
        <f>IF(F83&gt;0,F83,
IF(B83&lt;&gt;"",
IF(C83="CLT",VLOOKUP(B83,'Lista Profissionais'!$C$11:$H$348,3,0),
VLOOKUP(B83,'Lista Profissionais'!$C$11:$H$348,6,0)), 0))</f>
        <v>11700</v>
      </c>
      <c r="H83" s="219">
        <f>IF(B83&lt;&gt;"",
IF(C83="CLT",
       22*$M$5 + (G83*'Lista Profissionais'!$G$9),0),0)</f>
        <v>0</v>
      </c>
      <c r="I83" s="66">
        <f t="shared" si="27"/>
        <v>11700.000000000002</v>
      </c>
      <c r="J83" s="66">
        <f t="shared" si="28"/>
        <v>11700.000000000002</v>
      </c>
      <c r="K83" s="66">
        <f t="shared" si="29"/>
        <v>16966.287000000004</v>
      </c>
      <c r="L83" s="93">
        <f t="shared" si="50"/>
        <v>66.477272727272734</v>
      </c>
      <c r="M83" s="151"/>
      <c r="N83" s="152">
        <v>0</v>
      </c>
      <c r="O83" s="69">
        <f t="shared" si="30"/>
        <v>0</v>
      </c>
      <c r="P83" s="69">
        <f t="shared" si="31"/>
        <v>22230.000000000004</v>
      </c>
      <c r="Q83" s="70">
        <f t="shared" si="32"/>
        <v>22230.000000000004</v>
      </c>
      <c r="R83" s="153">
        <f t="shared" si="51"/>
        <v>666.90000000000009</v>
      </c>
      <c r="S83" s="70">
        <v>0</v>
      </c>
      <c r="T83" s="165">
        <f t="shared" si="33"/>
        <v>22896.900000000005</v>
      </c>
      <c r="U83" s="163">
        <f t="shared" si="34"/>
        <v>130.09602272727275</v>
      </c>
      <c r="V83" s="164">
        <f t="shared" si="52"/>
        <v>0</v>
      </c>
      <c r="W83" s="164">
        <f t="shared" si="35"/>
        <v>0</v>
      </c>
      <c r="X83" s="144">
        <f t="shared" si="36"/>
        <v>0</v>
      </c>
      <c r="Y83" s="150">
        <f t="shared" si="37"/>
        <v>0</v>
      </c>
      <c r="Z83" s="150">
        <f t="shared" si="38"/>
        <v>0</v>
      </c>
      <c r="AA83" s="150">
        <f t="shared" si="39"/>
        <v>0</v>
      </c>
      <c r="AB83" s="182">
        <f t="shared" si="40"/>
        <v>0</v>
      </c>
      <c r="AC83" s="182">
        <f t="shared" si="41"/>
        <v>0</v>
      </c>
      <c r="AD83" s="182">
        <f t="shared" si="42"/>
        <v>0</v>
      </c>
      <c r="AE83" s="180">
        <f t="shared" si="43"/>
        <v>0</v>
      </c>
      <c r="AF83" s="150">
        <f t="shared" si="44"/>
        <v>0</v>
      </c>
      <c r="AG83" s="150">
        <f t="shared" si="45"/>
        <v>0</v>
      </c>
      <c r="AH83" s="150">
        <f t="shared" si="53"/>
        <v>0</v>
      </c>
      <c r="AI83" s="154">
        <f t="shared" si="46"/>
        <v>5266.2870000000012</v>
      </c>
      <c r="AJ83" s="70">
        <f t="shared" si="47"/>
        <v>5263.7130000000034</v>
      </c>
      <c r="AK83" s="155">
        <f t="shared" si="48"/>
        <v>0.22988758303525814</v>
      </c>
      <c r="AL83" s="155">
        <f t="shared" si="49"/>
        <v>0.29855530264319236</v>
      </c>
    </row>
    <row r="84" spans="2:38" ht="15.75" customHeight="1" x14ac:dyDescent="0.25">
      <c r="B84" s="174" t="s">
        <v>310</v>
      </c>
      <c r="C84" s="171" t="s">
        <v>73</v>
      </c>
      <c r="D84" s="103">
        <v>176</v>
      </c>
      <c r="E84" s="104" t="s">
        <v>76</v>
      </c>
      <c r="F84" s="92">
        <v>0</v>
      </c>
      <c r="G84" s="219">
        <f>IF(F84&gt;0,F84,
IF(B84&lt;&gt;"",
IF(C84="CLT",VLOOKUP(B84,'Lista Profissionais'!$C$11:$H$348,3,0),
VLOOKUP(B84,'Lista Profissionais'!$C$11:$H$348,6,0)), 0))</f>
        <v>14300</v>
      </c>
      <c r="H84" s="219">
        <f>IF(B84&lt;&gt;"",
IF(C84="CLT",
       22*$M$5 + (G84*'Lista Profissionais'!$G$9),0),0)</f>
        <v>0</v>
      </c>
      <c r="I84" s="66">
        <f t="shared" si="27"/>
        <v>14300</v>
      </c>
      <c r="J84" s="66">
        <f t="shared" si="28"/>
        <v>14300</v>
      </c>
      <c r="K84" s="66">
        <f t="shared" si="29"/>
        <v>20736.573</v>
      </c>
      <c r="L84" s="93">
        <f t="shared" si="50"/>
        <v>81.25</v>
      </c>
      <c r="M84" s="151"/>
      <c r="N84" s="152">
        <v>0</v>
      </c>
      <c r="O84" s="69">
        <f t="shared" si="30"/>
        <v>0</v>
      </c>
      <c r="P84" s="69">
        <f t="shared" si="31"/>
        <v>27170</v>
      </c>
      <c r="Q84" s="70">
        <f t="shared" si="32"/>
        <v>27170</v>
      </c>
      <c r="R84" s="153">
        <f t="shared" si="51"/>
        <v>815.1</v>
      </c>
      <c r="S84" s="70">
        <v>0</v>
      </c>
      <c r="T84" s="165">
        <f t="shared" si="33"/>
        <v>27985.1</v>
      </c>
      <c r="U84" s="163">
        <f t="shared" si="34"/>
        <v>159.00624999999999</v>
      </c>
      <c r="V84" s="164">
        <f t="shared" si="52"/>
        <v>0</v>
      </c>
      <c r="W84" s="164">
        <f t="shared" si="35"/>
        <v>0</v>
      </c>
      <c r="X84" s="144">
        <f t="shared" si="36"/>
        <v>0</v>
      </c>
      <c r="Y84" s="150">
        <f t="shared" si="37"/>
        <v>0</v>
      </c>
      <c r="Z84" s="150">
        <f t="shared" si="38"/>
        <v>0</v>
      </c>
      <c r="AA84" s="150">
        <f t="shared" si="39"/>
        <v>0</v>
      </c>
      <c r="AB84" s="182">
        <f t="shared" si="40"/>
        <v>0</v>
      </c>
      <c r="AC84" s="182">
        <f t="shared" si="41"/>
        <v>0</v>
      </c>
      <c r="AD84" s="182">
        <f t="shared" si="42"/>
        <v>0</v>
      </c>
      <c r="AE84" s="180">
        <f t="shared" si="43"/>
        <v>0</v>
      </c>
      <c r="AF84" s="150">
        <f t="shared" si="44"/>
        <v>0</v>
      </c>
      <c r="AG84" s="150">
        <f t="shared" si="45"/>
        <v>0</v>
      </c>
      <c r="AH84" s="150">
        <f t="shared" si="53"/>
        <v>0</v>
      </c>
      <c r="AI84" s="154">
        <f t="shared" si="46"/>
        <v>6436.5730000000003</v>
      </c>
      <c r="AJ84" s="70">
        <f t="shared" si="47"/>
        <v>6433.4269999999979</v>
      </c>
      <c r="AK84" s="155">
        <f t="shared" si="48"/>
        <v>0.22988758303525797</v>
      </c>
      <c r="AL84" s="155">
        <f t="shared" si="49"/>
        <v>0.29855530264319219</v>
      </c>
    </row>
    <row r="85" spans="2:38" ht="15.75" customHeight="1" x14ac:dyDescent="0.25">
      <c r="B85" s="174" t="s">
        <v>352</v>
      </c>
      <c r="C85" s="171" t="s">
        <v>73</v>
      </c>
      <c r="D85" s="103">
        <v>176</v>
      </c>
      <c r="E85" s="104" t="s">
        <v>76</v>
      </c>
      <c r="F85" s="92">
        <v>0</v>
      </c>
      <c r="G85" s="219">
        <f>IF(F85&gt;0,F85,
IF(B85&lt;&gt;"",
IF(C85="CLT",VLOOKUP(B85,'Lista Profissionais'!$C$11:$H$348,3,0),
VLOOKUP(B85,'Lista Profissionais'!$C$11:$H$348,6,0)), 0))</f>
        <v>18200</v>
      </c>
      <c r="H85" s="219">
        <f>IF(B85&lt;&gt;"",
IF(C85="CLT",
       22*$M$5 + (G85*'Lista Profissionais'!$G$9),0),0)</f>
        <v>0</v>
      </c>
      <c r="I85" s="66">
        <f t="shared" si="27"/>
        <v>18200</v>
      </c>
      <c r="J85" s="66">
        <f t="shared" si="28"/>
        <v>18200</v>
      </c>
      <c r="K85" s="66">
        <f t="shared" si="29"/>
        <v>26392.002</v>
      </c>
      <c r="L85" s="93">
        <f t="shared" si="50"/>
        <v>103.40909090909091</v>
      </c>
      <c r="M85" s="151"/>
      <c r="N85" s="152">
        <v>0</v>
      </c>
      <c r="O85" s="69">
        <f t="shared" si="30"/>
        <v>0</v>
      </c>
      <c r="P85" s="69">
        <f t="shared" si="31"/>
        <v>34580</v>
      </c>
      <c r="Q85" s="70">
        <f t="shared" si="32"/>
        <v>34580</v>
      </c>
      <c r="R85" s="153">
        <f t="shared" si="51"/>
        <v>1037.3999999999999</v>
      </c>
      <c r="S85" s="70">
        <v>0</v>
      </c>
      <c r="T85" s="165">
        <f t="shared" si="33"/>
        <v>35617.4</v>
      </c>
      <c r="U85" s="163">
        <f t="shared" si="34"/>
        <v>202.37159090909091</v>
      </c>
      <c r="V85" s="164">
        <f t="shared" si="52"/>
        <v>0</v>
      </c>
      <c r="W85" s="164">
        <f t="shared" si="35"/>
        <v>0</v>
      </c>
      <c r="X85" s="144">
        <f t="shared" si="36"/>
        <v>0</v>
      </c>
      <c r="Y85" s="150">
        <f t="shared" si="37"/>
        <v>0</v>
      </c>
      <c r="Z85" s="150">
        <f t="shared" si="38"/>
        <v>0</v>
      </c>
      <c r="AA85" s="150">
        <f t="shared" si="39"/>
        <v>0</v>
      </c>
      <c r="AB85" s="182">
        <f t="shared" si="40"/>
        <v>0</v>
      </c>
      <c r="AC85" s="182">
        <f t="shared" si="41"/>
        <v>0</v>
      </c>
      <c r="AD85" s="182">
        <f t="shared" si="42"/>
        <v>0</v>
      </c>
      <c r="AE85" s="180">
        <f t="shared" si="43"/>
        <v>0</v>
      </c>
      <c r="AF85" s="150">
        <f t="shared" si="44"/>
        <v>0</v>
      </c>
      <c r="AG85" s="150">
        <f t="shared" si="45"/>
        <v>0</v>
      </c>
      <c r="AH85" s="150">
        <f t="shared" si="53"/>
        <v>0</v>
      </c>
      <c r="AI85" s="154">
        <f t="shared" si="46"/>
        <v>8192.0020000000004</v>
      </c>
      <c r="AJ85" s="70">
        <f t="shared" si="47"/>
        <v>8187.9980000000014</v>
      </c>
      <c r="AK85" s="155">
        <f t="shared" si="48"/>
        <v>0.22988758303525808</v>
      </c>
      <c r="AL85" s="155">
        <f t="shared" si="49"/>
        <v>0.2985553026431923</v>
      </c>
    </row>
    <row r="86" spans="2:38" ht="15.75" customHeight="1" x14ac:dyDescent="0.25">
      <c r="B86" s="174" t="s">
        <v>353</v>
      </c>
      <c r="C86" s="171" t="s">
        <v>73</v>
      </c>
      <c r="D86" s="103">
        <v>176</v>
      </c>
      <c r="E86" s="104" t="s">
        <v>76</v>
      </c>
      <c r="F86" s="92">
        <v>0</v>
      </c>
      <c r="G86" s="219">
        <f>IF(F86&gt;0,F86,
IF(B86&lt;&gt;"",
IF(C86="CLT",VLOOKUP(B86,'Lista Profissionais'!$C$11:$H$348,3,0),
VLOOKUP(B86,'Lista Profissionais'!$C$11:$H$348,6,0)), 0))</f>
        <v>6500</v>
      </c>
      <c r="H86" s="219">
        <f>IF(B86&lt;&gt;"",
IF(C86="CLT",
       22*$M$5 + (G86*'Lista Profissionais'!$G$9),0),0)</f>
        <v>0</v>
      </c>
      <c r="I86" s="66">
        <f t="shared" si="27"/>
        <v>6500</v>
      </c>
      <c r="J86" s="66">
        <f t="shared" si="28"/>
        <v>6500</v>
      </c>
      <c r="K86" s="66">
        <f t="shared" si="29"/>
        <v>9425.7150000000001</v>
      </c>
      <c r="L86" s="93">
        <f t="shared" si="50"/>
        <v>36.93181818181818</v>
      </c>
      <c r="M86" s="151"/>
      <c r="N86" s="152">
        <v>0</v>
      </c>
      <c r="O86" s="69">
        <f t="shared" si="30"/>
        <v>0</v>
      </c>
      <c r="P86" s="69">
        <f t="shared" si="31"/>
        <v>12350</v>
      </c>
      <c r="Q86" s="70">
        <f t="shared" si="32"/>
        <v>12350</v>
      </c>
      <c r="R86" s="153">
        <f t="shared" si="51"/>
        <v>370.5</v>
      </c>
      <c r="S86" s="70">
        <v>0</v>
      </c>
      <c r="T86" s="165">
        <f t="shared" si="33"/>
        <v>12720.5</v>
      </c>
      <c r="U86" s="163">
        <f t="shared" si="34"/>
        <v>72.275568181818187</v>
      </c>
      <c r="V86" s="164">
        <f t="shared" si="52"/>
        <v>0</v>
      </c>
      <c r="W86" s="164">
        <f t="shared" si="35"/>
        <v>0</v>
      </c>
      <c r="X86" s="144">
        <f t="shared" si="36"/>
        <v>0</v>
      </c>
      <c r="Y86" s="150">
        <f t="shared" si="37"/>
        <v>0</v>
      </c>
      <c r="Z86" s="150">
        <f t="shared" si="38"/>
        <v>0</v>
      </c>
      <c r="AA86" s="150">
        <f t="shared" si="39"/>
        <v>0</v>
      </c>
      <c r="AB86" s="182">
        <f t="shared" si="40"/>
        <v>0</v>
      </c>
      <c r="AC86" s="182">
        <f t="shared" si="41"/>
        <v>0</v>
      </c>
      <c r="AD86" s="182">
        <f t="shared" si="42"/>
        <v>0</v>
      </c>
      <c r="AE86" s="180">
        <f t="shared" si="43"/>
        <v>0</v>
      </c>
      <c r="AF86" s="150">
        <f t="shared" si="44"/>
        <v>0</v>
      </c>
      <c r="AG86" s="150">
        <f t="shared" si="45"/>
        <v>0</v>
      </c>
      <c r="AH86" s="150">
        <f t="shared" si="53"/>
        <v>0</v>
      </c>
      <c r="AI86" s="154">
        <f t="shared" si="46"/>
        <v>2925.7150000000001</v>
      </c>
      <c r="AJ86" s="70">
        <f t="shared" si="47"/>
        <v>2924.2849999999999</v>
      </c>
      <c r="AK86" s="155">
        <f t="shared" si="48"/>
        <v>0.22988758303525803</v>
      </c>
      <c r="AL86" s="155">
        <f t="shared" si="49"/>
        <v>0.29855530264319224</v>
      </c>
    </row>
    <row r="87" spans="2:38" ht="15.75" customHeight="1" x14ac:dyDescent="0.25">
      <c r="B87" s="174" t="s">
        <v>354</v>
      </c>
      <c r="C87" s="171" t="s">
        <v>73</v>
      </c>
      <c r="D87" s="103">
        <v>176</v>
      </c>
      <c r="E87" s="104" t="s">
        <v>76</v>
      </c>
      <c r="F87" s="92">
        <v>0</v>
      </c>
      <c r="G87" s="219">
        <f>IF(F87&gt;0,F87,
IF(B87&lt;&gt;"",
IF(C87="CLT",VLOOKUP(B87,'Lista Profissionais'!$C$11:$H$348,3,0),
VLOOKUP(B87,'Lista Profissionais'!$C$11:$H$348,6,0)), 0))</f>
        <v>10400</v>
      </c>
      <c r="H87" s="219">
        <f>IF(B87&lt;&gt;"",
IF(C87="CLT",
       22*$M$5 + (G87*'Lista Profissionais'!$G$9),0),0)</f>
        <v>0</v>
      </c>
      <c r="I87" s="66">
        <f t="shared" si="27"/>
        <v>10400</v>
      </c>
      <c r="J87" s="66">
        <f t="shared" si="28"/>
        <v>10400</v>
      </c>
      <c r="K87" s="66">
        <f t="shared" si="29"/>
        <v>15081.144</v>
      </c>
      <c r="L87" s="93">
        <f t="shared" si="50"/>
        <v>59.090909090909093</v>
      </c>
      <c r="M87" s="151"/>
      <c r="N87" s="152">
        <v>0</v>
      </c>
      <c r="O87" s="69">
        <f t="shared" si="30"/>
        <v>0</v>
      </c>
      <c r="P87" s="69">
        <f t="shared" si="31"/>
        <v>19760</v>
      </c>
      <c r="Q87" s="70">
        <f t="shared" si="32"/>
        <v>19760</v>
      </c>
      <c r="R87" s="153">
        <f t="shared" si="51"/>
        <v>592.79999999999995</v>
      </c>
      <c r="S87" s="70">
        <v>0</v>
      </c>
      <c r="T87" s="165">
        <f t="shared" si="33"/>
        <v>20352.8</v>
      </c>
      <c r="U87" s="163">
        <f t="shared" si="34"/>
        <v>115.64090909090909</v>
      </c>
      <c r="V87" s="164">
        <f t="shared" si="52"/>
        <v>0</v>
      </c>
      <c r="W87" s="164">
        <f t="shared" si="35"/>
        <v>0</v>
      </c>
      <c r="X87" s="144">
        <f t="shared" si="36"/>
        <v>0</v>
      </c>
      <c r="Y87" s="150">
        <f t="shared" si="37"/>
        <v>0</v>
      </c>
      <c r="Z87" s="150">
        <f t="shared" si="38"/>
        <v>0</v>
      </c>
      <c r="AA87" s="150">
        <f t="shared" si="39"/>
        <v>0</v>
      </c>
      <c r="AB87" s="182">
        <f t="shared" si="40"/>
        <v>0</v>
      </c>
      <c r="AC87" s="182">
        <f t="shared" si="41"/>
        <v>0</v>
      </c>
      <c r="AD87" s="182">
        <f t="shared" si="42"/>
        <v>0</v>
      </c>
      <c r="AE87" s="180">
        <f t="shared" si="43"/>
        <v>0</v>
      </c>
      <c r="AF87" s="150">
        <f t="shared" si="44"/>
        <v>0</v>
      </c>
      <c r="AG87" s="150">
        <f t="shared" si="45"/>
        <v>0</v>
      </c>
      <c r="AH87" s="150">
        <f t="shared" si="53"/>
        <v>0</v>
      </c>
      <c r="AI87" s="154">
        <f t="shared" si="46"/>
        <v>4681.1440000000002</v>
      </c>
      <c r="AJ87" s="70">
        <f t="shared" si="47"/>
        <v>4678.8559999999989</v>
      </c>
      <c r="AK87" s="155">
        <f t="shared" si="48"/>
        <v>0.229887583035258</v>
      </c>
      <c r="AL87" s="155">
        <f t="shared" si="49"/>
        <v>0.29855530264319219</v>
      </c>
    </row>
    <row r="88" spans="2:38" ht="15.75" customHeight="1" x14ac:dyDescent="0.25">
      <c r="B88" s="174" t="s">
        <v>355</v>
      </c>
      <c r="C88" s="171" t="s">
        <v>73</v>
      </c>
      <c r="D88" s="103">
        <v>176</v>
      </c>
      <c r="E88" s="104" t="s">
        <v>76</v>
      </c>
      <c r="F88" s="92">
        <v>0</v>
      </c>
      <c r="G88" s="219">
        <f>IF(F88&gt;0,F88,
IF(B88&lt;&gt;"",
IF(C88="CLT",VLOOKUP(B88,'Lista Profissionais'!$C$11:$H$348,3,0),
VLOOKUP(B88,'Lista Profissionais'!$C$11:$H$348,6,0)), 0))</f>
        <v>14300</v>
      </c>
      <c r="H88" s="219">
        <f>IF(B88&lt;&gt;"",
IF(C88="CLT",
       22*$M$5 + (G88*'Lista Profissionais'!$G$9),0),0)</f>
        <v>0</v>
      </c>
      <c r="I88" s="66">
        <f t="shared" si="27"/>
        <v>14300</v>
      </c>
      <c r="J88" s="66">
        <f t="shared" si="28"/>
        <v>14300</v>
      </c>
      <c r="K88" s="66">
        <f t="shared" si="29"/>
        <v>20736.573</v>
      </c>
      <c r="L88" s="93">
        <f t="shared" si="50"/>
        <v>81.25</v>
      </c>
      <c r="M88" s="151"/>
      <c r="N88" s="152">
        <v>0</v>
      </c>
      <c r="O88" s="69">
        <f t="shared" si="30"/>
        <v>0</v>
      </c>
      <c r="P88" s="69">
        <f t="shared" si="31"/>
        <v>27170</v>
      </c>
      <c r="Q88" s="70">
        <f t="shared" si="32"/>
        <v>27170</v>
      </c>
      <c r="R88" s="153">
        <f t="shared" si="51"/>
        <v>815.1</v>
      </c>
      <c r="S88" s="70">
        <v>0</v>
      </c>
      <c r="T88" s="165">
        <f t="shared" si="33"/>
        <v>27985.1</v>
      </c>
      <c r="U88" s="163">
        <f t="shared" si="34"/>
        <v>159.00624999999999</v>
      </c>
      <c r="V88" s="164">
        <f t="shared" si="52"/>
        <v>0</v>
      </c>
      <c r="W88" s="164">
        <f t="shared" si="35"/>
        <v>0</v>
      </c>
      <c r="X88" s="144">
        <f t="shared" si="36"/>
        <v>0</v>
      </c>
      <c r="Y88" s="150">
        <f t="shared" si="37"/>
        <v>0</v>
      </c>
      <c r="Z88" s="150">
        <f t="shared" si="38"/>
        <v>0</v>
      </c>
      <c r="AA88" s="150">
        <f t="shared" si="39"/>
        <v>0</v>
      </c>
      <c r="AB88" s="182">
        <f t="shared" si="40"/>
        <v>0</v>
      </c>
      <c r="AC88" s="182">
        <f t="shared" si="41"/>
        <v>0</v>
      </c>
      <c r="AD88" s="182">
        <f t="shared" si="42"/>
        <v>0</v>
      </c>
      <c r="AE88" s="180">
        <f t="shared" si="43"/>
        <v>0</v>
      </c>
      <c r="AF88" s="150">
        <f t="shared" si="44"/>
        <v>0</v>
      </c>
      <c r="AG88" s="150">
        <f t="shared" si="45"/>
        <v>0</v>
      </c>
      <c r="AH88" s="150">
        <f t="shared" si="53"/>
        <v>0</v>
      </c>
      <c r="AI88" s="154">
        <f t="shared" si="46"/>
        <v>6436.5730000000003</v>
      </c>
      <c r="AJ88" s="70">
        <f t="shared" si="47"/>
        <v>6433.4269999999979</v>
      </c>
      <c r="AK88" s="155">
        <f t="shared" si="48"/>
        <v>0.22988758303525797</v>
      </c>
      <c r="AL88" s="155">
        <f t="shared" si="49"/>
        <v>0.29855530264319219</v>
      </c>
    </row>
    <row r="89" spans="2:38" ht="15.75" customHeight="1" x14ac:dyDescent="0.25">
      <c r="B89" s="174" t="s">
        <v>311</v>
      </c>
      <c r="C89" s="171" t="s">
        <v>73</v>
      </c>
      <c r="D89" s="103">
        <v>176</v>
      </c>
      <c r="E89" s="104" t="s">
        <v>76</v>
      </c>
      <c r="F89" s="92">
        <v>0</v>
      </c>
      <c r="G89" s="219">
        <f>IF(F89&gt;0,F89,
IF(B89&lt;&gt;"",
IF(C89="CLT",VLOOKUP(B89,'Lista Profissionais'!$C$11:$H$348,3,0),
VLOOKUP(B89,'Lista Profissionais'!$C$11:$H$348,6,0)), 0))</f>
        <v>14950</v>
      </c>
      <c r="H89" s="219">
        <f>IF(B89&lt;&gt;"",
IF(C89="CLT",
       22*$M$5 + (G89*'Lista Profissionais'!$G$9),0),0)</f>
        <v>0</v>
      </c>
      <c r="I89" s="66">
        <f t="shared" si="27"/>
        <v>14950</v>
      </c>
      <c r="J89" s="66">
        <f t="shared" si="28"/>
        <v>14950</v>
      </c>
      <c r="K89" s="66">
        <f t="shared" si="29"/>
        <v>21679.144500000002</v>
      </c>
      <c r="L89" s="93">
        <f t="shared" si="50"/>
        <v>84.943181818181813</v>
      </c>
      <c r="M89" s="151"/>
      <c r="N89" s="152">
        <v>0</v>
      </c>
      <c r="O89" s="69">
        <f t="shared" si="30"/>
        <v>0</v>
      </c>
      <c r="P89" s="69">
        <f t="shared" si="31"/>
        <v>28405</v>
      </c>
      <c r="Q89" s="70">
        <f t="shared" si="32"/>
        <v>28405</v>
      </c>
      <c r="R89" s="153">
        <f t="shared" si="51"/>
        <v>852.15</v>
      </c>
      <c r="S89" s="70">
        <v>0</v>
      </c>
      <c r="T89" s="165">
        <f t="shared" si="33"/>
        <v>29257.15</v>
      </c>
      <c r="U89" s="163">
        <f t="shared" si="34"/>
        <v>166.23380681818182</v>
      </c>
      <c r="V89" s="164">
        <f t="shared" si="52"/>
        <v>0</v>
      </c>
      <c r="W89" s="164">
        <f t="shared" si="35"/>
        <v>0</v>
      </c>
      <c r="X89" s="144">
        <f t="shared" si="36"/>
        <v>0</v>
      </c>
      <c r="Y89" s="150">
        <f t="shared" si="37"/>
        <v>0</v>
      </c>
      <c r="Z89" s="150">
        <f t="shared" si="38"/>
        <v>0</v>
      </c>
      <c r="AA89" s="150">
        <f t="shared" si="39"/>
        <v>0</v>
      </c>
      <c r="AB89" s="182">
        <f t="shared" si="40"/>
        <v>0</v>
      </c>
      <c r="AC89" s="182">
        <f t="shared" si="41"/>
        <v>0</v>
      </c>
      <c r="AD89" s="182">
        <f t="shared" si="42"/>
        <v>0</v>
      </c>
      <c r="AE89" s="180">
        <f t="shared" si="43"/>
        <v>0</v>
      </c>
      <c r="AF89" s="150">
        <f t="shared" si="44"/>
        <v>0</v>
      </c>
      <c r="AG89" s="150">
        <f t="shared" si="45"/>
        <v>0</v>
      </c>
      <c r="AH89" s="150">
        <f t="shared" si="53"/>
        <v>0</v>
      </c>
      <c r="AI89" s="154">
        <f t="shared" si="46"/>
        <v>6729.1445000000003</v>
      </c>
      <c r="AJ89" s="70">
        <f t="shared" si="47"/>
        <v>6725.8554999999997</v>
      </c>
      <c r="AK89" s="155">
        <f t="shared" si="48"/>
        <v>0.22988758303525803</v>
      </c>
      <c r="AL89" s="155">
        <f t="shared" si="49"/>
        <v>0.29855530264319224</v>
      </c>
    </row>
    <row r="90" spans="2:38" ht="15.75" customHeight="1" x14ac:dyDescent="0.25">
      <c r="B90" s="174" t="s">
        <v>312</v>
      </c>
      <c r="C90" s="171" t="s">
        <v>73</v>
      </c>
      <c r="D90" s="103">
        <v>176</v>
      </c>
      <c r="E90" s="104" t="s">
        <v>76</v>
      </c>
      <c r="F90" s="92">
        <v>0</v>
      </c>
      <c r="G90" s="219">
        <f>IF(F90&gt;0,F90,
IF(B90&lt;&gt;"",
IF(C90="CLT",VLOOKUP(B90,'Lista Profissionais'!$C$11:$H$348,3,0),
VLOOKUP(B90,'Lista Profissionais'!$C$11:$H$348,6,0)), 0))</f>
        <v>5850</v>
      </c>
      <c r="H90" s="219">
        <f>IF(B90&lt;&gt;"",
IF(C90="CLT",
       22*$M$5 + (G90*'Lista Profissionais'!$G$9),0),0)</f>
        <v>0</v>
      </c>
      <c r="I90" s="66">
        <f t="shared" si="27"/>
        <v>5850.0000000000009</v>
      </c>
      <c r="J90" s="66">
        <f t="shared" si="28"/>
        <v>5850.0000000000009</v>
      </c>
      <c r="K90" s="66">
        <f t="shared" si="29"/>
        <v>8483.1435000000019</v>
      </c>
      <c r="L90" s="93">
        <f t="shared" si="50"/>
        <v>33.238636363636367</v>
      </c>
      <c r="M90" s="151"/>
      <c r="N90" s="152">
        <v>0</v>
      </c>
      <c r="O90" s="69">
        <f t="shared" si="30"/>
        <v>0</v>
      </c>
      <c r="P90" s="69">
        <f t="shared" si="31"/>
        <v>11115.000000000002</v>
      </c>
      <c r="Q90" s="70">
        <f t="shared" si="32"/>
        <v>11115.000000000002</v>
      </c>
      <c r="R90" s="153">
        <f t="shared" si="51"/>
        <v>333.45000000000005</v>
      </c>
      <c r="S90" s="70">
        <v>0</v>
      </c>
      <c r="T90" s="165">
        <f t="shared" si="33"/>
        <v>11448.450000000003</v>
      </c>
      <c r="U90" s="163">
        <f t="shared" si="34"/>
        <v>65.048011363636377</v>
      </c>
      <c r="V90" s="164">
        <f t="shared" si="52"/>
        <v>0</v>
      </c>
      <c r="W90" s="164">
        <f t="shared" si="35"/>
        <v>0</v>
      </c>
      <c r="X90" s="144">
        <f t="shared" si="36"/>
        <v>0</v>
      </c>
      <c r="Y90" s="150">
        <f t="shared" si="37"/>
        <v>0</v>
      </c>
      <c r="Z90" s="150">
        <f t="shared" si="38"/>
        <v>0</v>
      </c>
      <c r="AA90" s="150">
        <f t="shared" si="39"/>
        <v>0</v>
      </c>
      <c r="AB90" s="182">
        <f t="shared" si="40"/>
        <v>0</v>
      </c>
      <c r="AC90" s="182">
        <f t="shared" si="41"/>
        <v>0</v>
      </c>
      <c r="AD90" s="182">
        <f t="shared" si="42"/>
        <v>0</v>
      </c>
      <c r="AE90" s="180">
        <f t="shared" si="43"/>
        <v>0</v>
      </c>
      <c r="AF90" s="150">
        <f t="shared" si="44"/>
        <v>0</v>
      </c>
      <c r="AG90" s="150">
        <f t="shared" si="45"/>
        <v>0</v>
      </c>
      <c r="AH90" s="150">
        <f t="shared" si="53"/>
        <v>0</v>
      </c>
      <c r="AI90" s="154">
        <f t="shared" si="46"/>
        <v>2633.1435000000006</v>
      </c>
      <c r="AJ90" s="70">
        <f t="shared" si="47"/>
        <v>2631.8565000000017</v>
      </c>
      <c r="AK90" s="155">
        <f t="shared" si="48"/>
        <v>0.22988758303525814</v>
      </c>
      <c r="AL90" s="155">
        <f t="shared" si="49"/>
        <v>0.29855530264319236</v>
      </c>
    </row>
    <row r="91" spans="2:38" ht="15.75" customHeight="1" x14ac:dyDescent="0.25">
      <c r="B91" s="174" t="s">
        <v>313</v>
      </c>
      <c r="C91" s="171" t="s">
        <v>73</v>
      </c>
      <c r="D91" s="103">
        <v>176</v>
      </c>
      <c r="E91" s="104" t="s">
        <v>76</v>
      </c>
      <c r="F91" s="92">
        <v>0</v>
      </c>
      <c r="G91" s="219">
        <f>IF(F91&gt;0,F91,
IF(B91&lt;&gt;"",
IF(C91="CLT",VLOOKUP(B91,'Lista Profissionais'!$C$11:$H$348,3,0),
VLOOKUP(B91,'Lista Profissionais'!$C$11:$H$348,6,0)), 0))</f>
        <v>9750</v>
      </c>
      <c r="H91" s="219">
        <f>IF(B91&lt;&gt;"",
IF(C91="CLT",
       22*$M$5 + (G91*'Lista Profissionais'!$G$9),0),0)</f>
        <v>0</v>
      </c>
      <c r="I91" s="66">
        <f t="shared" si="27"/>
        <v>9750</v>
      </c>
      <c r="J91" s="66">
        <f t="shared" si="28"/>
        <v>9750</v>
      </c>
      <c r="K91" s="66">
        <f t="shared" si="29"/>
        <v>14138.5725</v>
      </c>
      <c r="L91" s="93">
        <f t="shared" si="50"/>
        <v>55.397727272727273</v>
      </c>
      <c r="M91" s="151"/>
      <c r="N91" s="152">
        <v>0</v>
      </c>
      <c r="O91" s="69">
        <f t="shared" si="30"/>
        <v>0</v>
      </c>
      <c r="P91" s="69">
        <f t="shared" si="31"/>
        <v>18525</v>
      </c>
      <c r="Q91" s="70">
        <f t="shared" si="32"/>
        <v>18525</v>
      </c>
      <c r="R91" s="153">
        <f t="shared" si="51"/>
        <v>555.75</v>
      </c>
      <c r="S91" s="70">
        <v>0</v>
      </c>
      <c r="T91" s="165">
        <f t="shared" si="33"/>
        <v>19080.75</v>
      </c>
      <c r="U91" s="163">
        <f t="shared" si="34"/>
        <v>108.41335227272727</v>
      </c>
      <c r="V91" s="164">
        <f t="shared" si="52"/>
        <v>0</v>
      </c>
      <c r="W91" s="164">
        <f t="shared" si="35"/>
        <v>0</v>
      </c>
      <c r="X91" s="144">
        <f t="shared" si="36"/>
        <v>0</v>
      </c>
      <c r="Y91" s="150">
        <f t="shared" si="37"/>
        <v>0</v>
      </c>
      <c r="Z91" s="150">
        <f t="shared" si="38"/>
        <v>0</v>
      </c>
      <c r="AA91" s="150">
        <f t="shared" si="39"/>
        <v>0</v>
      </c>
      <c r="AB91" s="182">
        <f t="shared" si="40"/>
        <v>0</v>
      </c>
      <c r="AC91" s="182">
        <f t="shared" si="41"/>
        <v>0</v>
      </c>
      <c r="AD91" s="182">
        <f t="shared" si="42"/>
        <v>0</v>
      </c>
      <c r="AE91" s="180">
        <f t="shared" si="43"/>
        <v>0</v>
      </c>
      <c r="AF91" s="150">
        <f t="shared" si="44"/>
        <v>0</v>
      </c>
      <c r="AG91" s="150">
        <f t="shared" si="45"/>
        <v>0</v>
      </c>
      <c r="AH91" s="150">
        <f t="shared" si="53"/>
        <v>0</v>
      </c>
      <c r="AI91" s="154">
        <f t="shared" si="46"/>
        <v>4388.5725000000002</v>
      </c>
      <c r="AJ91" s="70">
        <f t="shared" si="47"/>
        <v>4386.4274999999998</v>
      </c>
      <c r="AK91" s="155">
        <f t="shared" si="48"/>
        <v>0.22988758303525803</v>
      </c>
      <c r="AL91" s="155">
        <f t="shared" si="49"/>
        <v>0.29855530264319224</v>
      </c>
    </row>
    <row r="92" spans="2:38" ht="15.75" customHeight="1" x14ac:dyDescent="0.25">
      <c r="B92" s="174" t="s">
        <v>314</v>
      </c>
      <c r="C92" s="171" t="s">
        <v>73</v>
      </c>
      <c r="D92" s="103">
        <v>176</v>
      </c>
      <c r="E92" s="104" t="s">
        <v>76</v>
      </c>
      <c r="F92" s="92">
        <v>0</v>
      </c>
      <c r="G92" s="219">
        <f>IF(F92&gt;0,F92,
IF(B92&lt;&gt;"",
IF(C92="CLT",VLOOKUP(B92,'Lista Profissionais'!$C$11:$H$348,3,0),
VLOOKUP(B92,'Lista Profissionais'!$C$11:$H$348,6,0)), 0))</f>
        <v>13000</v>
      </c>
      <c r="H92" s="219">
        <f>IF(B92&lt;&gt;"",
IF(C92="CLT",
       22*$M$5 + (G92*'Lista Profissionais'!$G$9),0),0)</f>
        <v>0</v>
      </c>
      <c r="I92" s="66">
        <f t="shared" si="27"/>
        <v>13000</v>
      </c>
      <c r="J92" s="66">
        <f t="shared" si="28"/>
        <v>13000</v>
      </c>
      <c r="K92" s="66">
        <f t="shared" si="29"/>
        <v>18851.43</v>
      </c>
      <c r="L92" s="93">
        <f t="shared" si="50"/>
        <v>73.86363636363636</v>
      </c>
      <c r="M92" s="151"/>
      <c r="N92" s="152">
        <v>0</v>
      </c>
      <c r="O92" s="69">
        <f t="shared" si="30"/>
        <v>0</v>
      </c>
      <c r="P92" s="69">
        <f t="shared" si="31"/>
        <v>24700</v>
      </c>
      <c r="Q92" s="70">
        <f t="shared" si="32"/>
        <v>24700</v>
      </c>
      <c r="R92" s="153">
        <f t="shared" si="51"/>
        <v>741</v>
      </c>
      <c r="S92" s="70">
        <v>0</v>
      </c>
      <c r="T92" s="165">
        <f t="shared" si="33"/>
        <v>25441</v>
      </c>
      <c r="U92" s="163">
        <f t="shared" si="34"/>
        <v>144.55113636363637</v>
      </c>
      <c r="V92" s="164">
        <f t="shared" si="52"/>
        <v>0</v>
      </c>
      <c r="W92" s="164">
        <f t="shared" si="35"/>
        <v>0</v>
      </c>
      <c r="X92" s="144">
        <f t="shared" si="36"/>
        <v>0</v>
      </c>
      <c r="Y92" s="150">
        <f t="shared" si="37"/>
        <v>0</v>
      </c>
      <c r="Z92" s="150">
        <f t="shared" si="38"/>
        <v>0</v>
      </c>
      <c r="AA92" s="150">
        <f t="shared" si="39"/>
        <v>0</v>
      </c>
      <c r="AB92" s="182">
        <f t="shared" si="40"/>
        <v>0</v>
      </c>
      <c r="AC92" s="182">
        <f t="shared" si="41"/>
        <v>0</v>
      </c>
      <c r="AD92" s="182">
        <f t="shared" si="42"/>
        <v>0</v>
      </c>
      <c r="AE92" s="180">
        <f t="shared" si="43"/>
        <v>0</v>
      </c>
      <c r="AF92" s="150">
        <f t="shared" si="44"/>
        <v>0</v>
      </c>
      <c r="AG92" s="150">
        <f t="shared" si="45"/>
        <v>0</v>
      </c>
      <c r="AH92" s="150">
        <f t="shared" si="53"/>
        <v>0</v>
      </c>
      <c r="AI92" s="154">
        <f t="shared" si="46"/>
        <v>5851.43</v>
      </c>
      <c r="AJ92" s="70">
        <f t="shared" si="47"/>
        <v>5848.57</v>
      </c>
      <c r="AK92" s="155">
        <f t="shared" si="48"/>
        <v>0.22988758303525803</v>
      </c>
      <c r="AL92" s="155">
        <f t="shared" si="49"/>
        <v>0.29855530264319224</v>
      </c>
    </row>
    <row r="93" spans="2:38" ht="15.75" customHeight="1" x14ac:dyDescent="0.25">
      <c r="B93" s="174" t="s">
        <v>315</v>
      </c>
      <c r="C93" s="171" t="s">
        <v>73</v>
      </c>
      <c r="D93" s="103">
        <v>176</v>
      </c>
      <c r="E93" s="104" t="s">
        <v>76</v>
      </c>
      <c r="F93" s="92">
        <v>0</v>
      </c>
      <c r="G93" s="219">
        <f>IF(F93&gt;0,F93,
IF(B93&lt;&gt;"",
IF(C93="CLT",VLOOKUP(B93,'Lista Profissionais'!$C$11:$H$348,3,0),
VLOOKUP(B93,'Lista Profissionais'!$C$11:$H$348,6,0)), 0))</f>
        <v>7800</v>
      </c>
      <c r="H93" s="219">
        <f>IF(B93&lt;&gt;"",
IF(C93="CLT",
       22*$M$5 + (G93*'Lista Profissionais'!$G$9),0),0)</f>
        <v>0</v>
      </c>
      <c r="I93" s="66">
        <f t="shared" si="27"/>
        <v>7800</v>
      </c>
      <c r="J93" s="66">
        <f t="shared" si="28"/>
        <v>7800</v>
      </c>
      <c r="K93" s="66">
        <f t="shared" si="29"/>
        <v>11310.858</v>
      </c>
      <c r="L93" s="93">
        <f t="shared" si="50"/>
        <v>44.31818181818182</v>
      </c>
      <c r="M93" s="151"/>
      <c r="N93" s="152">
        <v>0</v>
      </c>
      <c r="O93" s="69">
        <f t="shared" si="30"/>
        <v>0</v>
      </c>
      <c r="P93" s="69">
        <f t="shared" si="31"/>
        <v>14820</v>
      </c>
      <c r="Q93" s="70">
        <f t="shared" si="32"/>
        <v>14820</v>
      </c>
      <c r="R93" s="153">
        <f t="shared" si="51"/>
        <v>444.59999999999997</v>
      </c>
      <c r="S93" s="70">
        <v>0</v>
      </c>
      <c r="T93" s="165">
        <f t="shared" si="33"/>
        <v>15264.6</v>
      </c>
      <c r="U93" s="163">
        <f t="shared" si="34"/>
        <v>86.730681818181822</v>
      </c>
      <c r="V93" s="164">
        <f t="shared" si="52"/>
        <v>0</v>
      </c>
      <c r="W93" s="164">
        <f t="shared" si="35"/>
        <v>0</v>
      </c>
      <c r="X93" s="144">
        <f t="shared" si="36"/>
        <v>0</v>
      </c>
      <c r="Y93" s="150">
        <f t="shared" si="37"/>
        <v>0</v>
      </c>
      <c r="Z93" s="150">
        <f t="shared" si="38"/>
        <v>0</v>
      </c>
      <c r="AA93" s="150">
        <f t="shared" si="39"/>
        <v>0</v>
      </c>
      <c r="AB93" s="182">
        <f t="shared" si="40"/>
        <v>0</v>
      </c>
      <c r="AC93" s="182">
        <f t="shared" si="41"/>
        <v>0</v>
      </c>
      <c r="AD93" s="182">
        <f t="shared" si="42"/>
        <v>0</v>
      </c>
      <c r="AE93" s="180">
        <f t="shared" si="43"/>
        <v>0</v>
      </c>
      <c r="AF93" s="150">
        <f t="shared" si="44"/>
        <v>0</v>
      </c>
      <c r="AG93" s="150">
        <f t="shared" si="45"/>
        <v>0</v>
      </c>
      <c r="AH93" s="150">
        <f t="shared" si="53"/>
        <v>0</v>
      </c>
      <c r="AI93" s="154">
        <f t="shared" si="46"/>
        <v>3510.8580000000002</v>
      </c>
      <c r="AJ93" s="70">
        <f t="shared" si="47"/>
        <v>3509.1420000000003</v>
      </c>
      <c r="AK93" s="155">
        <f t="shared" si="48"/>
        <v>0.22988758303525805</v>
      </c>
      <c r="AL93" s="155">
        <f t="shared" si="49"/>
        <v>0.2985553026431923</v>
      </c>
    </row>
    <row r="94" spans="2:38" ht="15.75" customHeight="1" x14ac:dyDescent="0.25">
      <c r="B94" s="174" t="s">
        <v>316</v>
      </c>
      <c r="C94" s="171" t="s">
        <v>73</v>
      </c>
      <c r="D94" s="103">
        <v>176</v>
      </c>
      <c r="E94" s="104" t="s">
        <v>76</v>
      </c>
      <c r="F94" s="92">
        <v>0</v>
      </c>
      <c r="G94" s="219">
        <f>IF(F94&gt;0,F94,
IF(B94&lt;&gt;"",
IF(C94="CLT",VLOOKUP(B94,'Lista Profissionais'!$C$11:$H$348,3,0),
VLOOKUP(B94,'Lista Profissionais'!$C$11:$H$348,6,0)), 0))</f>
        <v>9750</v>
      </c>
      <c r="H94" s="219">
        <f>IF(B94&lt;&gt;"",
IF(C94="CLT",
       22*$M$5 + (G94*'Lista Profissionais'!$G$9),0),0)</f>
        <v>0</v>
      </c>
      <c r="I94" s="66">
        <f t="shared" si="27"/>
        <v>9750</v>
      </c>
      <c r="J94" s="66">
        <f t="shared" si="28"/>
        <v>9750</v>
      </c>
      <c r="K94" s="66">
        <f t="shared" si="29"/>
        <v>14138.5725</v>
      </c>
      <c r="L94" s="93">
        <f t="shared" si="50"/>
        <v>55.397727272727273</v>
      </c>
      <c r="M94" s="151"/>
      <c r="N94" s="152">
        <v>0</v>
      </c>
      <c r="O94" s="69">
        <f t="shared" si="30"/>
        <v>0</v>
      </c>
      <c r="P94" s="69">
        <f t="shared" si="31"/>
        <v>18525</v>
      </c>
      <c r="Q94" s="70">
        <f t="shared" si="32"/>
        <v>18525</v>
      </c>
      <c r="R94" s="153">
        <f t="shared" si="51"/>
        <v>555.75</v>
      </c>
      <c r="S94" s="70">
        <v>0</v>
      </c>
      <c r="T94" s="165">
        <f t="shared" si="33"/>
        <v>19080.75</v>
      </c>
      <c r="U94" s="163">
        <f t="shared" si="34"/>
        <v>108.41335227272727</v>
      </c>
      <c r="V94" s="164">
        <f t="shared" si="52"/>
        <v>0</v>
      </c>
      <c r="W94" s="164">
        <f t="shared" si="35"/>
        <v>0</v>
      </c>
      <c r="X94" s="144">
        <f t="shared" si="36"/>
        <v>0</v>
      </c>
      <c r="Y94" s="150">
        <f t="shared" si="37"/>
        <v>0</v>
      </c>
      <c r="Z94" s="150">
        <f t="shared" si="38"/>
        <v>0</v>
      </c>
      <c r="AA94" s="150">
        <f t="shared" si="39"/>
        <v>0</v>
      </c>
      <c r="AB94" s="182">
        <f t="shared" si="40"/>
        <v>0</v>
      </c>
      <c r="AC94" s="182">
        <f t="shared" si="41"/>
        <v>0</v>
      </c>
      <c r="AD94" s="182">
        <f t="shared" si="42"/>
        <v>0</v>
      </c>
      <c r="AE94" s="180">
        <f t="shared" si="43"/>
        <v>0</v>
      </c>
      <c r="AF94" s="150">
        <f t="shared" si="44"/>
        <v>0</v>
      </c>
      <c r="AG94" s="150">
        <f t="shared" si="45"/>
        <v>0</v>
      </c>
      <c r="AH94" s="150">
        <f>SUM(V94:AG94)+H94</f>
        <v>0</v>
      </c>
      <c r="AI94" s="154">
        <f t="shared" si="46"/>
        <v>4388.5725000000002</v>
      </c>
      <c r="AJ94" s="70">
        <f t="shared" si="47"/>
        <v>4386.4274999999998</v>
      </c>
      <c r="AK94" s="155">
        <f t="shared" si="48"/>
        <v>0.22988758303525803</v>
      </c>
      <c r="AL94" s="155">
        <f t="shared" si="49"/>
        <v>0.29855530264319224</v>
      </c>
    </row>
    <row r="95" spans="2:38" ht="15.75" customHeight="1" x14ac:dyDescent="0.25">
      <c r="B95" s="174" t="s">
        <v>317</v>
      </c>
      <c r="C95" s="171" t="s">
        <v>73</v>
      </c>
      <c r="D95" s="103">
        <v>176</v>
      </c>
      <c r="E95" s="104" t="s">
        <v>76</v>
      </c>
      <c r="F95" s="92">
        <v>0</v>
      </c>
      <c r="G95" s="219">
        <f>IF(F95&gt;0,F95,
IF(B95&lt;&gt;"",
IF(C95="CLT",VLOOKUP(B95,'Lista Profissionais'!$C$11:$H$348,3,0),
VLOOKUP(B95,'Lista Profissionais'!$C$11:$H$348,6,0)), 0))</f>
        <v>13650</v>
      </c>
      <c r="H95" s="219">
        <f>IF(B95&lt;&gt;"",
IF(C95="CLT",
       22*$M$5 + (G95*'Lista Profissionais'!$G$9),0),0)</f>
        <v>0</v>
      </c>
      <c r="I95" s="66">
        <f t="shared" si="27"/>
        <v>13650</v>
      </c>
      <c r="J95" s="66">
        <f t="shared" si="28"/>
        <v>13650</v>
      </c>
      <c r="K95" s="66">
        <f t="shared" si="29"/>
        <v>19794.001499999998</v>
      </c>
      <c r="L95" s="93">
        <f t="shared" si="50"/>
        <v>77.556818181818187</v>
      </c>
      <c r="M95" s="151"/>
      <c r="N95" s="152">
        <v>0</v>
      </c>
      <c r="O95" s="69">
        <f t="shared" si="30"/>
        <v>0</v>
      </c>
      <c r="P95" s="69">
        <f t="shared" si="31"/>
        <v>25935</v>
      </c>
      <c r="Q95" s="70">
        <f t="shared" si="32"/>
        <v>25935</v>
      </c>
      <c r="R95" s="153">
        <f t="shared" si="51"/>
        <v>778.05</v>
      </c>
      <c r="S95" s="70">
        <v>0</v>
      </c>
      <c r="T95" s="165">
        <f t="shared" si="33"/>
        <v>26713.05</v>
      </c>
      <c r="U95" s="163">
        <f t="shared" si="34"/>
        <v>151.77869318181817</v>
      </c>
      <c r="V95" s="164">
        <f t="shared" si="52"/>
        <v>0</v>
      </c>
      <c r="W95" s="164">
        <f t="shared" si="35"/>
        <v>0</v>
      </c>
      <c r="X95" s="144">
        <f t="shared" si="36"/>
        <v>0</v>
      </c>
      <c r="Y95" s="150">
        <f t="shared" si="37"/>
        <v>0</v>
      </c>
      <c r="Z95" s="150">
        <f t="shared" si="38"/>
        <v>0</v>
      </c>
      <c r="AA95" s="150">
        <f t="shared" si="39"/>
        <v>0</v>
      </c>
      <c r="AB95" s="182">
        <f t="shared" si="40"/>
        <v>0</v>
      </c>
      <c r="AC95" s="182">
        <f t="shared" si="41"/>
        <v>0</v>
      </c>
      <c r="AD95" s="182">
        <f t="shared" si="42"/>
        <v>0</v>
      </c>
      <c r="AE95" s="180">
        <f t="shared" si="43"/>
        <v>0</v>
      </c>
      <c r="AF95" s="150">
        <f t="shared" si="44"/>
        <v>0</v>
      </c>
      <c r="AG95" s="150">
        <f t="shared" si="45"/>
        <v>0</v>
      </c>
      <c r="AH95" s="150">
        <f t="shared" si="53"/>
        <v>0</v>
      </c>
      <c r="AI95" s="154">
        <f t="shared" si="46"/>
        <v>6144.0015000000003</v>
      </c>
      <c r="AJ95" s="70">
        <f t="shared" si="47"/>
        <v>6140.998499999997</v>
      </c>
      <c r="AK95" s="155">
        <f t="shared" si="48"/>
        <v>0.22988758303525794</v>
      </c>
      <c r="AL95" s="155">
        <f t="shared" si="49"/>
        <v>0.29855530264319219</v>
      </c>
    </row>
    <row r="96" spans="2:38" ht="15.75" customHeight="1" x14ac:dyDescent="0.25">
      <c r="B96" s="174" t="s">
        <v>318</v>
      </c>
      <c r="C96" s="171" t="s">
        <v>73</v>
      </c>
      <c r="D96" s="103">
        <v>176</v>
      </c>
      <c r="E96" s="104" t="s">
        <v>76</v>
      </c>
      <c r="F96" s="92">
        <v>0</v>
      </c>
      <c r="G96" s="219">
        <f>IF(F96&gt;0,F96,
IF(B96&lt;&gt;"",
IF(C96="CLT",VLOOKUP(B96,'Lista Profissionais'!$C$11:$H$348,3,0),
VLOOKUP(B96,'Lista Profissionais'!$C$11:$H$348,6,0)), 0))</f>
        <v>19500</v>
      </c>
      <c r="H96" s="219">
        <f>IF(B96&lt;&gt;"",
IF(C96="CLT",
       22*$M$5 + (G96*'Lista Profissionais'!$G$9),0),0)</f>
        <v>0</v>
      </c>
      <c r="I96" s="66">
        <f t="shared" si="27"/>
        <v>19500</v>
      </c>
      <c r="J96" s="66">
        <f t="shared" si="28"/>
        <v>19500</v>
      </c>
      <c r="K96" s="66">
        <f t="shared" si="29"/>
        <v>28277.145</v>
      </c>
      <c r="L96" s="93">
        <f t="shared" si="50"/>
        <v>110.79545454545455</v>
      </c>
      <c r="M96" s="151"/>
      <c r="N96" s="152">
        <v>0</v>
      </c>
      <c r="O96" s="69">
        <f t="shared" si="30"/>
        <v>0</v>
      </c>
      <c r="P96" s="69">
        <f t="shared" si="31"/>
        <v>37050</v>
      </c>
      <c r="Q96" s="70">
        <f t="shared" si="32"/>
        <v>37050</v>
      </c>
      <c r="R96" s="153">
        <f t="shared" si="51"/>
        <v>1111.5</v>
      </c>
      <c r="S96" s="70">
        <v>0</v>
      </c>
      <c r="T96" s="165">
        <f t="shared" si="33"/>
        <v>38161.5</v>
      </c>
      <c r="U96" s="163">
        <f t="shared" si="34"/>
        <v>216.82670454545453</v>
      </c>
      <c r="V96" s="164">
        <f t="shared" si="52"/>
        <v>0</v>
      </c>
      <c r="W96" s="164">
        <f t="shared" si="35"/>
        <v>0</v>
      </c>
      <c r="X96" s="144">
        <f t="shared" si="36"/>
        <v>0</v>
      </c>
      <c r="Y96" s="150">
        <f t="shared" si="37"/>
        <v>0</v>
      </c>
      <c r="Z96" s="150">
        <f t="shared" si="38"/>
        <v>0</v>
      </c>
      <c r="AA96" s="150">
        <f t="shared" si="39"/>
        <v>0</v>
      </c>
      <c r="AB96" s="182">
        <f t="shared" si="40"/>
        <v>0</v>
      </c>
      <c r="AC96" s="182">
        <f t="shared" si="41"/>
        <v>0</v>
      </c>
      <c r="AD96" s="182">
        <f t="shared" si="42"/>
        <v>0</v>
      </c>
      <c r="AE96" s="180">
        <f t="shared" si="43"/>
        <v>0</v>
      </c>
      <c r="AF96" s="150">
        <f t="shared" si="44"/>
        <v>0</v>
      </c>
      <c r="AG96" s="150">
        <f t="shared" si="45"/>
        <v>0</v>
      </c>
      <c r="AH96" s="150">
        <f t="shared" si="53"/>
        <v>0</v>
      </c>
      <c r="AI96" s="154">
        <f t="shared" si="46"/>
        <v>8777.1450000000004</v>
      </c>
      <c r="AJ96" s="70">
        <f t="shared" si="47"/>
        <v>8772.8549999999996</v>
      </c>
      <c r="AK96" s="155">
        <f t="shared" si="48"/>
        <v>0.22988758303525803</v>
      </c>
      <c r="AL96" s="155">
        <f t="shared" si="49"/>
        <v>0.29855530264319224</v>
      </c>
    </row>
    <row r="97" spans="2:38" ht="15.75" customHeight="1" x14ac:dyDescent="0.25">
      <c r="B97" s="174" t="s">
        <v>319</v>
      </c>
      <c r="C97" s="171" t="s">
        <v>73</v>
      </c>
      <c r="D97" s="103">
        <v>176</v>
      </c>
      <c r="E97" s="104" t="s">
        <v>76</v>
      </c>
      <c r="F97" s="92">
        <v>0</v>
      </c>
      <c r="G97" s="219">
        <f>IF(F97&gt;0,F97,
IF(B97&lt;&gt;"",
IF(C97="CLT",VLOOKUP(B97,'Lista Profissionais'!$C$11:$H$348,3,0),
VLOOKUP(B97,'Lista Profissionais'!$C$11:$H$348,6,0)), 0))</f>
        <v>8060</v>
      </c>
      <c r="H97" s="219">
        <f>IF(B97&lt;&gt;"",
IF(C97="CLT",
       22*$M$5 + (G97*'Lista Profissionais'!$G$9),0),0)</f>
        <v>0</v>
      </c>
      <c r="I97" s="66">
        <f t="shared" si="27"/>
        <v>8060</v>
      </c>
      <c r="J97" s="66">
        <f t="shared" si="28"/>
        <v>8060</v>
      </c>
      <c r="K97" s="66">
        <f t="shared" si="29"/>
        <v>11687.8866</v>
      </c>
      <c r="L97" s="93">
        <f t="shared" si="50"/>
        <v>45.795454545454547</v>
      </c>
      <c r="M97" s="151"/>
      <c r="N97" s="152">
        <v>0</v>
      </c>
      <c r="O97" s="69">
        <f t="shared" si="30"/>
        <v>0</v>
      </c>
      <c r="P97" s="69">
        <f t="shared" si="31"/>
        <v>15314</v>
      </c>
      <c r="Q97" s="70">
        <f t="shared" si="32"/>
        <v>15314</v>
      </c>
      <c r="R97" s="153">
        <f t="shared" si="51"/>
        <v>459.41999999999996</v>
      </c>
      <c r="S97" s="70">
        <v>0</v>
      </c>
      <c r="T97" s="165">
        <f t="shared" si="33"/>
        <v>15773.42</v>
      </c>
      <c r="U97" s="163">
        <f t="shared" si="34"/>
        <v>89.621704545454548</v>
      </c>
      <c r="V97" s="164">
        <f t="shared" si="52"/>
        <v>0</v>
      </c>
      <c r="W97" s="164">
        <f t="shared" si="35"/>
        <v>0</v>
      </c>
      <c r="X97" s="144">
        <f t="shared" si="36"/>
        <v>0</v>
      </c>
      <c r="Y97" s="150">
        <f t="shared" si="37"/>
        <v>0</v>
      </c>
      <c r="Z97" s="150">
        <f t="shared" si="38"/>
        <v>0</v>
      </c>
      <c r="AA97" s="150">
        <f t="shared" si="39"/>
        <v>0</v>
      </c>
      <c r="AB97" s="182">
        <f t="shared" si="40"/>
        <v>0</v>
      </c>
      <c r="AC97" s="182">
        <f t="shared" si="41"/>
        <v>0</v>
      </c>
      <c r="AD97" s="182">
        <f t="shared" si="42"/>
        <v>0</v>
      </c>
      <c r="AE97" s="180">
        <f t="shared" si="43"/>
        <v>0</v>
      </c>
      <c r="AF97" s="150">
        <f t="shared" si="44"/>
        <v>0</v>
      </c>
      <c r="AG97" s="150">
        <f t="shared" si="45"/>
        <v>0</v>
      </c>
      <c r="AH97" s="150">
        <f t="shared" si="53"/>
        <v>0</v>
      </c>
      <c r="AI97" s="154">
        <f t="shared" si="46"/>
        <v>3627.8866000000003</v>
      </c>
      <c r="AJ97" s="70">
        <f t="shared" si="47"/>
        <v>3626.1134000000002</v>
      </c>
      <c r="AK97" s="155">
        <f t="shared" si="48"/>
        <v>0.22988758303525805</v>
      </c>
      <c r="AL97" s="155">
        <f t="shared" si="49"/>
        <v>0.2985553026431923</v>
      </c>
    </row>
    <row r="98" spans="2:38" ht="15.75" customHeight="1" x14ac:dyDescent="0.25">
      <c r="B98" s="174" t="s">
        <v>320</v>
      </c>
      <c r="C98" s="171" t="s">
        <v>73</v>
      </c>
      <c r="D98" s="103">
        <v>176</v>
      </c>
      <c r="E98" s="104" t="s">
        <v>76</v>
      </c>
      <c r="F98" s="92">
        <v>0</v>
      </c>
      <c r="G98" s="219">
        <f>IF(F98&gt;0,F98,
IF(B98&lt;&gt;"",
IF(C98="CLT",VLOOKUP(B98,'Lista Profissionais'!$C$11:$H$348,3,0),
VLOOKUP(B98,'Lista Profissionais'!$C$11:$H$348,6,0)), 0))</f>
        <v>11700</v>
      </c>
      <c r="H98" s="219">
        <f>IF(B98&lt;&gt;"",
IF(C98="CLT",
       22*$M$5 + (G98*'Lista Profissionais'!$G$9),0),0)</f>
        <v>0</v>
      </c>
      <c r="I98" s="66">
        <f t="shared" si="27"/>
        <v>11700.000000000002</v>
      </c>
      <c r="J98" s="66">
        <f t="shared" si="28"/>
        <v>11700.000000000002</v>
      </c>
      <c r="K98" s="66">
        <f t="shared" si="29"/>
        <v>16966.287000000004</v>
      </c>
      <c r="L98" s="93">
        <f t="shared" si="50"/>
        <v>66.477272727272734</v>
      </c>
      <c r="M98" s="151"/>
      <c r="N98" s="152">
        <v>0</v>
      </c>
      <c r="O98" s="69">
        <f t="shared" si="30"/>
        <v>0</v>
      </c>
      <c r="P98" s="69">
        <f t="shared" si="31"/>
        <v>22230.000000000004</v>
      </c>
      <c r="Q98" s="70">
        <f t="shared" si="32"/>
        <v>22230.000000000004</v>
      </c>
      <c r="R98" s="153">
        <f t="shared" si="51"/>
        <v>666.90000000000009</v>
      </c>
      <c r="S98" s="70">
        <v>0</v>
      </c>
      <c r="T98" s="165">
        <f t="shared" si="33"/>
        <v>22896.900000000005</v>
      </c>
      <c r="U98" s="163">
        <f t="shared" si="34"/>
        <v>130.09602272727275</v>
      </c>
      <c r="V98" s="164">
        <f t="shared" si="52"/>
        <v>0</v>
      </c>
      <c r="W98" s="164">
        <f t="shared" si="35"/>
        <v>0</v>
      </c>
      <c r="X98" s="144">
        <f t="shared" si="36"/>
        <v>0</v>
      </c>
      <c r="Y98" s="150">
        <f t="shared" si="37"/>
        <v>0</v>
      </c>
      <c r="Z98" s="150">
        <f t="shared" si="38"/>
        <v>0</v>
      </c>
      <c r="AA98" s="150">
        <f t="shared" si="39"/>
        <v>0</v>
      </c>
      <c r="AB98" s="182">
        <f t="shared" si="40"/>
        <v>0</v>
      </c>
      <c r="AC98" s="182">
        <f t="shared" si="41"/>
        <v>0</v>
      </c>
      <c r="AD98" s="182">
        <f t="shared" si="42"/>
        <v>0</v>
      </c>
      <c r="AE98" s="180">
        <f t="shared" si="43"/>
        <v>0</v>
      </c>
      <c r="AF98" s="150">
        <f t="shared" si="44"/>
        <v>0</v>
      </c>
      <c r="AG98" s="150">
        <f t="shared" si="45"/>
        <v>0</v>
      </c>
      <c r="AH98" s="150">
        <f t="shared" si="53"/>
        <v>0</v>
      </c>
      <c r="AI98" s="154">
        <f t="shared" si="46"/>
        <v>5266.2870000000012</v>
      </c>
      <c r="AJ98" s="70">
        <f t="shared" si="47"/>
        <v>5263.7130000000034</v>
      </c>
      <c r="AK98" s="155">
        <f t="shared" si="48"/>
        <v>0.22988758303525814</v>
      </c>
      <c r="AL98" s="155">
        <f t="shared" si="49"/>
        <v>0.29855530264319236</v>
      </c>
    </row>
    <row r="99" spans="2:38" ht="15.75" customHeight="1" x14ac:dyDescent="0.25">
      <c r="B99" s="174" t="s">
        <v>321</v>
      </c>
      <c r="C99" s="171" t="s">
        <v>73</v>
      </c>
      <c r="D99" s="103">
        <v>176</v>
      </c>
      <c r="E99" s="104" t="s">
        <v>76</v>
      </c>
      <c r="F99" s="92">
        <v>0</v>
      </c>
      <c r="G99" s="219">
        <f>IF(F99&gt;0,F99,
IF(B99&lt;&gt;"",
IF(C99="CLT",VLOOKUP(B99,'Lista Profissionais'!$C$11:$H$348,3,0),
VLOOKUP(B99,'Lista Profissionais'!$C$11:$H$348,6,0)), 0))</f>
        <v>16900</v>
      </c>
      <c r="H99" s="219">
        <f>IF(B99&lt;&gt;"",
IF(C99="CLT",
       22*$M$5 + (G99*'Lista Profissionais'!$G$9),0),0)</f>
        <v>0</v>
      </c>
      <c r="I99" s="66">
        <f t="shared" si="27"/>
        <v>16900</v>
      </c>
      <c r="J99" s="66">
        <f t="shared" si="28"/>
        <v>16900</v>
      </c>
      <c r="K99" s="66">
        <f t="shared" si="29"/>
        <v>24506.859</v>
      </c>
      <c r="L99" s="93">
        <f t="shared" si="50"/>
        <v>96.022727272727266</v>
      </c>
      <c r="M99" s="151"/>
      <c r="N99" s="152">
        <v>0</v>
      </c>
      <c r="O99" s="69">
        <f t="shared" si="30"/>
        <v>0</v>
      </c>
      <c r="P99" s="69">
        <f t="shared" si="31"/>
        <v>32110</v>
      </c>
      <c r="Q99" s="70">
        <f t="shared" si="32"/>
        <v>32110</v>
      </c>
      <c r="R99" s="153">
        <f t="shared" si="51"/>
        <v>963.3</v>
      </c>
      <c r="S99" s="70">
        <v>0</v>
      </c>
      <c r="T99" s="165">
        <f t="shared" si="33"/>
        <v>33073.300000000003</v>
      </c>
      <c r="U99" s="163">
        <f t="shared" si="34"/>
        <v>187.91647727272729</v>
      </c>
      <c r="V99" s="164">
        <f t="shared" si="52"/>
        <v>0</v>
      </c>
      <c r="W99" s="164">
        <f t="shared" si="35"/>
        <v>0</v>
      </c>
      <c r="X99" s="144">
        <f t="shared" si="36"/>
        <v>0</v>
      </c>
      <c r="Y99" s="150">
        <f t="shared" si="37"/>
        <v>0</v>
      </c>
      <c r="Z99" s="150">
        <f t="shared" si="38"/>
        <v>0</v>
      </c>
      <c r="AA99" s="150">
        <f t="shared" si="39"/>
        <v>0</v>
      </c>
      <c r="AB99" s="182">
        <f t="shared" si="40"/>
        <v>0</v>
      </c>
      <c r="AC99" s="182">
        <f t="shared" si="41"/>
        <v>0</v>
      </c>
      <c r="AD99" s="182">
        <f t="shared" si="42"/>
        <v>0</v>
      </c>
      <c r="AE99" s="180">
        <f t="shared" si="43"/>
        <v>0</v>
      </c>
      <c r="AF99" s="150">
        <f t="shared" si="44"/>
        <v>0</v>
      </c>
      <c r="AG99" s="150">
        <f t="shared" si="45"/>
        <v>0</v>
      </c>
      <c r="AH99" s="150">
        <f t="shared" si="53"/>
        <v>0</v>
      </c>
      <c r="AI99" s="154">
        <f t="shared" si="46"/>
        <v>7606.8590000000013</v>
      </c>
      <c r="AJ99" s="70">
        <f t="shared" si="47"/>
        <v>7603.1410000000024</v>
      </c>
      <c r="AK99" s="155">
        <f t="shared" si="48"/>
        <v>0.22988758303525811</v>
      </c>
      <c r="AL99" s="155">
        <f t="shared" si="49"/>
        <v>0.29855530264319236</v>
      </c>
    </row>
    <row r="100" spans="2:38" s="102" customFormat="1" ht="15.75" customHeight="1" x14ac:dyDescent="0.2">
      <c r="B100" s="174" t="s">
        <v>322</v>
      </c>
      <c r="C100" s="171" t="s">
        <v>73</v>
      </c>
      <c r="D100" s="103">
        <v>176</v>
      </c>
      <c r="E100" s="104" t="s">
        <v>76</v>
      </c>
      <c r="F100" s="92">
        <v>0</v>
      </c>
      <c r="G100" s="219">
        <f>IF(F100&gt;0,F100,
IF(B100&lt;&gt;"",
IF(C100="CLT",VLOOKUP(B100,'Lista Profissionais'!$C$11:$H$348,3,0),
VLOOKUP(B100,'Lista Profissionais'!$C$11:$H$348,6,0)), 0))</f>
        <v>5850</v>
      </c>
      <c r="H100" s="219">
        <f>IF(B100&lt;&gt;"",
IF(C100="CLT",
       22*$M$5 + (G100*'Lista Profissionais'!$G$9),0),0)</f>
        <v>0</v>
      </c>
      <c r="I100" s="66">
        <f t="shared" si="27"/>
        <v>5850.0000000000009</v>
      </c>
      <c r="J100" s="66">
        <f t="shared" si="28"/>
        <v>5850.0000000000009</v>
      </c>
      <c r="K100" s="66">
        <f t="shared" si="29"/>
        <v>8483.1435000000019</v>
      </c>
      <c r="L100" s="93">
        <f t="shared" si="50"/>
        <v>33.238636363636367</v>
      </c>
      <c r="M100" s="151"/>
      <c r="N100" s="152">
        <v>0</v>
      </c>
      <c r="O100" s="69">
        <f t="shared" si="30"/>
        <v>0</v>
      </c>
      <c r="P100" s="69">
        <f t="shared" si="31"/>
        <v>11115.000000000002</v>
      </c>
      <c r="Q100" s="70">
        <f t="shared" si="32"/>
        <v>11115.000000000002</v>
      </c>
      <c r="R100" s="153">
        <f t="shared" si="51"/>
        <v>333.45000000000005</v>
      </c>
      <c r="S100" s="70">
        <v>0</v>
      </c>
      <c r="T100" s="165">
        <f t="shared" si="33"/>
        <v>11448.450000000003</v>
      </c>
      <c r="U100" s="163">
        <f t="shared" si="34"/>
        <v>65.048011363636377</v>
      </c>
      <c r="V100" s="164">
        <f t="shared" si="52"/>
        <v>0</v>
      </c>
      <c r="W100" s="164">
        <f t="shared" si="35"/>
        <v>0</v>
      </c>
      <c r="X100" s="144">
        <f t="shared" si="36"/>
        <v>0</v>
      </c>
      <c r="Y100" s="150">
        <f t="shared" si="37"/>
        <v>0</v>
      </c>
      <c r="Z100" s="150">
        <f t="shared" si="38"/>
        <v>0</v>
      </c>
      <c r="AA100" s="150">
        <f t="shared" si="39"/>
        <v>0</v>
      </c>
      <c r="AB100" s="182">
        <f t="shared" si="40"/>
        <v>0</v>
      </c>
      <c r="AC100" s="182">
        <f t="shared" si="41"/>
        <v>0</v>
      </c>
      <c r="AD100" s="182">
        <f t="shared" si="42"/>
        <v>0</v>
      </c>
      <c r="AE100" s="180">
        <f t="shared" si="43"/>
        <v>0</v>
      </c>
      <c r="AF100" s="150">
        <f t="shared" si="44"/>
        <v>0</v>
      </c>
      <c r="AG100" s="150">
        <f t="shared" si="45"/>
        <v>0</v>
      </c>
      <c r="AH100" s="150">
        <f t="shared" si="53"/>
        <v>0</v>
      </c>
      <c r="AI100" s="154">
        <f t="shared" si="46"/>
        <v>2633.1435000000006</v>
      </c>
      <c r="AJ100" s="70">
        <f t="shared" si="47"/>
        <v>2631.8565000000017</v>
      </c>
      <c r="AK100" s="155">
        <f t="shared" si="48"/>
        <v>0.22988758303525814</v>
      </c>
      <c r="AL100" s="155">
        <f t="shared" si="49"/>
        <v>0.29855530264319236</v>
      </c>
    </row>
    <row r="101" spans="2:38" s="102" customFormat="1" ht="15.75" customHeight="1" x14ac:dyDescent="0.2">
      <c r="B101" s="174" t="s">
        <v>323</v>
      </c>
      <c r="C101" s="171" t="s">
        <v>73</v>
      </c>
      <c r="D101" s="103">
        <v>176</v>
      </c>
      <c r="E101" s="104" t="s">
        <v>76</v>
      </c>
      <c r="F101" s="92">
        <v>0</v>
      </c>
      <c r="G101" s="219">
        <f>IF(F101&gt;0,F101,
IF(B101&lt;&gt;"",
IF(C101="CLT",VLOOKUP(B101,'Lista Profissionais'!$C$11:$H$348,3,0),
VLOOKUP(B101,'Lista Profissionais'!$C$11:$H$348,6,0)), 0))</f>
        <v>12350</v>
      </c>
      <c r="H101" s="219">
        <f>IF(B101&lt;&gt;"",
IF(C101="CLT",
       22*$M$5 + (G101*'Lista Profissionais'!$G$9),0),0)</f>
        <v>0</v>
      </c>
      <c r="I101" s="66">
        <f t="shared" si="27"/>
        <v>12350</v>
      </c>
      <c r="J101" s="66">
        <f t="shared" si="28"/>
        <v>12350</v>
      </c>
      <c r="K101" s="66">
        <f t="shared" si="29"/>
        <v>17908.858500000002</v>
      </c>
      <c r="L101" s="93">
        <f t="shared" si="50"/>
        <v>70.170454545454547</v>
      </c>
      <c r="M101" s="151"/>
      <c r="N101" s="152">
        <v>0</v>
      </c>
      <c r="O101" s="69">
        <f t="shared" si="30"/>
        <v>0</v>
      </c>
      <c r="P101" s="69">
        <f t="shared" si="31"/>
        <v>23465</v>
      </c>
      <c r="Q101" s="70">
        <f t="shared" si="32"/>
        <v>23465</v>
      </c>
      <c r="R101" s="153">
        <f t="shared" si="51"/>
        <v>703.94999999999993</v>
      </c>
      <c r="S101" s="70">
        <v>0</v>
      </c>
      <c r="T101" s="165">
        <f t="shared" si="33"/>
        <v>24168.95</v>
      </c>
      <c r="U101" s="163">
        <f t="shared" si="34"/>
        <v>137.32357954545455</v>
      </c>
      <c r="V101" s="164">
        <f t="shared" si="52"/>
        <v>0</v>
      </c>
      <c r="W101" s="164">
        <f t="shared" si="35"/>
        <v>0</v>
      </c>
      <c r="X101" s="144">
        <f t="shared" si="36"/>
        <v>0</v>
      </c>
      <c r="Y101" s="150">
        <f t="shared" si="37"/>
        <v>0</v>
      </c>
      <c r="Z101" s="150">
        <f t="shared" si="38"/>
        <v>0</v>
      </c>
      <c r="AA101" s="150">
        <f t="shared" si="39"/>
        <v>0</v>
      </c>
      <c r="AB101" s="182">
        <f t="shared" si="40"/>
        <v>0</v>
      </c>
      <c r="AC101" s="182">
        <f t="shared" si="41"/>
        <v>0</v>
      </c>
      <c r="AD101" s="182">
        <f t="shared" si="42"/>
        <v>0</v>
      </c>
      <c r="AE101" s="180">
        <f t="shared" si="43"/>
        <v>0</v>
      </c>
      <c r="AF101" s="150">
        <f t="shared" si="44"/>
        <v>0</v>
      </c>
      <c r="AG101" s="150">
        <f t="shared" si="45"/>
        <v>0</v>
      </c>
      <c r="AH101" s="150">
        <f t="shared" si="53"/>
        <v>0</v>
      </c>
      <c r="AI101" s="154">
        <f t="shared" si="46"/>
        <v>5558.8585000000003</v>
      </c>
      <c r="AJ101" s="70">
        <f t="shared" si="47"/>
        <v>5556.1415000000025</v>
      </c>
      <c r="AK101" s="155">
        <f t="shared" si="48"/>
        <v>0.22988758303525814</v>
      </c>
      <c r="AL101" s="155">
        <f t="shared" si="49"/>
        <v>0.29855530264319236</v>
      </c>
    </row>
    <row r="102" spans="2:38" s="102" customFormat="1" ht="15.75" customHeight="1" x14ac:dyDescent="0.2">
      <c r="B102" s="174" t="s">
        <v>324</v>
      </c>
      <c r="C102" s="171" t="s">
        <v>73</v>
      </c>
      <c r="D102" s="103">
        <v>176</v>
      </c>
      <c r="E102" s="104" t="s">
        <v>76</v>
      </c>
      <c r="F102" s="92">
        <v>0</v>
      </c>
      <c r="G102" s="219">
        <f>IF(F102&gt;0,F102,
IF(B102&lt;&gt;"",
IF(C102="CLT",VLOOKUP(B102,'Lista Profissionais'!$C$11:$H$348,3,0),
VLOOKUP(B102,'Lista Profissionais'!$C$11:$H$348,6,0)), 0))</f>
        <v>14300</v>
      </c>
      <c r="H102" s="219">
        <f>IF(B102&lt;&gt;"",
IF(C102="CLT",
       22*$M$5 + (G102*'Lista Profissionais'!$G$9),0),0)</f>
        <v>0</v>
      </c>
      <c r="I102" s="66">
        <f t="shared" si="27"/>
        <v>14300</v>
      </c>
      <c r="J102" s="66">
        <f t="shared" si="28"/>
        <v>14300</v>
      </c>
      <c r="K102" s="66">
        <f t="shared" si="29"/>
        <v>20736.573</v>
      </c>
      <c r="L102" s="93">
        <f t="shared" si="50"/>
        <v>81.25</v>
      </c>
      <c r="M102" s="151"/>
      <c r="N102" s="152">
        <v>0</v>
      </c>
      <c r="O102" s="69">
        <f t="shared" si="30"/>
        <v>0</v>
      </c>
      <c r="P102" s="69">
        <f t="shared" si="31"/>
        <v>27170</v>
      </c>
      <c r="Q102" s="70">
        <f t="shared" si="32"/>
        <v>27170</v>
      </c>
      <c r="R102" s="153">
        <f t="shared" si="51"/>
        <v>815.1</v>
      </c>
      <c r="S102" s="70">
        <v>0</v>
      </c>
      <c r="T102" s="165">
        <f t="shared" si="33"/>
        <v>27985.1</v>
      </c>
      <c r="U102" s="163">
        <f t="shared" si="34"/>
        <v>159.00624999999999</v>
      </c>
      <c r="V102" s="164">
        <f t="shared" si="52"/>
        <v>0</v>
      </c>
      <c r="W102" s="164">
        <f t="shared" si="35"/>
        <v>0</v>
      </c>
      <c r="X102" s="144">
        <f t="shared" si="36"/>
        <v>0</v>
      </c>
      <c r="Y102" s="150">
        <f t="shared" si="37"/>
        <v>0</v>
      </c>
      <c r="Z102" s="150">
        <f t="shared" si="38"/>
        <v>0</v>
      </c>
      <c r="AA102" s="150">
        <f t="shared" si="39"/>
        <v>0</v>
      </c>
      <c r="AB102" s="182">
        <f t="shared" si="40"/>
        <v>0</v>
      </c>
      <c r="AC102" s="182">
        <f t="shared" si="41"/>
        <v>0</v>
      </c>
      <c r="AD102" s="182">
        <f t="shared" si="42"/>
        <v>0</v>
      </c>
      <c r="AE102" s="180">
        <f t="shared" si="43"/>
        <v>0</v>
      </c>
      <c r="AF102" s="150">
        <f t="shared" si="44"/>
        <v>0</v>
      </c>
      <c r="AG102" s="150">
        <f t="shared" si="45"/>
        <v>0</v>
      </c>
      <c r="AH102" s="150">
        <f t="shared" si="53"/>
        <v>0</v>
      </c>
      <c r="AI102" s="154">
        <f t="shared" si="46"/>
        <v>6436.5730000000003</v>
      </c>
      <c r="AJ102" s="70">
        <f t="shared" si="47"/>
        <v>6433.4269999999979</v>
      </c>
      <c r="AK102" s="155">
        <f t="shared" si="48"/>
        <v>0.22988758303525797</v>
      </c>
      <c r="AL102" s="155">
        <f t="shared" si="49"/>
        <v>0.29855530264319219</v>
      </c>
    </row>
    <row r="103" spans="2:38" s="102" customFormat="1" ht="15.75" customHeight="1" x14ac:dyDescent="0.2">
      <c r="B103" s="174" t="s">
        <v>325</v>
      </c>
      <c r="C103" s="171" t="s">
        <v>73</v>
      </c>
      <c r="D103" s="103">
        <v>176</v>
      </c>
      <c r="E103" s="104" t="s">
        <v>76</v>
      </c>
      <c r="F103" s="92">
        <v>0</v>
      </c>
      <c r="G103" s="219">
        <f>IF(F103&gt;0,F103,
IF(B103&lt;&gt;"",
IF(C103="CLT",VLOOKUP(B103,'Lista Profissionais'!$C$11:$H$348,3,0),
VLOOKUP(B103,'Lista Profissionais'!$C$11:$H$348,6,0)), 0))</f>
        <v>14950</v>
      </c>
      <c r="H103" s="219">
        <f>IF(B103&lt;&gt;"",
IF(C103="CLT",
       22*$M$5 + (G103*'Lista Profissionais'!$G$9),0),0)</f>
        <v>0</v>
      </c>
      <c r="I103" s="66">
        <f t="shared" si="27"/>
        <v>14950</v>
      </c>
      <c r="J103" s="66">
        <f t="shared" si="28"/>
        <v>14950</v>
      </c>
      <c r="K103" s="66">
        <f t="shared" si="29"/>
        <v>21679.144500000002</v>
      </c>
      <c r="L103" s="93">
        <f t="shared" si="50"/>
        <v>84.943181818181813</v>
      </c>
      <c r="M103" s="151"/>
      <c r="N103" s="152">
        <v>0</v>
      </c>
      <c r="O103" s="69">
        <f t="shared" si="30"/>
        <v>0</v>
      </c>
      <c r="P103" s="69">
        <f t="shared" si="31"/>
        <v>28405</v>
      </c>
      <c r="Q103" s="70">
        <f t="shared" si="32"/>
        <v>28405</v>
      </c>
      <c r="R103" s="153">
        <f t="shared" si="51"/>
        <v>852.15</v>
      </c>
      <c r="S103" s="70">
        <v>0</v>
      </c>
      <c r="T103" s="165">
        <f t="shared" si="33"/>
        <v>29257.15</v>
      </c>
      <c r="U103" s="163">
        <f t="shared" si="34"/>
        <v>166.23380681818182</v>
      </c>
      <c r="V103" s="164">
        <f t="shared" si="52"/>
        <v>0</v>
      </c>
      <c r="W103" s="164">
        <f t="shared" si="35"/>
        <v>0</v>
      </c>
      <c r="X103" s="144">
        <f t="shared" si="36"/>
        <v>0</v>
      </c>
      <c r="Y103" s="150">
        <f t="shared" si="37"/>
        <v>0</v>
      </c>
      <c r="Z103" s="150">
        <f t="shared" si="38"/>
        <v>0</v>
      </c>
      <c r="AA103" s="150">
        <f t="shared" si="39"/>
        <v>0</v>
      </c>
      <c r="AB103" s="182">
        <f t="shared" si="40"/>
        <v>0</v>
      </c>
      <c r="AC103" s="182">
        <f t="shared" si="41"/>
        <v>0</v>
      </c>
      <c r="AD103" s="182">
        <f t="shared" si="42"/>
        <v>0</v>
      </c>
      <c r="AE103" s="180">
        <f t="shared" si="43"/>
        <v>0</v>
      </c>
      <c r="AF103" s="150">
        <f t="shared" si="44"/>
        <v>0</v>
      </c>
      <c r="AG103" s="150">
        <f t="shared" si="45"/>
        <v>0</v>
      </c>
      <c r="AH103" s="150">
        <f t="shared" si="53"/>
        <v>0</v>
      </c>
      <c r="AI103" s="154">
        <f t="shared" si="46"/>
        <v>6729.1445000000003</v>
      </c>
      <c r="AJ103" s="70">
        <f t="shared" si="47"/>
        <v>6725.8554999999997</v>
      </c>
      <c r="AK103" s="155">
        <f t="shared" si="48"/>
        <v>0.22988758303525803</v>
      </c>
      <c r="AL103" s="155">
        <f t="shared" si="49"/>
        <v>0.29855530264319224</v>
      </c>
    </row>
    <row r="104" spans="2:38" s="102" customFormat="1" ht="15.75" customHeight="1" x14ac:dyDescent="0.2">
      <c r="B104" s="174" t="s">
        <v>326</v>
      </c>
      <c r="C104" s="171" t="s">
        <v>73</v>
      </c>
      <c r="D104" s="103">
        <v>176</v>
      </c>
      <c r="E104" s="104" t="s">
        <v>76</v>
      </c>
      <c r="F104" s="92">
        <v>0</v>
      </c>
      <c r="G104" s="219">
        <f>IF(F104&gt;0,F104,
IF(B104&lt;&gt;"",
IF(C104="CLT",VLOOKUP(B104,'Lista Profissionais'!$C$11:$H$348,3,0),
VLOOKUP(B104,'Lista Profissionais'!$C$11:$H$348,6,0)), 0))</f>
        <v>4940</v>
      </c>
      <c r="H104" s="219">
        <f>IF(B104&lt;&gt;"",
IF(C104="CLT",
       22*$M$5 + (G104*'Lista Profissionais'!$G$9),0),0)</f>
        <v>0</v>
      </c>
      <c r="I104" s="66">
        <f t="shared" si="27"/>
        <v>4940</v>
      </c>
      <c r="J104" s="66">
        <f t="shared" si="28"/>
        <v>4940</v>
      </c>
      <c r="K104" s="66">
        <f t="shared" si="29"/>
        <v>7163.5434000000005</v>
      </c>
      <c r="L104" s="93">
        <f t="shared" si="50"/>
        <v>28.068181818181817</v>
      </c>
      <c r="M104" s="151"/>
      <c r="N104" s="152">
        <v>0</v>
      </c>
      <c r="O104" s="69">
        <f t="shared" si="30"/>
        <v>0</v>
      </c>
      <c r="P104" s="69">
        <f t="shared" si="31"/>
        <v>9386</v>
      </c>
      <c r="Q104" s="70">
        <f t="shared" si="32"/>
        <v>9386</v>
      </c>
      <c r="R104" s="153">
        <f t="shared" si="51"/>
        <v>281.58</v>
      </c>
      <c r="S104" s="70">
        <v>0</v>
      </c>
      <c r="T104" s="165">
        <f t="shared" si="33"/>
        <v>9667.58</v>
      </c>
      <c r="U104" s="163">
        <f t="shared" si="34"/>
        <v>54.929431818181818</v>
      </c>
      <c r="V104" s="164">
        <f t="shared" si="52"/>
        <v>0</v>
      </c>
      <c r="W104" s="164">
        <f t="shared" si="35"/>
        <v>0</v>
      </c>
      <c r="X104" s="144">
        <f t="shared" si="36"/>
        <v>0</v>
      </c>
      <c r="Y104" s="150">
        <f t="shared" si="37"/>
        <v>0</v>
      </c>
      <c r="Z104" s="150">
        <f t="shared" si="38"/>
        <v>0</v>
      </c>
      <c r="AA104" s="150">
        <f t="shared" si="39"/>
        <v>0</v>
      </c>
      <c r="AB104" s="182">
        <f t="shared" si="40"/>
        <v>0</v>
      </c>
      <c r="AC104" s="182">
        <f t="shared" si="41"/>
        <v>0</v>
      </c>
      <c r="AD104" s="182">
        <f t="shared" si="42"/>
        <v>0</v>
      </c>
      <c r="AE104" s="180">
        <f t="shared" si="43"/>
        <v>0</v>
      </c>
      <c r="AF104" s="150">
        <f t="shared" si="44"/>
        <v>0</v>
      </c>
      <c r="AG104" s="150">
        <f t="shared" si="45"/>
        <v>0</v>
      </c>
      <c r="AH104" s="150">
        <f t="shared" si="53"/>
        <v>0</v>
      </c>
      <c r="AI104" s="154">
        <f t="shared" si="46"/>
        <v>2223.5434</v>
      </c>
      <c r="AJ104" s="70">
        <f t="shared" si="47"/>
        <v>2222.4565999999995</v>
      </c>
      <c r="AK104" s="155">
        <f t="shared" si="48"/>
        <v>0.229887583035258</v>
      </c>
      <c r="AL104" s="155">
        <f t="shared" si="49"/>
        <v>0.29855530264319224</v>
      </c>
    </row>
    <row r="105" spans="2:38" s="102" customFormat="1" ht="15.75" customHeight="1" x14ac:dyDescent="0.2">
      <c r="B105" s="174" t="s">
        <v>327</v>
      </c>
      <c r="C105" s="171" t="s">
        <v>73</v>
      </c>
      <c r="D105" s="103">
        <v>176</v>
      </c>
      <c r="E105" s="104" t="s">
        <v>76</v>
      </c>
      <c r="F105" s="92">
        <v>0</v>
      </c>
      <c r="G105" s="219">
        <f>IF(F105&gt;0,F105,
IF(B105&lt;&gt;"",
IF(C105="CLT",VLOOKUP(B105,'Lista Profissionais'!$C$11:$H$348,3,0),
VLOOKUP(B105,'Lista Profissionais'!$C$11:$H$348,6,0)), 0))</f>
        <v>9750</v>
      </c>
      <c r="H105" s="219">
        <f>IF(B105&lt;&gt;"",
IF(C105="CLT",
       22*$M$5 + (G105*'Lista Profissionais'!$G$9),0),0)</f>
        <v>0</v>
      </c>
      <c r="I105" s="66">
        <f t="shared" si="27"/>
        <v>9750</v>
      </c>
      <c r="J105" s="66">
        <f t="shared" si="28"/>
        <v>9750</v>
      </c>
      <c r="K105" s="66">
        <f t="shared" si="29"/>
        <v>14138.5725</v>
      </c>
      <c r="L105" s="93">
        <f t="shared" si="50"/>
        <v>55.397727272727273</v>
      </c>
      <c r="M105" s="151"/>
      <c r="N105" s="152">
        <v>0</v>
      </c>
      <c r="O105" s="69">
        <f t="shared" si="30"/>
        <v>0</v>
      </c>
      <c r="P105" s="69">
        <f t="shared" si="31"/>
        <v>18525</v>
      </c>
      <c r="Q105" s="70">
        <f t="shared" si="32"/>
        <v>18525</v>
      </c>
      <c r="R105" s="153">
        <f t="shared" si="51"/>
        <v>555.75</v>
      </c>
      <c r="S105" s="70">
        <v>0</v>
      </c>
      <c r="T105" s="165">
        <f t="shared" si="33"/>
        <v>19080.75</v>
      </c>
      <c r="U105" s="163">
        <f t="shared" si="34"/>
        <v>108.41335227272727</v>
      </c>
      <c r="V105" s="164">
        <f t="shared" si="52"/>
        <v>0</v>
      </c>
      <c r="W105" s="164">
        <f t="shared" si="35"/>
        <v>0</v>
      </c>
      <c r="X105" s="144">
        <f t="shared" si="36"/>
        <v>0</v>
      </c>
      <c r="Y105" s="150">
        <f t="shared" si="37"/>
        <v>0</v>
      </c>
      <c r="Z105" s="150">
        <f t="shared" si="38"/>
        <v>0</v>
      </c>
      <c r="AA105" s="150">
        <f t="shared" si="39"/>
        <v>0</v>
      </c>
      <c r="AB105" s="182">
        <f t="shared" si="40"/>
        <v>0</v>
      </c>
      <c r="AC105" s="182">
        <f t="shared" si="41"/>
        <v>0</v>
      </c>
      <c r="AD105" s="182">
        <f t="shared" si="42"/>
        <v>0</v>
      </c>
      <c r="AE105" s="180">
        <f t="shared" si="43"/>
        <v>0</v>
      </c>
      <c r="AF105" s="150">
        <f t="shared" si="44"/>
        <v>0</v>
      </c>
      <c r="AG105" s="150">
        <f t="shared" si="45"/>
        <v>0</v>
      </c>
      <c r="AH105" s="150">
        <f t="shared" si="53"/>
        <v>0</v>
      </c>
      <c r="AI105" s="154">
        <f t="shared" si="46"/>
        <v>4388.5725000000002</v>
      </c>
      <c r="AJ105" s="70">
        <f t="shared" si="47"/>
        <v>4386.4274999999998</v>
      </c>
      <c r="AK105" s="155">
        <f t="shared" si="48"/>
        <v>0.22988758303525803</v>
      </c>
      <c r="AL105" s="155">
        <f t="shared" si="49"/>
        <v>0.29855530264319224</v>
      </c>
    </row>
    <row r="106" spans="2:38" s="102" customFormat="1" ht="15.75" customHeight="1" x14ac:dyDescent="0.2">
      <c r="B106" s="174" t="s">
        <v>328</v>
      </c>
      <c r="C106" s="171" t="s">
        <v>73</v>
      </c>
      <c r="D106" s="103">
        <v>176</v>
      </c>
      <c r="E106" s="104" t="s">
        <v>76</v>
      </c>
      <c r="F106" s="92">
        <v>0</v>
      </c>
      <c r="G106" s="219">
        <f>IF(F106&gt;0,F106,
IF(B106&lt;&gt;"",
IF(C106="CLT",VLOOKUP(B106,'Lista Profissionais'!$C$11:$H$348,3,0),
VLOOKUP(B106,'Lista Profissionais'!$C$11:$H$348,6,0)), 0))</f>
        <v>13000</v>
      </c>
      <c r="H106" s="219">
        <f>IF(B106&lt;&gt;"",
IF(C106="CLT",
       22*$M$5 + (G106*'Lista Profissionais'!$G$9),0),0)</f>
        <v>0</v>
      </c>
      <c r="I106" s="66">
        <f t="shared" si="27"/>
        <v>13000</v>
      </c>
      <c r="J106" s="66">
        <f t="shared" si="28"/>
        <v>13000</v>
      </c>
      <c r="K106" s="66">
        <f t="shared" si="29"/>
        <v>18851.43</v>
      </c>
      <c r="L106" s="93">
        <f t="shared" si="50"/>
        <v>73.86363636363636</v>
      </c>
      <c r="M106" s="151"/>
      <c r="N106" s="152">
        <v>0</v>
      </c>
      <c r="O106" s="69">
        <f t="shared" si="30"/>
        <v>0</v>
      </c>
      <c r="P106" s="69">
        <f t="shared" si="31"/>
        <v>24700</v>
      </c>
      <c r="Q106" s="70">
        <f t="shared" si="32"/>
        <v>24700</v>
      </c>
      <c r="R106" s="153">
        <f t="shared" si="51"/>
        <v>741</v>
      </c>
      <c r="S106" s="70">
        <v>0</v>
      </c>
      <c r="T106" s="165">
        <f t="shared" si="33"/>
        <v>25441</v>
      </c>
      <c r="U106" s="163">
        <f t="shared" si="34"/>
        <v>144.55113636363637</v>
      </c>
      <c r="V106" s="164">
        <f t="shared" si="52"/>
        <v>0</v>
      </c>
      <c r="W106" s="164">
        <f t="shared" si="35"/>
        <v>0</v>
      </c>
      <c r="X106" s="144">
        <f t="shared" si="36"/>
        <v>0</v>
      </c>
      <c r="Y106" s="150">
        <f t="shared" si="37"/>
        <v>0</v>
      </c>
      <c r="Z106" s="150">
        <f t="shared" si="38"/>
        <v>0</v>
      </c>
      <c r="AA106" s="150">
        <f t="shared" si="39"/>
        <v>0</v>
      </c>
      <c r="AB106" s="182">
        <f t="shared" si="40"/>
        <v>0</v>
      </c>
      <c r="AC106" s="182">
        <f t="shared" si="41"/>
        <v>0</v>
      </c>
      <c r="AD106" s="182">
        <f t="shared" si="42"/>
        <v>0</v>
      </c>
      <c r="AE106" s="180">
        <f t="shared" si="43"/>
        <v>0</v>
      </c>
      <c r="AF106" s="150">
        <f t="shared" si="44"/>
        <v>0</v>
      </c>
      <c r="AG106" s="150">
        <f t="shared" si="45"/>
        <v>0</v>
      </c>
      <c r="AH106" s="150">
        <f t="shared" si="53"/>
        <v>0</v>
      </c>
      <c r="AI106" s="154">
        <f t="shared" si="46"/>
        <v>5851.43</v>
      </c>
      <c r="AJ106" s="70">
        <f t="shared" si="47"/>
        <v>5848.57</v>
      </c>
      <c r="AK106" s="155">
        <f t="shared" si="48"/>
        <v>0.22988758303525803</v>
      </c>
      <c r="AL106" s="155">
        <f t="shared" si="49"/>
        <v>0.29855530264319224</v>
      </c>
    </row>
    <row r="107" spans="2:38" s="102" customFormat="1" ht="15.75" customHeight="1" x14ac:dyDescent="0.2">
      <c r="B107" s="174" t="s">
        <v>1446</v>
      </c>
      <c r="C107" s="171" t="s">
        <v>73</v>
      </c>
      <c r="D107" s="103">
        <v>176</v>
      </c>
      <c r="E107" s="104" t="s">
        <v>76</v>
      </c>
      <c r="F107" s="92">
        <v>0</v>
      </c>
      <c r="G107" s="219">
        <f>IF(F107&gt;0,F107,
IF(B107&lt;&gt;"",
IF(C107="CLT",VLOOKUP(B107,'Lista Profissionais'!$C$11:$H$348,3,0),
VLOOKUP(B107,'Lista Profissionais'!$C$11:$H$348,6,0)), 0))</f>
        <v>6760</v>
      </c>
      <c r="H107" s="219">
        <f>IF(B107&lt;&gt;"",
IF(C107="CLT",
       22*$M$5 + (G107*'Lista Profissionais'!$G$9),0),0)</f>
        <v>0</v>
      </c>
      <c r="I107" s="66">
        <f t="shared" si="27"/>
        <v>6760</v>
      </c>
      <c r="J107" s="66">
        <f t="shared" si="28"/>
        <v>6760</v>
      </c>
      <c r="K107" s="66">
        <f t="shared" si="29"/>
        <v>9802.7435999999998</v>
      </c>
      <c r="L107" s="93">
        <f t="shared" si="50"/>
        <v>38.409090909090907</v>
      </c>
      <c r="M107" s="151"/>
      <c r="N107" s="152">
        <v>0</v>
      </c>
      <c r="O107" s="69">
        <f t="shared" si="30"/>
        <v>0</v>
      </c>
      <c r="P107" s="69">
        <f t="shared" si="31"/>
        <v>12844</v>
      </c>
      <c r="Q107" s="70">
        <f t="shared" si="32"/>
        <v>12844</v>
      </c>
      <c r="R107" s="153">
        <f t="shared" si="51"/>
        <v>385.32</v>
      </c>
      <c r="S107" s="70">
        <v>0</v>
      </c>
      <c r="T107" s="165">
        <f t="shared" si="33"/>
        <v>13229.32</v>
      </c>
      <c r="U107" s="163">
        <f t="shared" si="34"/>
        <v>75.166590909090914</v>
      </c>
      <c r="V107" s="164">
        <f t="shared" si="52"/>
        <v>0</v>
      </c>
      <c r="W107" s="164">
        <f t="shared" si="35"/>
        <v>0</v>
      </c>
      <c r="X107" s="144">
        <f t="shared" si="36"/>
        <v>0</v>
      </c>
      <c r="Y107" s="150">
        <f t="shared" si="37"/>
        <v>0</v>
      </c>
      <c r="Z107" s="150">
        <f t="shared" si="38"/>
        <v>0</v>
      </c>
      <c r="AA107" s="150">
        <f t="shared" si="39"/>
        <v>0</v>
      </c>
      <c r="AB107" s="182">
        <f t="shared" si="40"/>
        <v>0</v>
      </c>
      <c r="AC107" s="182">
        <f t="shared" si="41"/>
        <v>0</v>
      </c>
      <c r="AD107" s="182">
        <f t="shared" si="42"/>
        <v>0</v>
      </c>
      <c r="AE107" s="180">
        <f t="shared" si="43"/>
        <v>0</v>
      </c>
      <c r="AF107" s="150">
        <f t="shared" si="44"/>
        <v>0</v>
      </c>
      <c r="AG107" s="150">
        <f t="shared" si="45"/>
        <v>0</v>
      </c>
      <c r="AH107" s="150">
        <f t="shared" si="53"/>
        <v>0</v>
      </c>
      <c r="AI107" s="154">
        <f t="shared" si="46"/>
        <v>3042.7436000000002</v>
      </c>
      <c r="AJ107" s="70">
        <f t="shared" si="47"/>
        <v>3041.2563999999998</v>
      </c>
      <c r="AK107" s="155">
        <f t="shared" si="48"/>
        <v>0.22988758303525803</v>
      </c>
      <c r="AL107" s="155">
        <f t="shared" si="49"/>
        <v>0.29855530264319224</v>
      </c>
    </row>
    <row r="108" spans="2:38" s="102" customFormat="1" ht="15.75" customHeight="1" x14ac:dyDescent="0.2">
      <c r="B108" s="174" t="s">
        <v>1447</v>
      </c>
      <c r="C108" s="171" t="s">
        <v>73</v>
      </c>
      <c r="D108" s="103">
        <v>176</v>
      </c>
      <c r="E108" s="104" t="s">
        <v>76</v>
      </c>
      <c r="F108" s="92">
        <v>0</v>
      </c>
      <c r="G108" s="219">
        <f>IF(F108&gt;0,F108,
IF(B108&lt;&gt;"",
IF(C108="CLT",VLOOKUP(B108,'Lista Profissionais'!$C$11:$H$348,3,0),
VLOOKUP(B108,'Lista Profissionais'!$C$11:$H$348,6,0)), 0))</f>
        <v>11830</v>
      </c>
      <c r="H108" s="219">
        <f>IF(B108&lt;&gt;"",
IF(C108="CLT",
       22*$M$5 + (G108*'Lista Profissionais'!$G$9),0),0)</f>
        <v>0</v>
      </c>
      <c r="I108" s="66">
        <f t="shared" si="27"/>
        <v>11830</v>
      </c>
      <c r="J108" s="66">
        <f t="shared" si="28"/>
        <v>11830</v>
      </c>
      <c r="K108" s="66">
        <f t="shared" si="29"/>
        <v>17154.801299999999</v>
      </c>
      <c r="L108" s="93">
        <f t="shared" si="50"/>
        <v>67.215909090909093</v>
      </c>
      <c r="M108" s="151"/>
      <c r="N108" s="152">
        <v>0</v>
      </c>
      <c r="O108" s="69">
        <f t="shared" si="30"/>
        <v>0</v>
      </c>
      <c r="P108" s="69">
        <f t="shared" si="31"/>
        <v>22477</v>
      </c>
      <c r="Q108" s="70">
        <f t="shared" si="32"/>
        <v>22477</v>
      </c>
      <c r="R108" s="153">
        <f t="shared" si="51"/>
        <v>674.31</v>
      </c>
      <c r="S108" s="70">
        <v>0</v>
      </c>
      <c r="T108" s="165">
        <f t="shared" si="33"/>
        <v>23151.31</v>
      </c>
      <c r="U108" s="163">
        <f t="shared" si="34"/>
        <v>131.5415340909091</v>
      </c>
      <c r="V108" s="164">
        <f t="shared" si="52"/>
        <v>0</v>
      </c>
      <c r="W108" s="164">
        <f t="shared" si="35"/>
        <v>0</v>
      </c>
      <c r="X108" s="144">
        <f t="shared" si="36"/>
        <v>0</v>
      </c>
      <c r="Y108" s="150">
        <f t="shared" si="37"/>
        <v>0</v>
      </c>
      <c r="Z108" s="150">
        <f t="shared" si="38"/>
        <v>0</v>
      </c>
      <c r="AA108" s="150">
        <f t="shared" si="39"/>
        <v>0</v>
      </c>
      <c r="AB108" s="182">
        <f t="shared" si="40"/>
        <v>0</v>
      </c>
      <c r="AC108" s="182">
        <f t="shared" si="41"/>
        <v>0</v>
      </c>
      <c r="AD108" s="182">
        <f t="shared" si="42"/>
        <v>0</v>
      </c>
      <c r="AE108" s="180">
        <f t="shared" si="43"/>
        <v>0</v>
      </c>
      <c r="AF108" s="150">
        <f t="shared" si="44"/>
        <v>0</v>
      </c>
      <c r="AG108" s="150">
        <f t="shared" si="45"/>
        <v>0</v>
      </c>
      <c r="AH108" s="150">
        <f t="shared" si="53"/>
        <v>0</v>
      </c>
      <c r="AI108" s="154">
        <f t="shared" si="46"/>
        <v>5324.8013000000001</v>
      </c>
      <c r="AJ108" s="70">
        <f t="shared" si="47"/>
        <v>5322.1987000000026</v>
      </c>
      <c r="AK108" s="155">
        <f t="shared" si="48"/>
        <v>0.22988758303525814</v>
      </c>
      <c r="AL108" s="155">
        <f t="shared" si="49"/>
        <v>0.29855530264319236</v>
      </c>
    </row>
    <row r="109" spans="2:38" s="102" customFormat="1" ht="15.75" customHeight="1" x14ac:dyDescent="0.2">
      <c r="B109" s="174" t="s">
        <v>1448</v>
      </c>
      <c r="C109" s="171" t="s">
        <v>73</v>
      </c>
      <c r="D109" s="103">
        <v>176</v>
      </c>
      <c r="E109" s="104" t="s">
        <v>76</v>
      </c>
      <c r="F109" s="92">
        <v>0</v>
      </c>
      <c r="G109" s="219">
        <f>IF(F109&gt;0,F109,
IF(B109&lt;&gt;"",
IF(C109="CLT",VLOOKUP(B109,'Lista Profissionais'!$C$11:$H$348,3,0),
VLOOKUP(B109,'Lista Profissionais'!$C$11:$H$348,6,0)), 0))</f>
        <v>15600</v>
      </c>
      <c r="H109" s="219">
        <f>IF(B109&lt;&gt;"",
IF(C109="CLT",
       22*$M$5 + (G109*'Lista Profissionais'!$G$9),0),0)</f>
        <v>0</v>
      </c>
      <c r="I109" s="66">
        <f t="shared" si="27"/>
        <v>15600</v>
      </c>
      <c r="J109" s="66">
        <f t="shared" si="28"/>
        <v>15600</v>
      </c>
      <c r="K109" s="66">
        <f t="shared" si="29"/>
        <v>22621.716</v>
      </c>
      <c r="L109" s="93">
        <f t="shared" si="50"/>
        <v>88.63636363636364</v>
      </c>
      <c r="M109" s="151"/>
      <c r="N109" s="152">
        <v>0</v>
      </c>
      <c r="O109" s="69">
        <f t="shared" si="30"/>
        <v>0</v>
      </c>
      <c r="P109" s="69">
        <f t="shared" si="31"/>
        <v>29640</v>
      </c>
      <c r="Q109" s="70">
        <f t="shared" si="32"/>
        <v>29640</v>
      </c>
      <c r="R109" s="153">
        <f t="shared" si="51"/>
        <v>889.19999999999993</v>
      </c>
      <c r="S109" s="70">
        <v>0</v>
      </c>
      <c r="T109" s="165">
        <f t="shared" si="33"/>
        <v>30529.200000000001</v>
      </c>
      <c r="U109" s="163">
        <f t="shared" si="34"/>
        <v>173.46136363636364</v>
      </c>
      <c r="V109" s="164">
        <f t="shared" si="52"/>
        <v>0</v>
      </c>
      <c r="W109" s="164">
        <f t="shared" si="35"/>
        <v>0</v>
      </c>
      <c r="X109" s="144">
        <f t="shared" si="36"/>
        <v>0</v>
      </c>
      <c r="Y109" s="150">
        <f t="shared" si="37"/>
        <v>0</v>
      </c>
      <c r="Z109" s="150">
        <f t="shared" si="38"/>
        <v>0</v>
      </c>
      <c r="AA109" s="150">
        <f t="shared" si="39"/>
        <v>0</v>
      </c>
      <c r="AB109" s="182">
        <f t="shared" si="40"/>
        <v>0</v>
      </c>
      <c r="AC109" s="182">
        <f t="shared" si="41"/>
        <v>0</v>
      </c>
      <c r="AD109" s="182">
        <f t="shared" si="42"/>
        <v>0</v>
      </c>
      <c r="AE109" s="180">
        <f t="shared" si="43"/>
        <v>0</v>
      </c>
      <c r="AF109" s="150">
        <f t="shared" si="44"/>
        <v>0</v>
      </c>
      <c r="AG109" s="150">
        <f t="shared" si="45"/>
        <v>0</v>
      </c>
      <c r="AH109" s="150">
        <f t="shared" si="53"/>
        <v>0</v>
      </c>
      <c r="AI109" s="154">
        <f t="shared" si="46"/>
        <v>7021.7160000000003</v>
      </c>
      <c r="AJ109" s="70">
        <f t="shared" si="47"/>
        <v>7018.2840000000006</v>
      </c>
      <c r="AK109" s="155">
        <f t="shared" si="48"/>
        <v>0.22988758303525805</v>
      </c>
      <c r="AL109" s="155">
        <f t="shared" si="49"/>
        <v>0.2985553026431923</v>
      </c>
    </row>
    <row r="110" spans="2:38" s="102" customFormat="1" ht="15.75" customHeight="1" x14ac:dyDescent="0.2">
      <c r="B110" s="174" t="s">
        <v>333</v>
      </c>
      <c r="C110" s="171" t="s">
        <v>73</v>
      </c>
      <c r="D110" s="103">
        <v>176</v>
      </c>
      <c r="E110" s="104" t="s">
        <v>76</v>
      </c>
      <c r="F110" s="92">
        <v>0</v>
      </c>
      <c r="G110" s="219">
        <f>IF(F110&gt;0,F110,
IF(B110&lt;&gt;"",
IF(C110="CLT",VLOOKUP(B110,'Lista Profissionais'!$C$11:$H$348,3,0),
VLOOKUP(B110,'Lista Profissionais'!$C$11:$H$348,6,0)), 0))</f>
        <v>5850</v>
      </c>
      <c r="H110" s="219">
        <f>IF(B110&lt;&gt;"",
IF(C110="CLT",
       22*$M$5 + (G110*'Lista Profissionais'!$G$9),0),0)</f>
        <v>0</v>
      </c>
      <c r="I110" s="66">
        <f t="shared" si="27"/>
        <v>5850.0000000000009</v>
      </c>
      <c r="J110" s="66">
        <f t="shared" si="28"/>
        <v>5850.0000000000009</v>
      </c>
      <c r="K110" s="66">
        <f t="shared" si="29"/>
        <v>8483.1435000000019</v>
      </c>
      <c r="L110" s="93">
        <f t="shared" si="50"/>
        <v>33.238636363636367</v>
      </c>
      <c r="M110" s="151"/>
      <c r="N110" s="152">
        <v>0</v>
      </c>
      <c r="O110" s="69">
        <f t="shared" si="30"/>
        <v>0</v>
      </c>
      <c r="P110" s="69">
        <f t="shared" si="31"/>
        <v>11115.000000000002</v>
      </c>
      <c r="Q110" s="70">
        <f t="shared" si="32"/>
        <v>11115.000000000002</v>
      </c>
      <c r="R110" s="153">
        <f t="shared" si="51"/>
        <v>333.45000000000005</v>
      </c>
      <c r="S110" s="70">
        <v>0</v>
      </c>
      <c r="T110" s="165">
        <f t="shared" si="33"/>
        <v>11448.450000000003</v>
      </c>
      <c r="U110" s="163">
        <f t="shared" si="34"/>
        <v>65.048011363636377</v>
      </c>
      <c r="V110" s="164">
        <f t="shared" si="52"/>
        <v>0</v>
      </c>
      <c r="W110" s="164">
        <f t="shared" si="35"/>
        <v>0</v>
      </c>
      <c r="X110" s="144">
        <f t="shared" si="36"/>
        <v>0</v>
      </c>
      <c r="Y110" s="150">
        <f t="shared" si="37"/>
        <v>0</v>
      </c>
      <c r="Z110" s="150">
        <f t="shared" si="38"/>
        <v>0</v>
      </c>
      <c r="AA110" s="150">
        <f t="shared" si="39"/>
        <v>0</v>
      </c>
      <c r="AB110" s="182">
        <f t="shared" si="40"/>
        <v>0</v>
      </c>
      <c r="AC110" s="182">
        <f t="shared" si="41"/>
        <v>0</v>
      </c>
      <c r="AD110" s="182">
        <f t="shared" si="42"/>
        <v>0</v>
      </c>
      <c r="AE110" s="180">
        <f t="shared" si="43"/>
        <v>0</v>
      </c>
      <c r="AF110" s="150">
        <f t="shared" si="44"/>
        <v>0</v>
      </c>
      <c r="AG110" s="150">
        <f t="shared" si="45"/>
        <v>0</v>
      </c>
      <c r="AH110" s="150">
        <f t="shared" si="53"/>
        <v>0</v>
      </c>
      <c r="AI110" s="154">
        <f t="shared" si="46"/>
        <v>2633.1435000000006</v>
      </c>
      <c r="AJ110" s="70">
        <f t="shared" si="47"/>
        <v>2631.8565000000017</v>
      </c>
      <c r="AK110" s="155">
        <f t="shared" si="48"/>
        <v>0.22988758303525814</v>
      </c>
      <c r="AL110" s="155">
        <f t="shared" si="49"/>
        <v>0.29855530264319236</v>
      </c>
    </row>
    <row r="111" spans="2:38" s="102" customFormat="1" ht="15.75" customHeight="1" x14ac:dyDescent="0.2">
      <c r="B111" s="174" t="s">
        <v>334</v>
      </c>
      <c r="C111" s="171" t="s">
        <v>73</v>
      </c>
      <c r="D111" s="103">
        <v>176</v>
      </c>
      <c r="E111" s="104" t="s">
        <v>76</v>
      </c>
      <c r="F111" s="92">
        <v>0</v>
      </c>
      <c r="G111" s="219">
        <f>IF(F111&gt;0,F111,
IF(B111&lt;&gt;"",
IF(C111="CLT",VLOOKUP(B111,'Lista Profissionais'!$C$11:$H$348,3,0),
VLOOKUP(B111,'Lista Profissionais'!$C$11:$H$348,6,0)), 0))</f>
        <v>10400</v>
      </c>
      <c r="H111" s="219">
        <f>IF(B111&lt;&gt;"",
IF(C111="CLT",
       22*$M$5 + (G111*'Lista Profissionais'!$G$9),0),0)</f>
        <v>0</v>
      </c>
      <c r="I111" s="66">
        <f t="shared" si="27"/>
        <v>10400</v>
      </c>
      <c r="J111" s="66">
        <f t="shared" si="28"/>
        <v>10400</v>
      </c>
      <c r="K111" s="66">
        <f t="shared" si="29"/>
        <v>15081.144</v>
      </c>
      <c r="L111" s="93">
        <f t="shared" si="50"/>
        <v>59.090909090909093</v>
      </c>
      <c r="M111" s="151"/>
      <c r="N111" s="152">
        <v>0</v>
      </c>
      <c r="O111" s="69">
        <f t="shared" si="30"/>
        <v>0</v>
      </c>
      <c r="P111" s="69">
        <f t="shared" si="31"/>
        <v>19760</v>
      </c>
      <c r="Q111" s="70">
        <f t="shared" si="32"/>
        <v>19760</v>
      </c>
      <c r="R111" s="153">
        <f t="shared" si="51"/>
        <v>592.79999999999995</v>
      </c>
      <c r="S111" s="70">
        <v>0</v>
      </c>
      <c r="T111" s="165">
        <f t="shared" si="33"/>
        <v>20352.8</v>
      </c>
      <c r="U111" s="163">
        <f t="shared" si="34"/>
        <v>115.64090909090909</v>
      </c>
      <c r="V111" s="164">
        <f t="shared" si="52"/>
        <v>0</v>
      </c>
      <c r="W111" s="164">
        <f t="shared" si="35"/>
        <v>0</v>
      </c>
      <c r="X111" s="144">
        <f t="shared" si="36"/>
        <v>0</v>
      </c>
      <c r="Y111" s="150">
        <f t="shared" si="37"/>
        <v>0</v>
      </c>
      <c r="Z111" s="150">
        <f t="shared" si="38"/>
        <v>0</v>
      </c>
      <c r="AA111" s="150">
        <f t="shared" si="39"/>
        <v>0</v>
      </c>
      <c r="AB111" s="182">
        <f t="shared" si="40"/>
        <v>0</v>
      </c>
      <c r="AC111" s="182">
        <f t="shared" si="41"/>
        <v>0</v>
      </c>
      <c r="AD111" s="182">
        <f t="shared" si="42"/>
        <v>0</v>
      </c>
      <c r="AE111" s="180">
        <f t="shared" si="43"/>
        <v>0</v>
      </c>
      <c r="AF111" s="150">
        <f t="shared" si="44"/>
        <v>0</v>
      </c>
      <c r="AG111" s="150">
        <f t="shared" si="45"/>
        <v>0</v>
      </c>
      <c r="AH111" s="150">
        <f t="shared" si="53"/>
        <v>0</v>
      </c>
      <c r="AI111" s="154">
        <f t="shared" si="46"/>
        <v>4681.1440000000002</v>
      </c>
      <c r="AJ111" s="70">
        <f t="shared" si="47"/>
        <v>4678.8559999999989</v>
      </c>
      <c r="AK111" s="155">
        <f t="shared" si="48"/>
        <v>0.229887583035258</v>
      </c>
      <c r="AL111" s="155">
        <f t="shared" si="49"/>
        <v>0.29855530264319219</v>
      </c>
    </row>
    <row r="112" spans="2:38" s="102" customFormat="1" ht="15.75" customHeight="1" x14ac:dyDescent="0.2">
      <c r="B112" s="174" t="s">
        <v>335</v>
      </c>
      <c r="C112" s="171" t="s">
        <v>73</v>
      </c>
      <c r="D112" s="103">
        <v>176</v>
      </c>
      <c r="E112" s="104" t="s">
        <v>76</v>
      </c>
      <c r="F112" s="92">
        <v>0</v>
      </c>
      <c r="G112" s="219">
        <f>IF(F112&gt;0,F112,
IF(B112&lt;&gt;"",
IF(C112="CLT",VLOOKUP(B112,'Lista Profissionais'!$C$11:$H$348,3,0),
VLOOKUP(B112,'Lista Profissionais'!$C$11:$H$348,6,0)), 0))</f>
        <v>13650</v>
      </c>
      <c r="H112" s="219">
        <f>IF(B112&lt;&gt;"",
IF(C112="CLT",
       22*$M$5 + (G112*'Lista Profissionais'!$G$9),0),0)</f>
        <v>0</v>
      </c>
      <c r="I112" s="66">
        <f t="shared" si="27"/>
        <v>13650</v>
      </c>
      <c r="J112" s="66">
        <f t="shared" si="28"/>
        <v>13650</v>
      </c>
      <c r="K112" s="66">
        <f t="shared" si="29"/>
        <v>19794.001499999998</v>
      </c>
      <c r="L112" s="93">
        <f t="shared" si="50"/>
        <v>77.556818181818187</v>
      </c>
      <c r="M112" s="151"/>
      <c r="N112" s="152">
        <v>0</v>
      </c>
      <c r="O112" s="69">
        <f t="shared" si="30"/>
        <v>0</v>
      </c>
      <c r="P112" s="69">
        <f t="shared" si="31"/>
        <v>25935</v>
      </c>
      <c r="Q112" s="70">
        <f t="shared" si="32"/>
        <v>25935</v>
      </c>
      <c r="R112" s="153">
        <f t="shared" si="51"/>
        <v>778.05</v>
      </c>
      <c r="S112" s="70">
        <v>0</v>
      </c>
      <c r="T112" s="165">
        <f t="shared" si="33"/>
        <v>26713.05</v>
      </c>
      <c r="U112" s="163">
        <f t="shared" si="34"/>
        <v>151.77869318181817</v>
      </c>
      <c r="V112" s="164">
        <f t="shared" si="52"/>
        <v>0</v>
      </c>
      <c r="W112" s="164">
        <f t="shared" si="35"/>
        <v>0</v>
      </c>
      <c r="X112" s="144">
        <f t="shared" si="36"/>
        <v>0</v>
      </c>
      <c r="Y112" s="150">
        <f t="shared" si="37"/>
        <v>0</v>
      </c>
      <c r="Z112" s="150">
        <f t="shared" si="38"/>
        <v>0</v>
      </c>
      <c r="AA112" s="150">
        <f t="shared" si="39"/>
        <v>0</v>
      </c>
      <c r="AB112" s="182">
        <f t="shared" si="40"/>
        <v>0</v>
      </c>
      <c r="AC112" s="182">
        <f t="shared" si="41"/>
        <v>0</v>
      </c>
      <c r="AD112" s="182">
        <f t="shared" si="42"/>
        <v>0</v>
      </c>
      <c r="AE112" s="180">
        <f t="shared" si="43"/>
        <v>0</v>
      </c>
      <c r="AF112" s="150">
        <f t="shared" si="44"/>
        <v>0</v>
      </c>
      <c r="AG112" s="150">
        <f t="shared" si="45"/>
        <v>0</v>
      </c>
      <c r="AH112" s="150">
        <f t="shared" si="53"/>
        <v>0</v>
      </c>
      <c r="AI112" s="154">
        <f t="shared" si="46"/>
        <v>6144.0015000000003</v>
      </c>
      <c r="AJ112" s="70">
        <f t="shared" si="47"/>
        <v>6140.998499999997</v>
      </c>
      <c r="AK112" s="155">
        <f t="shared" si="48"/>
        <v>0.22988758303525794</v>
      </c>
      <c r="AL112" s="155">
        <f t="shared" si="49"/>
        <v>0.29855530264319219</v>
      </c>
    </row>
    <row r="113" spans="2:38" s="102" customFormat="1" ht="15.75" customHeight="1" x14ac:dyDescent="0.2">
      <c r="B113" s="174" t="s">
        <v>361</v>
      </c>
      <c r="C113" s="171" t="s">
        <v>73</v>
      </c>
      <c r="D113" s="103">
        <v>176</v>
      </c>
      <c r="E113" s="104" t="s">
        <v>76</v>
      </c>
      <c r="F113" s="92">
        <v>0</v>
      </c>
      <c r="G113" s="219">
        <f>IF(F113&gt;0,F113,
IF(B113&lt;&gt;"",
IF(C113="CLT",VLOOKUP(B113,'Lista Profissionais'!$C$11:$H$348,3,0),
VLOOKUP(B113,'Lista Profissionais'!$C$11:$H$348,6,0)), 0))</f>
        <v>20800</v>
      </c>
      <c r="H113" s="219">
        <f>IF(B113&lt;&gt;"",
IF(C113="CLT",
       22*$M$5 + (G113*'Lista Profissionais'!$G$9),0),0)</f>
        <v>0</v>
      </c>
      <c r="I113" s="66">
        <f t="shared" si="27"/>
        <v>20800</v>
      </c>
      <c r="J113" s="66">
        <f t="shared" si="28"/>
        <v>20800</v>
      </c>
      <c r="K113" s="66">
        <f t="shared" si="29"/>
        <v>30162.288</v>
      </c>
      <c r="L113" s="93">
        <f t="shared" si="50"/>
        <v>118.18181818181819</v>
      </c>
      <c r="M113" s="151"/>
      <c r="N113" s="152">
        <v>0</v>
      </c>
      <c r="O113" s="69">
        <f t="shared" si="30"/>
        <v>0</v>
      </c>
      <c r="P113" s="69">
        <f t="shared" si="31"/>
        <v>39520</v>
      </c>
      <c r="Q113" s="70">
        <f t="shared" si="32"/>
        <v>39520</v>
      </c>
      <c r="R113" s="153">
        <f t="shared" si="51"/>
        <v>1185.5999999999999</v>
      </c>
      <c r="S113" s="70">
        <v>0</v>
      </c>
      <c r="T113" s="165">
        <f t="shared" si="33"/>
        <v>40705.599999999999</v>
      </c>
      <c r="U113" s="163">
        <f t="shared" si="34"/>
        <v>231.28181818181818</v>
      </c>
      <c r="V113" s="164">
        <f t="shared" si="52"/>
        <v>0</v>
      </c>
      <c r="W113" s="164">
        <f t="shared" si="35"/>
        <v>0</v>
      </c>
      <c r="X113" s="144">
        <f t="shared" si="36"/>
        <v>0</v>
      </c>
      <c r="Y113" s="150">
        <f t="shared" si="37"/>
        <v>0</v>
      </c>
      <c r="Z113" s="150">
        <f t="shared" si="38"/>
        <v>0</v>
      </c>
      <c r="AA113" s="150">
        <f t="shared" si="39"/>
        <v>0</v>
      </c>
      <c r="AB113" s="182">
        <f t="shared" si="40"/>
        <v>0</v>
      </c>
      <c r="AC113" s="182">
        <f t="shared" si="41"/>
        <v>0</v>
      </c>
      <c r="AD113" s="182">
        <f t="shared" si="42"/>
        <v>0</v>
      </c>
      <c r="AE113" s="180">
        <f t="shared" si="43"/>
        <v>0</v>
      </c>
      <c r="AF113" s="150">
        <f t="shared" si="44"/>
        <v>0</v>
      </c>
      <c r="AG113" s="150">
        <f t="shared" si="45"/>
        <v>0</v>
      </c>
      <c r="AH113" s="150">
        <f t="shared" si="53"/>
        <v>0</v>
      </c>
      <c r="AI113" s="154">
        <f t="shared" si="46"/>
        <v>9362.2880000000005</v>
      </c>
      <c r="AJ113" s="70">
        <f t="shared" si="47"/>
        <v>9357.7119999999977</v>
      </c>
      <c r="AK113" s="155">
        <f t="shared" si="48"/>
        <v>0.229887583035258</v>
      </c>
      <c r="AL113" s="155">
        <f t="shared" si="49"/>
        <v>0.29855530264319219</v>
      </c>
    </row>
    <row r="114" spans="2:38" s="102" customFormat="1" ht="15.75" customHeight="1" x14ac:dyDescent="0.2">
      <c r="B114" s="174" t="s">
        <v>362</v>
      </c>
      <c r="C114" s="171" t="s">
        <v>73</v>
      </c>
      <c r="D114" s="103">
        <v>176</v>
      </c>
      <c r="E114" s="104" t="s">
        <v>76</v>
      </c>
      <c r="F114" s="92">
        <v>0</v>
      </c>
      <c r="G114" s="219">
        <f>IF(F114&gt;0,F114,
IF(B114&lt;&gt;"",
IF(C114="CLT",VLOOKUP(B114,'Lista Profissionais'!$C$11:$H$348,3,0),
VLOOKUP(B114,'Lista Profissionais'!$C$11:$H$348,6,0)), 0))</f>
        <v>7800</v>
      </c>
      <c r="H114" s="219">
        <f>IF(B114&lt;&gt;"",
IF(C114="CLT",
       22*$M$5 + (G114*'Lista Profissionais'!$G$9),0),0)</f>
        <v>0</v>
      </c>
      <c r="I114" s="66">
        <f t="shared" si="27"/>
        <v>7800</v>
      </c>
      <c r="J114" s="66">
        <f t="shared" si="28"/>
        <v>7800</v>
      </c>
      <c r="K114" s="66">
        <f t="shared" si="29"/>
        <v>11310.858</v>
      </c>
      <c r="L114" s="93">
        <f t="shared" si="50"/>
        <v>44.31818181818182</v>
      </c>
      <c r="M114" s="151"/>
      <c r="N114" s="152">
        <v>0</v>
      </c>
      <c r="O114" s="69">
        <f t="shared" si="30"/>
        <v>0</v>
      </c>
      <c r="P114" s="69">
        <f t="shared" si="31"/>
        <v>14820</v>
      </c>
      <c r="Q114" s="70">
        <f t="shared" si="32"/>
        <v>14820</v>
      </c>
      <c r="R114" s="153">
        <f t="shared" si="51"/>
        <v>444.59999999999997</v>
      </c>
      <c r="S114" s="70">
        <v>0</v>
      </c>
      <c r="T114" s="165">
        <f t="shared" si="33"/>
        <v>15264.6</v>
      </c>
      <c r="U114" s="163">
        <f t="shared" si="34"/>
        <v>86.730681818181822</v>
      </c>
      <c r="V114" s="164">
        <f t="shared" si="52"/>
        <v>0</v>
      </c>
      <c r="W114" s="164">
        <f t="shared" si="35"/>
        <v>0</v>
      </c>
      <c r="X114" s="144">
        <f t="shared" si="36"/>
        <v>0</v>
      </c>
      <c r="Y114" s="150">
        <f t="shared" si="37"/>
        <v>0</v>
      </c>
      <c r="Z114" s="150">
        <f t="shared" si="38"/>
        <v>0</v>
      </c>
      <c r="AA114" s="150">
        <f t="shared" si="39"/>
        <v>0</v>
      </c>
      <c r="AB114" s="182">
        <f t="shared" si="40"/>
        <v>0</v>
      </c>
      <c r="AC114" s="182">
        <f t="shared" si="41"/>
        <v>0</v>
      </c>
      <c r="AD114" s="182">
        <f t="shared" si="42"/>
        <v>0</v>
      </c>
      <c r="AE114" s="180">
        <f t="shared" si="43"/>
        <v>0</v>
      </c>
      <c r="AF114" s="150">
        <f t="shared" si="44"/>
        <v>0</v>
      </c>
      <c r="AG114" s="150">
        <f t="shared" si="45"/>
        <v>0</v>
      </c>
      <c r="AH114" s="150">
        <f t="shared" si="53"/>
        <v>0</v>
      </c>
      <c r="AI114" s="154">
        <f t="shared" si="46"/>
        <v>3510.8580000000002</v>
      </c>
      <c r="AJ114" s="70">
        <f t="shared" si="47"/>
        <v>3509.1420000000003</v>
      </c>
      <c r="AK114" s="155">
        <f t="shared" si="48"/>
        <v>0.22988758303525805</v>
      </c>
      <c r="AL114" s="155">
        <f t="shared" si="49"/>
        <v>0.2985553026431923</v>
      </c>
    </row>
    <row r="115" spans="2:38" s="102" customFormat="1" ht="15.75" customHeight="1" x14ac:dyDescent="0.2">
      <c r="B115" s="174" t="s">
        <v>363</v>
      </c>
      <c r="C115" s="171" t="s">
        <v>73</v>
      </c>
      <c r="D115" s="103">
        <v>176</v>
      </c>
      <c r="E115" s="104" t="s">
        <v>76</v>
      </c>
      <c r="F115" s="92">
        <v>0</v>
      </c>
      <c r="G115" s="219">
        <f>IF(F115&gt;0,F115,
IF(B115&lt;&gt;"",
IF(C115="CLT",VLOOKUP(B115,'Lista Profissionais'!$C$11:$H$348,3,0),
VLOOKUP(B115,'Lista Profissionais'!$C$11:$H$348,6,0)), 0))</f>
        <v>11050</v>
      </c>
      <c r="H115" s="219">
        <f>IF(B115&lt;&gt;"",
IF(C115="CLT",
       22*$M$5 + (G115*'Lista Profissionais'!$G$9),0),0)</f>
        <v>0</v>
      </c>
      <c r="I115" s="66">
        <f t="shared" si="27"/>
        <v>11050</v>
      </c>
      <c r="J115" s="66">
        <f t="shared" si="28"/>
        <v>11050</v>
      </c>
      <c r="K115" s="66">
        <f t="shared" si="29"/>
        <v>16023.7155</v>
      </c>
      <c r="L115" s="93">
        <f t="shared" si="50"/>
        <v>62.784090909090907</v>
      </c>
      <c r="M115" s="151"/>
      <c r="N115" s="152">
        <v>0</v>
      </c>
      <c r="O115" s="69">
        <f t="shared" si="30"/>
        <v>0</v>
      </c>
      <c r="P115" s="69">
        <f t="shared" si="31"/>
        <v>20995</v>
      </c>
      <c r="Q115" s="70">
        <f t="shared" si="32"/>
        <v>20995</v>
      </c>
      <c r="R115" s="153">
        <f t="shared" si="51"/>
        <v>629.85</v>
      </c>
      <c r="S115" s="70">
        <v>0</v>
      </c>
      <c r="T115" s="165">
        <f t="shared" si="33"/>
        <v>21624.85</v>
      </c>
      <c r="U115" s="163">
        <f t="shared" si="34"/>
        <v>122.8684659090909</v>
      </c>
      <c r="V115" s="164">
        <f t="shared" si="52"/>
        <v>0</v>
      </c>
      <c r="W115" s="164">
        <f t="shared" si="35"/>
        <v>0</v>
      </c>
      <c r="X115" s="144">
        <f t="shared" si="36"/>
        <v>0</v>
      </c>
      <c r="Y115" s="150">
        <f t="shared" si="37"/>
        <v>0</v>
      </c>
      <c r="Z115" s="150">
        <f t="shared" si="38"/>
        <v>0</v>
      </c>
      <c r="AA115" s="150">
        <f t="shared" si="39"/>
        <v>0</v>
      </c>
      <c r="AB115" s="182">
        <f t="shared" si="40"/>
        <v>0</v>
      </c>
      <c r="AC115" s="182">
        <f t="shared" si="41"/>
        <v>0</v>
      </c>
      <c r="AD115" s="182">
        <f t="shared" si="42"/>
        <v>0</v>
      </c>
      <c r="AE115" s="180">
        <f t="shared" si="43"/>
        <v>0</v>
      </c>
      <c r="AF115" s="150">
        <f t="shared" si="44"/>
        <v>0</v>
      </c>
      <c r="AG115" s="150">
        <f t="shared" si="45"/>
        <v>0</v>
      </c>
      <c r="AH115" s="150">
        <f t="shared" si="53"/>
        <v>0</v>
      </c>
      <c r="AI115" s="154">
        <f t="shared" si="46"/>
        <v>4973.7155000000002</v>
      </c>
      <c r="AJ115" s="70">
        <f t="shared" si="47"/>
        <v>4971.2844999999998</v>
      </c>
      <c r="AK115" s="155">
        <f t="shared" si="48"/>
        <v>0.22988758303525805</v>
      </c>
      <c r="AL115" s="155">
        <f t="shared" si="49"/>
        <v>0.29855530264319224</v>
      </c>
    </row>
    <row r="116" spans="2:38" s="102" customFormat="1" ht="15.75" customHeight="1" x14ac:dyDescent="0.2">
      <c r="B116" s="174" t="s">
        <v>364</v>
      </c>
      <c r="C116" s="171" t="s">
        <v>73</v>
      </c>
      <c r="D116" s="103">
        <v>176</v>
      </c>
      <c r="E116" s="104" t="s">
        <v>76</v>
      </c>
      <c r="F116" s="92">
        <v>0</v>
      </c>
      <c r="G116" s="219">
        <f>IF(F116&gt;0,F116,
IF(B116&lt;&gt;"",
IF(C116="CLT",VLOOKUP(B116,'Lista Profissionais'!$C$11:$H$348,3,0),
VLOOKUP(B116,'Lista Profissionais'!$C$11:$H$348,6,0)), 0))</f>
        <v>15600</v>
      </c>
      <c r="H116" s="219">
        <f>IF(B116&lt;&gt;"",
IF(C116="CLT",
       22*$M$5 + (G116*'Lista Profissionais'!$G$9),0),0)</f>
        <v>0</v>
      </c>
      <c r="I116" s="66">
        <f t="shared" si="27"/>
        <v>15600</v>
      </c>
      <c r="J116" s="66">
        <f t="shared" si="28"/>
        <v>15600</v>
      </c>
      <c r="K116" s="66">
        <f t="shared" si="29"/>
        <v>22621.716</v>
      </c>
      <c r="L116" s="93">
        <f t="shared" si="50"/>
        <v>88.63636363636364</v>
      </c>
      <c r="M116" s="151"/>
      <c r="N116" s="152">
        <v>0</v>
      </c>
      <c r="O116" s="69">
        <f t="shared" si="30"/>
        <v>0</v>
      </c>
      <c r="P116" s="69">
        <f t="shared" si="31"/>
        <v>29640</v>
      </c>
      <c r="Q116" s="70">
        <f t="shared" si="32"/>
        <v>29640</v>
      </c>
      <c r="R116" s="153">
        <f t="shared" si="51"/>
        <v>889.19999999999993</v>
      </c>
      <c r="S116" s="70">
        <v>0</v>
      </c>
      <c r="T116" s="165">
        <f t="shared" si="33"/>
        <v>30529.200000000001</v>
      </c>
      <c r="U116" s="163">
        <f t="shared" si="34"/>
        <v>173.46136363636364</v>
      </c>
      <c r="V116" s="164">
        <f t="shared" si="52"/>
        <v>0</v>
      </c>
      <c r="W116" s="164">
        <f t="shared" si="35"/>
        <v>0</v>
      </c>
      <c r="X116" s="144">
        <f t="shared" si="36"/>
        <v>0</v>
      </c>
      <c r="Y116" s="150">
        <f t="shared" si="37"/>
        <v>0</v>
      </c>
      <c r="Z116" s="150">
        <f t="shared" si="38"/>
        <v>0</v>
      </c>
      <c r="AA116" s="150">
        <f t="shared" si="39"/>
        <v>0</v>
      </c>
      <c r="AB116" s="182">
        <f t="shared" si="40"/>
        <v>0</v>
      </c>
      <c r="AC116" s="182">
        <f t="shared" si="41"/>
        <v>0</v>
      </c>
      <c r="AD116" s="182">
        <f t="shared" si="42"/>
        <v>0</v>
      </c>
      <c r="AE116" s="180">
        <f t="shared" si="43"/>
        <v>0</v>
      </c>
      <c r="AF116" s="150">
        <f t="shared" si="44"/>
        <v>0</v>
      </c>
      <c r="AG116" s="150">
        <f t="shared" si="45"/>
        <v>0</v>
      </c>
      <c r="AH116" s="150">
        <f t="shared" si="53"/>
        <v>0</v>
      </c>
      <c r="AI116" s="154">
        <f t="shared" si="46"/>
        <v>7021.7160000000003</v>
      </c>
      <c r="AJ116" s="70">
        <f t="shared" si="47"/>
        <v>7018.2840000000006</v>
      </c>
      <c r="AK116" s="155">
        <f t="shared" si="48"/>
        <v>0.22988758303525805</v>
      </c>
      <c r="AL116" s="155">
        <f t="shared" si="49"/>
        <v>0.2985553026431923</v>
      </c>
    </row>
    <row r="117" spans="2:38" s="102" customFormat="1" ht="15.75" customHeight="1" x14ac:dyDescent="0.2">
      <c r="B117" s="174" t="s">
        <v>336</v>
      </c>
      <c r="C117" s="171" t="s">
        <v>73</v>
      </c>
      <c r="D117" s="103">
        <v>176</v>
      </c>
      <c r="E117" s="104" t="s">
        <v>76</v>
      </c>
      <c r="F117" s="92">
        <v>0</v>
      </c>
      <c r="G117" s="219">
        <f>IF(F117&gt;0,F117,
IF(B117&lt;&gt;"",
IF(C117="CLT",VLOOKUP(B117,'Lista Profissionais'!$C$11:$H$348,3,0),
VLOOKUP(B117,'Lista Profissionais'!$C$11:$H$348,6,0)), 0))</f>
        <v>18850</v>
      </c>
      <c r="H117" s="219">
        <f>IF(B117&lt;&gt;"",
IF(C117="CLT",
       22*$M$5 + (G117*'Lista Profissionais'!$G$9),0),0)</f>
        <v>0</v>
      </c>
      <c r="I117" s="66">
        <f t="shared" si="27"/>
        <v>18850</v>
      </c>
      <c r="J117" s="66">
        <f t="shared" si="28"/>
        <v>18850</v>
      </c>
      <c r="K117" s="66">
        <f t="shared" si="29"/>
        <v>27334.573499999999</v>
      </c>
      <c r="L117" s="93">
        <f t="shared" si="50"/>
        <v>107.10227272727273</v>
      </c>
      <c r="M117" s="151"/>
      <c r="N117" s="152">
        <v>0</v>
      </c>
      <c r="O117" s="69">
        <f t="shared" si="30"/>
        <v>0</v>
      </c>
      <c r="P117" s="69">
        <f t="shared" si="31"/>
        <v>35815</v>
      </c>
      <c r="Q117" s="70">
        <f t="shared" si="32"/>
        <v>35815</v>
      </c>
      <c r="R117" s="153">
        <f t="shared" si="51"/>
        <v>1074.45</v>
      </c>
      <c r="S117" s="70">
        <v>0</v>
      </c>
      <c r="T117" s="165">
        <f t="shared" si="33"/>
        <v>36889.449999999997</v>
      </c>
      <c r="U117" s="163">
        <f t="shared" si="34"/>
        <v>209.59914772727271</v>
      </c>
      <c r="V117" s="164">
        <f t="shared" si="52"/>
        <v>0</v>
      </c>
      <c r="W117" s="164">
        <f t="shared" si="35"/>
        <v>0</v>
      </c>
      <c r="X117" s="144">
        <f t="shared" si="36"/>
        <v>0</v>
      </c>
      <c r="Y117" s="150">
        <f t="shared" si="37"/>
        <v>0</v>
      </c>
      <c r="Z117" s="150">
        <f t="shared" si="38"/>
        <v>0</v>
      </c>
      <c r="AA117" s="150">
        <f t="shared" si="39"/>
        <v>0</v>
      </c>
      <c r="AB117" s="182">
        <f t="shared" si="40"/>
        <v>0</v>
      </c>
      <c r="AC117" s="182">
        <f t="shared" si="41"/>
        <v>0</v>
      </c>
      <c r="AD117" s="182">
        <f t="shared" si="42"/>
        <v>0</v>
      </c>
      <c r="AE117" s="180">
        <f t="shared" si="43"/>
        <v>0</v>
      </c>
      <c r="AF117" s="150">
        <f t="shared" si="44"/>
        <v>0</v>
      </c>
      <c r="AG117" s="150">
        <f t="shared" si="45"/>
        <v>0</v>
      </c>
      <c r="AH117" s="150">
        <f t="shared" si="53"/>
        <v>0</v>
      </c>
      <c r="AI117" s="154">
        <f t="shared" si="46"/>
        <v>8484.5735000000004</v>
      </c>
      <c r="AJ117" s="70">
        <f t="shared" si="47"/>
        <v>8480.4264999999978</v>
      </c>
      <c r="AK117" s="155">
        <f t="shared" si="48"/>
        <v>0.229887583035258</v>
      </c>
      <c r="AL117" s="155">
        <f t="shared" si="49"/>
        <v>0.29855530264319219</v>
      </c>
    </row>
    <row r="118" spans="2:38" s="102" customFormat="1" ht="15.75" customHeight="1" x14ac:dyDescent="0.2">
      <c r="B118" s="174" t="s">
        <v>337</v>
      </c>
      <c r="C118" s="171" t="s">
        <v>73</v>
      </c>
      <c r="D118" s="103">
        <v>176</v>
      </c>
      <c r="E118" s="104" t="s">
        <v>76</v>
      </c>
      <c r="F118" s="92">
        <v>0</v>
      </c>
      <c r="G118" s="219">
        <f>IF(F118&gt;0,F118,
IF(B118&lt;&gt;"",
IF(C118="CLT",VLOOKUP(B118,'Lista Profissionais'!$C$11:$H$348,3,0),
VLOOKUP(B118,'Lista Profissionais'!$C$11:$H$348,6,0)), 0))</f>
        <v>13650</v>
      </c>
      <c r="H118" s="219">
        <f>IF(B118&lt;&gt;"",
IF(C118="CLT",
       22*$M$5 + (G118*'Lista Profissionais'!$G$9),0),0)</f>
        <v>0</v>
      </c>
      <c r="I118" s="66">
        <f t="shared" si="27"/>
        <v>13650</v>
      </c>
      <c r="J118" s="66">
        <f t="shared" si="28"/>
        <v>13650</v>
      </c>
      <c r="K118" s="66">
        <f t="shared" si="29"/>
        <v>19794.001499999998</v>
      </c>
      <c r="L118" s="93">
        <f t="shared" si="50"/>
        <v>77.556818181818187</v>
      </c>
      <c r="M118" s="151"/>
      <c r="N118" s="152">
        <v>0</v>
      </c>
      <c r="O118" s="69">
        <f t="shared" si="30"/>
        <v>0</v>
      </c>
      <c r="P118" s="69">
        <f t="shared" si="31"/>
        <v>25935</v>
      </c>
      <c r="Q118" s="70">
        <f t="shared" si="32"/>
        <v>25935</v>
      </c>
      <c r="R118" s="153">
        <f t="shared" si="51"/>
        <v>778.05</v>
      </c>
      <c r="S118" s="70">
        <v>0</v>
      </c>
      <c r="T118" s="165">
        <f t="shared" si="33"/>
        <v>26713.05</v>
      </c>
      <c r="U118" s="163">
        <f t="shared" si="34"/>
        <v>151.77869318181817</v>
      </c>
      <c r="V118" s="164">
        <f t="shared" si="52"/>
        <v>0</v>
      </c>
      <c r="W118" s="164">
        <f t="shared" si="35"/>
        <v>0</v>
      </c>
      <c r="X118" s="144">
        <f t="shared" si="36"/>
        <v>0</v>
      </c>
      <c r="Y118" s="150">
        <f t="shared" si="37"/>
        <v>0</v>
      </c>
      <c r="Z118" s="150">
        <f t="shared" si="38"/>
        <v>0</v>
      </c>
      <c r="AA118" s="150">
        <f t="shared" si="39"/>
        <v>0</v>
      </c>
      <c r="AB118" s="182">
        <f t="shared" si="40"/>
        <v>0</v>
      </c>
      <c r="AC118" s="182">
        <f t="shared" si="41"/>
        <v>0</v>
      </c>
      <c r="AD118" s="182">
        <f t="shared" si="42"/>
        <v>0</v>
      </c>
      <c r="AE118" s="180">
        <f t="shared" si="43"/>
        <v>0</v>
      </c>
      <c r="AF118" s="150">
        <f t="shared" si="44"/>
        <v>0</v>
      </c>
      <c r="AG118" s="150">
        <f t="shared" si="45"/>
        <v>0</v>
      </c>
      <c r="AH118" s="150">
        <f t="shared" si="53"/>
        <v>0</v>
      </c>
      <c r="AI118" s="154">
        <f t="shared" si="46"/>
        <v>6144.0015000000003</v>
      </c>
      <c r="AJ118" s="70">
        <f t="shared" si="47"/>
        <v>6140.998499999997</v>
      </c>
      <c r="AK118" s="155">
        <f t="shared" si="48"/>
        <v>0.22988758303525794</v>
      </c>
      <c r="AL118" s="155">
        <f t="shared" si="49"/>
        <v>0.29855530264319219</v>
      </c>
    </row>
    <row r="119" spans="2:38" s="102" customFormat="1" ht="15.75" customHeight="1" x14ac:dyDescent="0.2">
      <c r="B119" s="174" t="s">
        <v>338</v>
      </c>
      <c r="C119" s="171" t="s">
        <v>73</v>
      </c>
      <c r="D119" s="103">
        <v>176</v>
      </c>
      <c r="E119" s="104" t="s">
        <v>76</v>
      </c>
      <c r="F119" s="92">
        <v>0</v>
      </c>
      <c r="G119" s="219">
        <f>IF(F119&gt;0,F119,
IF(B119&lt;&gt;"",
IF(C119="CLT",VLOOKUP(B119,'Lista Profissionais'!$C$11:$H$348,3,0),
VLOOKUP(B119,'Lista Profissionais'!$C$11:$H$348,6,0)), 0))</f>
        <v>16900</v>
      </c>
      <c r="H119" s="219">
        <f>IF(B119&lt;&gt;"",
IF(C119="CLT",
       22*$M$5 + (G119*'Lista Profissionais'!$G$9),0),0)</f>
        <v>0</v>
      </c>
      <c r="I119" s="66">
        <f t="shared" si="27"/>
        <v>16900</v>
      </c>
      <c r="J119" s="66">
        <f t="shared" si="28"/>
        <v>16900</v>
      </c>
      <c r="K119" s="66">
        <f t="shared" si="29"/>
        <v>24506.859</v>
      </c>
      <c r="L119" s="93">
        <f t="shared" si="50"/>
        <v>96.022727272727266</v>
      </c>
      <c r="M119" s="151"/>
      <c r="N119" s="152">
        <v>0</v>
      </c>
      <c r="O119" s="69">
        <f t="shared" si="30"/>
        <v>0</v>
      </c>
      <c r="P119" s="69">
        <f t="shared" si="31"/>
        <v>32110</v>
      </c>
      <c r="Q119" s="70">
        <f t="shared" si="32"/>
        <v>32110</v>
      </c>
      <c r="R119" s="153">
        <f t="shared" si="51"/>
        <v>963.3</v>
      </c>
      <c r="S119" s="70">
        <v>0</v>
      </c>
      <c r="T119" s="165">
        <f t="shared" si="33"/>
        <v>33073.300000000003</v>
      </c>
      <c r="U119" s="163">
        <f t="shared" si="34"/>
        <v>187.91647727272729</v>
      </c>
      <c r="V119" s="164">
        <f t="shared" si="52"/>
        <v>0</v>
      </c>
      <c r="W119" s="164">
        <f t="shared" si="35"/>
        <v>0</v>
      </c>
      <c r="X119" s="144">
        <f t="shared" si="36"/>
        <v>0</v>
      </c>
      <c r="Y119" s="150">
        <f t="shared" si="37"/>
        <v>0</v>
      </c>
      <c r="Z119" s="150">
        <f t="shared" si="38"/>
        <v>0</v>
      </c>
      <c r="AA119" s="150">
        <f t="shared" si="39"/>
        <v>0</v>
      </c>
      <c r="AB119" s="182">
        <f t="shared" si="40"/>
        <v>0</v>
      </c>
      <c r="AC119" s="182">
        <f t="shared" si="41"/>
        <v>0</v>
      </c>
      <c r="AD119" s="182">
        <f t="shared" si="42"/>
        <v>0</v>
      </c>
      <c r="AE119" s="180">
        <f t="shared" si="43"/>
        <v>0</v>
      </c>
      <c r="AF119" s="150">
        <f t="shared" si="44"/>
        <v>0</v>
      </c>
      <c r="AG119" s="150">
        <f t="shared" si="45"/>
        <v>0</v>
      </c>
      <c r="AH119" s="150">
        <f t="shared" si="53"/>
        <v>0</v>
      </c>
      <c r="AI119" s="154">
        <f t="shared" si="46"/>
        <v>7606.8590000000013</v>
      </c>
      <c r="AJ119" s="70">
        <f t="shared" si="47"/>
        <v>7603.1410000000024</v>
      </c>
      <c r="AK119" s="155">
        <f t="shared" si="48"/>
        <v>0.22988758303525811</v>
      </c>
      <c r="AL119" s="155">
        <f t="shared" si="49"/>
        <v>0.29855530264319236</v>
      </c>
    </row>
    <row r="120" spans="2:38" s="102" customFormat="1" ht="15.75" customHeight="1" x14ac:dyDescent="0.2">
      <c r="B120" s="174" t="s">
        <v>339</v>
      </c>
      <c r="C120" s="171" t="s">
        <v>73</v>
      </c>
      <c r="D120" s="103">
        <v>176</v>
      </c>
      <c r="E120" s="104" t="s">
        <v>76</v>
      </c>
      <c r="F120" s="92">
        <v>0</v>
      </c>
      <c r="G120" s="219">
        <f>IF(F120&gt;0,F120,
IF(B120&lt;&gt;"",
IF(C120="CLT",VLOOKUP(B120,'Lista Profissionais'!$C$11:$H$348,3,0),
VLOOKUP(B120,'Lista Profissionais'!$C$11:$H$348,6,0)), 0))</f>
        <v>4550</v>
      </c>
      <c r="H120" s="219">
        <f>IF(B120&lt;&gt;"",
IF(C120="CLT",
       22*$M$5 + (G120*'Lista Profissionais'!$G$9),0),0)</f>
        <v>0</v>
      </c>
      <c r="I120" s="66">
        <f t="shared" si="27"/>
        <v>4550</v>
      </c>
      <c r="J120" s="66">
        <f t="shared" si="28"/>
        <v>4550</v>
      </c>
      <c r="K120" s="66">
        <f t="shared" si="29"/>
        <v>6598.0005000000001</v>
      </c>
      <c r="L120" s="93">
        <f t="shared" si="50"/>
        <v>25.852272727272727</v>
      </c>
      <c r="M120" s="151"/>
      <c r="N120" s="152">
        <v>0</v>
      </c>
      <c r="O120" s="69">
        <f t="shared" si="30"/>
        <v>0</v>
      </c>
      <c r="P120" s="69">
        <f t="shared" si="31"/>
        <v>8645</v>
      </c>
      <c r="Q120" s="70">
        <f t="shared" si="32"/>
        <v>8645</v>
      </c>
      <c r="R120" s="153">
        <f t="shared" si="51"/>
        <v>259.34999999999997</v>
      </c>
      <c r="S120" s="70">
        <v>0</v>
      </c>
      <c r="T120" s="165">
        <f t="shared" si="33"/>
        <v>8904.35</v>
      </c>
      <c r="U120" s="163">
        <f t="shared" si="34"/>
        <v>50.592897727272728</v>
      </c>
      <c r="V120" s="164">
        <f t="shared" si="52"/>
        <v>0</v>
      </c>
      <c r="W120" s="164">
        <f t="shared" si="35"/>
        <v>0</v>
      </c>
      <c r="X120" s="144">
        <f t="shared" si="36"/>
        <v>0</v>
      </c>
      <c r="Y120" s="150">
        <f t="shared" si="37"/>
        <v>0</v>
      </c>
      <c r="Z120" s="150">
        <f t="shared" si="38"/>
        <v>0</v>
      </c>
      <c r="AA120" s="150">
        <f t="shared" si="39"/>
        <v>0</v>
      </c>
      <c r="AB120" s="182">
        <f t="shared" si="40"/>
        <v>0</v>
      </c>
      <c r="AC120" s="182">
        <f t="shared" si="41"/>
        <v>0</v>
      </c>
      <c r="AD120" s="182">
        <f t="shared" si="42"/>
        <v>0</v>
      </c>
      <c r="AE120" s="180">
        <f t="shared" si="43"/>
        <v>0</v>
      </c>
      <c r="AF120" s="150">
        <f t="shared" si="44"/>
        <v>0</v>
      </c>
      <c r="AG120" s="150">
        <f t="shared" si="45"/>
        <v>0</v>
      </c>
      <c r="AH120" s="150">
        <f t="shared" si="53"/>
        <v>0</v>
      </c>
      <c r="AI120" s="154">
        <f t="shared" si="46"/>
        <v>2048.0005000000001</v>
      </c>
      <c r="AJ120" s="70">
        <f t="shared" si="47"/>
        <v>2046.9995000000004</v>
      </c>
      <c r="AK120" s="155">
        <f t="shared" si="48"/>
        <v>0.22988758303525808</v>
      </c>
      <c r="AL120" s="155">
        <f t="shared" si="49"/>
        <v>0.2985553026431923</v>
      </c>
    </row>
    <row r="121" spans="2:38" s="102" customFormat="1" ht="15.75" customHeight="1" x14ac:dyDescent="0.2">
      <c r="B121" s="174" t="s">
        <v>340</v>
      </c>
      <c r="C121" s="171" t="s">
        <v>73</v>
      </c>
      <c r="D121" s="103">
        <v>176</v>
      </c>
      <c r="E121" s="104" t="s">
        <v>76</v>
      </c>
      <c r="F121" s="92">
        <v>0</v>
      </c>
      <c r="G121" s="219">
        <f>IF(F121&gt;0,F121,
IF(B121&lt;&gt;"",
IF(C121="CLT",VLOOKUP(B121,'Lista Profissionais'!$C$11:$H$348,3,0),
VLOOKUP(B121,'Lista Profissionais'!$C$11:$H$348,6,0)), 0))</f>
        <v>6240</v>
      </c>
      <c r="H121" s="219">
        <f>IF(B121&lt;&gt;"",
IF(C121="CLT",
       22*$M$5 + (G121*'Lista Profissionais'!$G$9),0),0)</f>
        <v>0</v>
      </c>
      <c r="I121" s="66">
        <f t="shared" si="27"/>
        <v>6240</v>
      </c>
      <c r="J121" s="66">
        <f t="shared" si="28"/>
        <v>6240</v>
      </c>
      <c r="K121" s="66">
        <f t="shared" si="29"/>
        <v>9048.6864000000005</v>
      </c>
      <c r="L121" s="93">
        <f t="shared" si="50"/>
        <v>35.454545454545453</v>
      </c>
      <c r="M121" s="151"/>
      <c r="N121" s="152">
        <v>0</v>
      </c>
      <c r="O121" s="69">
        <f t="shared" si="30"/>
        <v>0</v>
      </c>
      <c r="P121" s="69">
        <f t="shared" si="31"/>
        <v>11856</v>
      </c>
      <c r="Q121" s="70">
        <f t="shared" si="32"/>
        <v>11856</v>
      </c>
      <c r="R121" s="153">
        <f t="shared" si="51"/>
        <v>355.68</v>
      </c>
      <c r="S121" s="70">
        <v>0</v>
      </c>
      <c r="T121" s="165">
        <f t="shared" si="33"/>
        <v>12211.68</v>
      </c>
      <c r="U121" s="163">
        <f t="shared" si="34"/>
        <v>69.38454545454546</v>
      </c>
      <c r="V121" s="164">
        <f t="shared" si="52"/>
        <v>0</v>
      </c>
      <c r="W121" s="164">
        <f t="shared" si="35"/>
        <v>0</v>
      </c>
      <c r="X121" s="144">
        <f t="shared" si="36"/>
        <v>0</v>
      </c>
      <c r="Y121" s="150">
        <f t="shared" si="37"/>
        <v>0</v>
      </c>
      <c r="Z121" s="150">
        <f t="shared" si="38"/>
        <v>0</v>
      </c>
      <c r="AA121" s="150">
        <f t="shared" si="39"/>
        <v>0</v>
      </c>
      <c r="AB121" s="182">
        <f t="shared" si="40"/>
        <v>0</v>
      </c>
      <c r="AC121" s="182">
        <f t="shared" si="41"/>
        <v>0</v>
      </c>
      <c r="AD121" s="182">
        <f t="shared" si="42"/>
        <v>0</v>
      </c>
      <c r="AE121" s="180">
        <f t="shared" si="43"/>
        <v>0</v>
      </c>
      <c r="AF121" s="150">
        <f t="shared" si="44"/>
        <v>0</v>
      </c>
      <c r="AG121" s="150">
        <f t="shared" si="45"/>
        <v>0</v>
      </c>
      <c r="AH121" s="150">
        <f t="shared" si="53"/>
        <v>0</v>
      </c>
      <c r="AI121" s="154">
        <f t="shared" si="46"/>
        <v>2808.6864</v>
      </c>
      <c r="AJ121" s="70">
        <f t="shared" si="47"/>
        <v>2807.3136</v>
      </c>
      <c r="AK121" s="155">
        <f t="shared" si="48"/>
        <v>0.22988758303525803</v>
      </c>
      <c r="AL121" s="155">
        <f t="shared" si="49"/>
        <v>0.29855530264319224</v>
      </c>
    </row>
    <row r="122" spans="2:38" s="102" customFormat="1" ht="15.75" customHeight="1" x14ac:dyDescent="0.2">
      <c r="B122" s="174" t="s">
        <v>341</v>
      </c>
      <c r="C122" s="171" t="s">
        <v>73</v>
      </c>
      <c r="D122" s="103">
        <v>176</v>
      </c>
      <c r="E122" s="104" t="s">
        <v>76</v>
      </c>
      <c r="F122" s="92">
        <v>0</v>
      </c>
      <c r="G122" s="219">
        <f>IF(F122&gt;0,F122,
IF(B122&lt;&gt;"",
IF(C122="CLT",VLOOKUP(B122,'Lista Profissionais'!$C$11:$H$348,3,0),
VLOOKUP(B122,'Lista Profissionais'!$C$11:$H$348,6,0)), 0))</f>
        <v>10400</v>
      </c>
      <c r="H122" s="219">
        <f>IF(B122&lt;&gt;"",
IF(C122="CLT",
       22*$M$5 + (G122*'Lista Profissionais'!$G$9),0),0)</f>
        <v>0</v>
      </c>
      <c r="I122" s="66">
        <f t="shared" si="27"/>
        <v>10400</v>
      </c>
      <c r="J122" s="66">
        <f t="shared" si="28"/>
        <v>10400</v>
      </c>
      <c r="K122" s="66">
        <f t="shared" si="29"/>
        <v>15081.144</v>
      </c>
      <c r="L122" s="93">
        <f t="shared" si="50"/>
        <v>59.090909090909093</v>
      </c>
      <c r="M122" s="151"/>
      <c r="N122" s="152">
        <v>0</v>
      </c>
      <c r="O122" s="69">
        <f t="shared" si="30"/>
        <v>0</v>
      </c>
      <c r="P122" s="69">
        <f t="shared" si="31"/>
        <v>19760</v>
      </c>
      <c r="Q122" s="70">
        <f t="shared" si="32"/>
        <v>19760</v>
      </c>
      <c r="R122" s="153">
        <f t="shared" si="51"/>
        <v>592.79999999999995</v>
      </c>
      <c r="S122" s="70">
        <v>0</v>
      </c>
      <c r="T122" s="165">
        <f t="shared" si="33"/>
        <v>20352.8</v>
      </c>
      <c r="U122" s="163">
        <f t="shared" si="34"/>
        <v>115.64090909090909</v>
      </c>
      <c r="V122" s="164">
        <f t="shared" si="52"/>
        <v>0</v>
      </c>
      <c r="W122" s="164">
        <f t="shared" si="35"/>
        <v>0</v>
      </c>
      <c r="X122" s="144">
        <f t="shared" si="36"/>
        <v>0</v>
      </c>
      <c r="Y122" s="150">
        <f t="shared" si="37"/>
        <v>0</v>
      </c>
      <c r="Z122" s="150">
        <f t="shared" si="38"/>
        <v>0</v>
      </c>
      <c r="AA122" s="150">
        <f t="shared" si="39"/>
        <v>0</v>
      </c>
      <c r="AB122" s="182">
        <f t="shared" si="40"/>
        <v>0</v>
      </c>
      <c r="AC122" s="182">
        <f t="shared" si="41"/>
        <v>0</v>
      </c>
      <c r="AD122" s="182">
        <f t="shared" si="42"/>
        <v>0</v>
      </c>
      <c r="AE122" s="180">
        <f t="shared" si="43"/>
        <v>0</v>
      </c>
      <c r="AF122" s="150">
        <f t="shared" si="44"/>
        <v>0</v>
      </c>
      <c r="AG122" s="150">
        <f t="shared" si="45"/>
        <v>0</v>
      </c>
      <c r="AH122" s="150">
        <f t="shared" si="53"/>
        <v>0</v>
      </c>
      <c r="AI122" s="154">
        <f t="shared" si="46"/>
        <v>4681.1440000000002</v>
      </c>
      <c r="AJ122" s="70">
        <f t="shared" si="47"/>
        <v>4678.8559999999989</v>
      </c>
      <c r="AK122" s="155">
        <f t="shared" si="48"/>
        <v>0.229887583035258</v>
      </c>
      <c r="AL122" s="155">
        <f t="shared" si="49"/>
        <v>0.29855530264319219</v>
      </c>
    </row>
    <row r="123" spans="2:38" s="102" customFormat="1" ht="15.75" customHeight="1" x14ac:dyDescent="0.2">
      <c r="B123" s="174" t="s">
        <v>342</v>
      </c>
      <c r="C123" s="171" t="s">
        <v>73</v>
      </c>
      <c r="D123" s="103">
        <v>176</v>
      </c>
      <c r="E123" s="104" t="s">
        <v>76</v>
      </c>
      <c r="F123" s="92">
        <v>0</v>
      </c>
      <c r="G123" s="219">
        <f>IF(F123&gt;0,F123,
IF(B123&lt;&gt;"",
IF(C123="CLT",VLOOKUP(B123,'Lista Profissionais'!$C$11:$H$348,3,0),
VLOOKUP(B123,'Lista Profissionais'!$C$11:$H$348,6,0)), 0))</f>
        <v>18850</v>
      </c>
      <c r="H123" s="219">
        <f>IF(B123&lt;&gt;"",
IF(C123="CLT",
       22*$M$5 + (G123*'Lista Profissionais'!$G$9),0),0)</f>
        <v>0</v>
      </c>
      <c r="I123" s="66">
        <f t="shared" si="27"/>
        <v>18850</v>
      </c>
      <c r="J123" s="66">
        <f t="shared" si="28"/>
        <v>18850</v>
      </c>
      <c r="K123" s="66">
        <f t="shared" si="29"/>
        <v>27334.573499999999</v>
      </c>
      <c r="L123" s="93">
        <f t="shared" si="50"/>
        <v>107.10227272727273</v>
      </c>
      <c r="M123" s="151"/>
      <c r="N123" s="152">
        <v>0</v>
      </c>
      <c r="O123" s="69">
        <f t="shared" si="30"/>
        <v>0</v>
      </c>
      <c r="P123" s="69">
        <f t="shared" si="31"/>
        <v>35815</v>
      </c>
      <c r="Q123" s="70">
        <f t="shared" si="32"/>
        <v>35815</v>
      </c>
      <c r="R123" s="153">
        <f t="shared" si="51"/>
        <v>1074.45</v>
      </c>
      <c r="S123" s="70">
        <v>0</v>
      </c>
      <c r="T123" s="165">
        <f t="shared" si="33"/>
        <v>36889.449999999997</v>
      </c>
      <c r="U123" s="163">
        <f t="shared" si="34"/>
        <v>209.59914772727271</v>
      </c>
      <c r="V123" s="164">
        <f t="shared" si="52"/>
        <v>0</v>
      </c>
      <c r="W123" s="164">
        <f t="shared" si="35"/>
        <v>0</v>
      </c>
      <c r="X123" s="144">
        <f t="shared" si="36"/>
        <v>0</v>
      </c>
      <c r="Y123" s="150">
        <f t="shared" si="37"/>
        <v>0</v>
      </c>
      <c r="Z123" s="150">
        <f t="shared" si="38"/>
        <v>0</v>
      </c>
      <c r="AA123" s="150">
        <f t="shared" si="39"/>
        <v>0</v>
      </c>
      <c r="AB123" s="182">
        <f t="shared" si="40"/>
        <v>0</v>
      </c>
      <c r="AC123" s="182">
        <f t="shared" si="41"/>
        <v>0</v>
      </c>
      <c r="AD123" s="182">
        <f t="shared" si="42"/>
        <v>0</v>
      </c>
      <c r="AE123" s="180">
        <f t="shared" si="43"/>
        <v>0</v>
      </c>
      <c r="AF123" s="150">
        <f t="shared" si="44"/>
        <v>0</v>
      </c>
      <c r="AG123" s="150">
        <f t="shared" si="45"/>
        <v>0</v>
      </c>
      <c r="AH123" s="150">
        <f t="shared" si="53"/>
        <v>0</v>
      </c>
      <c r="AI123" s="154">
        <f t="shared" si="46"/>
        <v>8484.5735000000004</v>
      </c>
      <c r="AJ123" s="70">
        <f t="shared" si="47"/>
        <v>8480.4264999999978</v>
      </c>
      <c r="AK123" s="155">
        <f t="shared" si="48"/>
        <v>0.229887583035258</v>
      </c>
      <c r="AL123" s="155">
        <f t="shared" si="49"/>
        <v>0.29855530264319219</v>
      </c>
    </row>
    <row r="124" spans="2:38" s="102" customFormat="1" ht="15.75" customHeight="1" x14ac:dyDescent="0.2">
      <c r="B124" s="174" t="s">
        <v>343</v>
      </c>
      <c r="C124" s="171" t="s">
        <v>73</v>
      </c>
      <c r="D124" s="103">
        <v>176</v>
      </c>
      <c r="E124" s="104" t="s">
        <v>76</v>
      </c>
      <c r="F124" s="92">
        <v>0</v>
      </c>
      <c r="G124" s="219">
        <f>IF(F124&gt;0,F124,
IF(B124&lt;&gt;"",
IF(C124="CLT",VLOOKUP(B124,'Lista Profissionais'!$C$11:$H$348,3,0),
VLOOKUP(B124,'Lista Profissionais'!$C$11:$H$348,6,0)), 0))</f>
        <v>7150</v>
      </c>
      <c r="H124" s="219">
        <f>IF(B124&lt;&gt;"",
IF(C124="CLT",
       22*$M$5 + (G124*'Lista Profissionais'!$G$9),0),0)</f>
        <v>0</v>
      </c>
      <c r="I124" s="66">
        <f t="shared" si="27"/>
        <v>7150</v>
      </c>
      <c r="J124" s="66">
        <f t="shared" si="28"/>
        <v>7150</v>
      </c>
      <c r="K124" s="66">
        <f t="shared" si="29"/>
        <v>10368.2865</v>
      </c>
      <c r="L124" s="93">
        <f t="shared" si="50"/>
        <v>40.625</v>
      </c>
      <c r="M124" s="151"/>
      <c r="N124" s="152">
        <v>0</v>
      </c>
      <c r="O124" s="69">
        <f t="shared" si="30"/>
        <v>0</v>
      </c>
      <c r="P124" s="69">
        <f t="shared" si="31"/>
        <v>13585</v>
      </c>
      <c r="Q124" s="70">
        <f t="shared" si="32"/>
        <v>13585</v>
      </c>
      <c r="R124" s="153">
        <f t="shared" si="51"/>
        <v>407.55</v>
      </c>
      <c r="S124" s="70">
        <v>0</v>
      </c>
      <c r="T124" s="165">
        <f t="shared" si="33"/>
        <v>13992.55</v>
      </c>
      <c r="U124" s="163">
        <f t="shared" si="34"/>
        <v>79.503124999999997</v>
      </c>
      <c r="V124" s="164">
        <f t="shared" si="52"/>
        <v>0</v>
      </c>
      <c r="W124" s="164">
        <f t="shared" si="35"/>
        <v>0</v>
      </c>
      <c r="X124" s="144">
        <f t="shared" si="36"/>
        <v>0</v>
      </c>
      <c r="Y124" s="150">
        <f t="shared" si="37"/>
        <v>0</v>
      </c>
      <c r="Z124" s="150">
        <f t="shared" si="38"/>
        <v>0</v>
      </c>
      <c r="AA124" s="150">
        <f t="shared" si="39"/>
        <v>0</v>
      </c>
      <c r="AB124" s="182">
        <f t="shared" si="40"/>
        <v>0</v>
      </c>
      <c r="AC124" s="182">
        <f t="shared" si="41"/>
        <v>0</v>
      </c>
      <c r="AD124" s="182">
        <f t="shared" si="42"/>
        <v>0</v>
      </c>
      <c r="AE124" s="180">
        <f t="shared" si="43"/>
        <v>0</v>
      </c>
      <c r="AF124" s="150">
        <f t="shared" si="44"/>
        <v>0</v>
      </c>
      <c r="AG124" s="150">
        <f t="shared" si="45"/>
        <v>0</v>
      </c>
      <c r="AH124" s="150">
        <f t="shared" si="53"/>
        <v>0</v>
      </c>
      <c r="AI124" s="154">
        <f t="shared" si="46"/>
        <v>3218.2865000000002</v>
      </c>
      <c r="AJ124" s="70">
        <f t="shared" si="47"/>
        <v>3216.7134999999989</v>
      </c>
      <c r="AK124" s="155">
        <f t="shared" si="48"/>
        <v>0.22988758303525797</v>
      </c>
      <c r="AL124" s="155">
        <f t="shared" si="49"/>
        <v>0.29855530264319219</v>
      </c>
    </row>
    <row r="125" spans="2:38" s="102" customFormat="1" ht="15.75" customHeight="1" x14ac:dyDescent="0.2">
      <c r="B125" s="174" t="s">
        <v>344</v>
      </c>
      <c r="C125" s="171" t="s">
        <v>73</v>
      </c>
      <c r="D125" s="103">
        <v>176</v>
      </c>
      <c r="E125" s="104" t="s">
        <v>76</v>
      </c>
      <c r="F125" s="92">
        <v>0</v>
      </c>
      <c r="G125" s="219">
        <f>IF(F125&gt;0,F125,
IF(B125&lt;&gt;"",
IF(C125="CLT",VLOOKUP(B125,'Lista Profissionais'!$C$11:$H$348,3,0),
VLOOKUP(B125,'Lista Profissionais'!$C$11:$H$348,6,0)), 0))</f>
        <v>11050</v>
      </c>
      <c r="H125" s="219">
        <f>IF(B125&lt;&gt;"",
IF(C125="CLT",
       22*$M$5 + (G125*'Lista Profissionais'!$G$9),0),0)</f>
        <v>0</v>
      </c>
      <c r="I125" s="66">
        <f t="shared" si="27"/>
        <v>11050</v>
      </c>
      <c r="J125" s="66">
        <f t="shared" si="28"/>
        <v>11050</v>
      </c>
      <c r="K125" s="66">
        <f t="shared" si="29"/>
        <v>16023.7155</v>
      </c>
      <c r="L125" s="93">
        <f t="shared" si="50"/>
        <v>62.784090909090907</v>
      </c>
      <c r="M125" s="151"/>
      <c r="N125" s="152">
        <v>0</v>
      </c>
      <c r="O125" s="69">
        <f t="shared" si="30"/>
        <v>0</v>
      </c>
      <c r="P125" s="69">
        <f t="shared" si="31"/>
        <v>20995</v>
      </c>
      <c r="Q125" s="70">
        <f t="shared" si="32"/>
        <v>20995</v>
      </c>
      <c r="R125" s="153">
        <f t="shared" si="51"/>
        <v>629.85</v>
      </c>
      <c r="S125" s="70">
        <v>0</v>
      </c>
      <c r="T125" s="165">
        <f t="shared" si="33"/>
        <v>21624.85</v>
      </c>
      <c r="U125" s="163">
        <f t="shared" si="34"/>
        <v>122.8684659090909</v>
      </c>
      <c r="V125" s="164">
        <f t="shared" si="52"/>
        <v>0</v>
      </c>
      <c r="W125" s="164">
        <f t="shared" si="35"/>
        <v>0</v>
      </c>
      <c r="X125" s="144">
        <f t="shared" si="36"/>
        <v>0</v>
      </c>
      <c r="Y125" s="150">
        <f t="shared" si="37"/>
        <v>0</v>
      </c>
      <c r="Z125" s="150">
        <f t="shared" si="38"/>
        <v>0</v>
      </c>
      <c r="AA125" s="150">
        <f t="shared" si="39"/>
        <v>0</v>
      </c>
      <c r="AB125" s="182">
        <f t="shared" si="40"/>
        <v>0</v>
      </c>
      <c r="AC125" s="182">
        <f t="shared" si="41"/>
        <v>0</v>
      </c>
      <c r="AD125" s="182">
        <f t="shared" si="42"/>
        <v>0</v>
      </c>
      <c r="AE125" s="180">
        <f t="shared" si="43"/>
        <v>0</v>
      </c>
      <c r="AF125" s="150">
        <f t="shared" si="44"/>
        <v>0</v>
      </c>
      <c r="AG125" s="150">
        <f t="shared" si="45"/>
        <v>0</v>
      </c>
      <c r="AH125" s="150">
        <f t="shared" si="53"/>
        <v>0</v>
      </c>
      <c r="AI125" s="154">
        <f t="shared" si="46"/>
        <v>4973.7155000000002</v>
      </c>
      <c r="AJ125" s="70">
        <f t="shared" si="47"/>
        <v>4971.2844999999998</v>
      </c>
      <c r="AK125" s="155">
        <f t="shared" si="48"/>
        <v>0.22988758303525805</v>
      </c>
      <c r="AL125" s="155">
        <f t="shared" si="49"/>
        <v>0.29855530264319224</v>
      </c>
    </row>
    <row r="126" spans="2:38" s="102" customFormat="1" ht="15.75" customHeight="1" x14ac:dyDescent="0.2">
      <c r="B126" s="174" t="s">
        <v>345</v>
      </c>
      <c r="C126" s="171" t="s">
        <v>73</v>
      </c>
      <c r="D126" s="103">
        <v>176</v>
      </c>
      <c r="E126" s="104" t="s">
        <v>76</v>
      </c>
      <c r="F126" s="92">
        <v>0</v>
      </c>
      <c r="G126" s="219">
        <f>IF(F126&gt;0,F126,
IF(B126&lt;&gt;"",
IF(C126="CLT",VLOOKUP(B126,'Lista Profissionais'!$C$11:$H$348,3,0),
VLOOKUP(B126,'Lista Profissionais'!$C$11:$H$348,6,0)), 0))</f>
        <v>16900</v>
      </c>
      <c r="H126" s="219">
        <f>IF(B126&lt;&gt;"",
IF(C126="CLT",
       22*$M$5 + (G126*'Lista Profissionais'!$G$9),0),0)</f>
        <v>0</v>
      </c>
      <c r="I126" s="66">
        <f t="shared" si="27"/>
        <v>16900</v>
      </c>
      <c r="J126" s="66">
        <f t="shared" si="28"/>
        <v>16900</v>
      </c>
      <c r="K126" s="66">
        <f t="shared" si="29"/>
        <v>24506.859</v>
      </c>
      <c r="L126" s="93">
        <f t="shared" si="50"/>
        <v>96.022727272727266</v>
      </c>
      <c r="M126" s="151"/>
      <c r="N126" s="152">
        <v>0</v>
      </c>
      <c r="O126" s="69">
        <f t="shared" si="30"/>
        <v>0</v>
      </c>
      <c r="P126" s="69">
        <f t="shared" si="31"/>
        <v>32110</v>
      </c>
      <c r="Q126" s="70">
        <f t="shared" si="32"/>
        <v>32110</v>
      </c>
      <c r="R126" s="153">
        <f t="shared" si="51"/>
        <v>963.3</v>
      </c>
      <c r="S126" s="70">
        <v>0</v>
      </c>
      <c r="T126" s="165">
        <f t="shared" si="33"/>
        <v>33073.300000000003</v>
      </c>
      <c r="U126" s="163">
        <f t="shared" si="34"/>
        <v>187.91647727272729</v>
      </c>
      <c r="V126" s="164">
        <f t="shared" si="52"/>
        <v>0</v>
      </c>
      <c r="W126" s="164">
        <f t="shared" si="35"/>
        <v>0</v>
      </c>
      <c r="X126" s="144">
        <f t="shared" si="36"/>
        <v>0</v>
      </c>
      <c r="Y126" s="150">
        <f t="shared" si="37"/>
        <v>0</v>
      </c>
      <c r="Z126" s="150">
        <f t="shared" si="38"/>
        <v>0</v>
      </c>
      <c r="AA126" s="150">
        <f t="shared" si="39"/>
        <v>0</v>
      </c>
      <c r="AB126" s="182">
        <f t="shared" si="40"/>
        <v>0</v>
      </c>
      <c r="AC126" s="182">
        <f t="shared" si="41"/>
        <v>0</v>
      </c>
      <c r="AD126" s="182">
        <f t="shared" si="42"/>
        <v>0</v>
      </c>
      <c r="AE126" s="180">
        <f t="shared" si="43"/>
        <v>0</v>
      </c>
      <c r="AF126" s="150">
        <f t="shared" si="44"/>
        <v>0</v>
      </c>
      <c r="AG126" s="150">
        <f t="shared" si="45"/>
        <v>0</v>
      </c>
      <c r="AH126" s="150">
        <f t="shared" si="53"/>
        <v>0</v>
      </c>
      <c r="AI126" s="154">
        <f t="shared" si="46"/>
        <v>7606.8590000000013</v>
      </c>
      <c r="AJ126" s="70">
        <f t="shared" si="47"/>
        <v>7603.1410000000024</v>
      </c>
      <c r="AK126" s="155">
        <f t="shared" si="48"/>
        <v>0.22988758303525811</v>
      </c>
      <c r="AL126" s="155">
        <f t="shared" si="49"/>
        <v>0.29855530264319236</v>
      </c>
    </row>
    <row r="127" spans="2:38" s="102" customFormat="1" ht="15.75" customHeight="1" x14ac:dyDescent="0.2">
      <c r="B127" s="174" t="s">
        <v>370</v>
      </c>
      <c r="C127" s="171" t="s">
        <v>73</v>
      </c>
      <c r="D127" s="103">
        <v>176</v>
      </c>
      <c r="E127" s="104" t="s">
        <v>76</v>
      </c>
      <c r="F127" s="92">
        <v>0</v>
      </c>
      <c r="G127" s="219">
        <f>IF(F127&gt;0,F127,
IF(B127&lt;&gt;"",
IF(C127="CLT",VLOOKUP(B127,'Lista Profissionais'!$C$11:$H$348,3,0),
VLOOKUP(B127,'Lista Profissionais'!$C$11:$H$348,6,0)), 0))</f>
        <v>19500</v>
      </c>
      <c r="H127" s="219">
        <f>IF(B127&lt;&gt;"",
IF(C127="CLT",
       22*$M$5 + (G127*'Lista Profissionais'!$G$9),0),0)</f>
        <v>0</v>
      </c>
      <c r="I127" s="66">
        <f t="shared" si="27"/>
        <v>19500</v>
      </c>
      <c r="J127" s="66">
        <f t="shared" si="28"/>
        <v>19500</v>
      </c>
      <c r="K127" s="66">
        <f t="shared" si="29"/>
        <v>28277.145</v>
      </c>
      <c r="L127" s="93">
        <f t="shared" si="50"/>
        <v>110.79545454545455</v>
      </c>
      <c r="M127" s="151"/>
      <c r="N127" s="152">
        <v>0</v>
      </c>
      <c r="O127" s="69">
        <f t="shared" si="30"/>
        <v>0</v>
      </c>
      <c r="P127" s="69">
        <f t="shared" si="31"/>
        <v>37050</v>
      </c>
      <c r="Q127" s="70">
        <f t="shared" si="32"/>
        <v>37050</v>
      </c>
      <c r="R127" s="153">
        <f t="shared" si="51"/>
        <v>1111.5</v>
      </c>
      <c r="S127" s="70">
        <v>0</v>
      </c>
      <c r="T127" s="165">
        <f t="shared" si="33"/>
        <v>38161.5</v>
      </c>
      <c r="U127" s="163">
        <f t="shared" si="34"/>
        <v>216.82670454545453</v>
      </c>
      <c r="V127" s="164">
        <f t="shared" si="52"/>
        <v>0</v>
      </c>
      <c r="W127" s="164">
        <f t="shared" si="35"/>
        <v>0</v>
      </c>
      <c r="X127" s="144">
        <f t="shared" si="36"/>
        <v>0</v>
      </c>
      <c r="Y127" s="150">
        <f t="shared" si="37"/>
        <v>0</v>
      </c>
      <c r="Z127" s="150">
        <f t="shared" si="38"/>
        <v>0</v>
      </c>
      <c r="AA127" s="150">
        <f t="shared" si="39"/>
        <v>0</v>
      </c>
      <c r="AB127" s="182">
        <f t="shared" si="40"/>
        <v>0</v>
      </c>
      <c r="AC127" s="182">
        <f t="shared" si="41"/>
        <v>0</v>
      </c>
      <c r="AD127" s="182">
        <f t="shared" si="42"/>
        <v>0</v>
      </c>
      <c r="AE127" s="180">
        <f t="shared" si="43"/>
        <v>0</v>
      </c>
      <c r="AF127" s="150">
        <f t="shared" si="44"/>
        <v>0</v>
      </c>
      <c r="AG127" s="150">
        <f t="shared" si="45"/>
        <v>0</v>
      </c>
      <c r="AH127" s="150">
        <f t="shared" si="53"/>
        <v>0</v>
      </c>
      <c r="AI127" s="154">
        <f t="shared" si="46"/>
        <v>8777.1450000000004</v>
      </c>
      <c r="AJ127" s="70">
        <f t="shared" si="47"/>
        <v>8772.8549999999996</v>
      </c>
      <c r="AK127" s="155">
        <f t="shared" si="48"/>
        <v>0.22988758303525803</v>
      </c>
      <c r="AL127" s="155">
        <f t="shared" si="49"/>
        <v>0.29855530264319224</v>
      </c>
    </row>
    <row r="128" spans="2:38" s="102" customFormat="1" ht="15.75" customHeight="1" x14ac:dyDescent="0.2">
      <c r="B128" s="200" t="s">
        <v>1429</v>
      </c>
      <c r="C128" s="171" t="s">
        <v>73</v>
      </c>
      <c r="D128" s="103">
        <v>176</v>
      </c>
      <c r="E128" s="104" t="s">
        <v>76</v>
      </c>
      <c r="F128" s="92">
        <v>0</v>
      </c>
      <c r="G128" s="219">
        <f>IF(F128&gt;0,F128,
IF(B128&lt;&gt;"",
IF(C128="CLT",VLOOKUP(B128,'Lista Profissionais'!$C$11:$H$348,3,0),
VLOOKUP(B128,'Lista Profissionais'!$C$11:$H$348,6,0)), 0))</f>
        <v>32500</v>
      </c>
      <c r="H128" s="219">
        <f>IF(B128&lt;&gt;"",
IF(C128="CLT",
       22*$M$5 + (G128*'Lista Profissionais'!$G$9),0),0)</f>
        <v>0</v>
      </c>
      <c r="I128" s="66">
        <f t="shared" ref="I128:I147" si="54">(G128/$G$2)*D128</f>
        <v>32500</v>
      </c>
      <c r="J128" s="66">
        <f t="shared" ref="J128:J147" si="55">I128+AH128</f>
        <v>32500</v>
      </c>
      <c r="K128" s="66">
        <f t="shared" ref="K128:K147" si="56">J128+S128+AI128</f>
        <v>47128.574999999997</v>
      </c>
      <c r="L128" s="93">
        <f t="shared" ref="L128:L147" si="57">IF(D128&gt;0,J128/D128,0)</f>
        <v>184.65909090909091</v>
      </c>
      <c r="M128" s="151"/>
      <c r="N128" s="152">
        <v>0</v>
      </c>
      <c r="O128" s="69">
        <f t="shared" ref="O128:O147" si="58">J128*$G$6</f>
        <v>0</v>
      </c>
      <c r="P128" s="69">
        <f t="shared" ref="P128:P147" si="59">IF(M128&gt;0,M128,  J128*(1+$G$5))</f>
        <v>61750</v>
      </c>
      <c r="Q128" s="70">
        <f t="shared" ref="Q128:Q147" si="60">(P128+O128)</f>
        <v>61750</v>
      </c>
      <c r="R128" s="153">
        <f t="shared" ref="R128:R147" si="61">IF(E128="Sim", Q128*$G$3,0)</f>
        <v>1852.5</v>
      </c>
      <c r="S128" s="70">
        <v>0</v>
      </c>
      <c r="T128" s="165">
        <f t="shared" ref="T128:T147" si="62">IF($D$4="Sim",(IF(E128="Não",0,(Q128+(Q128*$O$4)+R128+S128)*$D$5)+Q128),
IF(E128="Não",0,Q128+(Q128*$O$4)+R128+S128
))</f>
        <v>63602.5</v>
      </c>
      <c r="U128" s="163">
        <f t="shared" ref="U128:U147" si="63">IF(D128&gt;0,T128/D128,0)</f>
        <v>361.37784090909093</v>
      </c>
      <c r="V128" s="164">
        <f t="shared" ref="V128:V147" si="64">IF(C128="CLT",
       I128*$M$2, 0)</f>
        <v>0</v>
      </c>
      <c r="W128" s="164">
        <f t="shared" ref="W128:W147" si="65">IF(C128="CLT",
       V128*$M$3, 0)</f>
        <v>0</v>
      </c>
      <c r="X128" s="144">
        <f t="shared" ref="X128:X147" si="66">IF(C128="CLT",
       I128/12, 0)</f>
        <v>0</v>
      </c>
      <c r="Y128" s="150">
        <f t="shared" ref="Y128:Y147" si="67">IF(C128="CLT",
       X128/3, 0)</f>
        <v>0</v>
      </c>
      <c r="Z128" s="150">
        <f t="shared" ref="Z128:Z147" si="68">IF(C128="CLT",
       I128/12, 0)</f>
        <v>0</v>
      </c>
      <c r="AA128" s="150">
        <f t="shared" ref="AA128:AA147" si="69">IF(C128="CLT", I128*$S$2,0)</f>
        <v>0</v>
      </c>
      <c r="AB128" s="182">
        <f t="shared" ref="AB128:AB147" si="70">IF(C128="CLT", SUM(X128:Z128) * $M$2,0)</f>
        <v>0</v>
      </c>
      <c r="AC128" s="182">
        <f t="shared" ref="AC128:AC147" si="71">IF(C128="CLT", SUM(X128:Z128)*$S$2,0)</f>
        <v>0</v>
      </c>
      <c r="AD128" s="182">
        <f t="shared" ref="AD128:AD147" si="72">IF(C128="CLT",
       I128/30*3, 0)</f>
        <v>0</v>
      </c>
      <c r="AE128" s="180">
        <f t="shared" ref="AE128:AE147" si="73">IF(C128="CLT",  AD128*$M$2, 0)</f>
        <v>0</v>
      </c>
      <c r="AF128" s="150">
        <f t="shared" ref="AF128:AF147" si="74">IF(C128="CLT",
       I128*$M$4, 0)</f>
        <v>0</v>
      </c>
      <c r="AG128" s="150">
        <f t="shared" ref="AG128:AG147" si="75">IF(B128&lt;&gt;"",
IF(C128="CLT",
       $Q$2, 0),0)</f>
        <v>0</v>
      </c>
      <c r="AH128" s="150">
        <f t="shared" ref="AH128:AH147" si="76">SUM(V128:AG128)+H128</f>
        <v>0</v>
      </c>
      <c r="AI128" s="154">
        <f t="shared" ref="AI128:AI147" si="77">IF(E128="Sim", T128*$G$4, 0)</f>
        <v>14628.575000000001</v>
      </c>
      <c r="AJ128" s="70">
        <f t="shared" ref="AJ128:AJ147" si="78">T128-AI128-J128-R128</f>
        <v>14621.425000000003</v>
      </c>
      <c r="AK128" s="155">
        <f t="shared" ref="AK128:AK147" si="79">(IF(AJ128&gt;0,AJ128/T128,0))</f>
        <v>0.22988758303525808</v>
      </c>
      <c r="AL128" s="155">
        <f t="shared" ref="AL128:AL147" si="80">(IF(AJ128&gt;0,AJ128/(T128-AI128),0))</f>
        <v>0.2985553026431923</v>
      </c>
    </row>
    <row r="129" spans="2:38" s="102" customFormat="1" ht="15.75" customHeight="1" x14ac:dyDescent="0.2">
      <c r="B129" s="200" t="s">
        <v>1430</v>
      </c>
      <c r="C129" s="171" t="s">
        <v>73</v>
      </c>
      <c r="D129" s="103">
        <v>176</v>
      </c>
      <c r="E129" s="104" t="s">
        <v>76</v>
      </c>
      <c r="F129" s="92">
        <v>0</v>
      </c>
      <c r="G129" s="219">
        <f>IF(F129&gt;0,F129,
IF(B129&lt;&gt;"",
IF(C129="CLT",VLOOKUP(B129,'Lista Profissionais'!$C$11:$H$348,3,0),
VLOOKUP(B129,'Lista Profissionais'!$C$11:$H$348,6,0)), 0))</f>
        <v>10400</v>
      </c>
      <c r="H129" s="219">
        <f>IF(B129&lt;&gt;"",
IF(C129="CLT",
       22*$M$5 + (G129*'Lista Profissionais'!$G$9),0),0)</f>
        <v>0</v>
      </c>
      <c r="I129" s="66">
        <f t="shared" si="54"/>
        <v>10400</v>
      </c>
      <c r="J129" s="66">
        <f t="shared" si="55"/>
        <v>10400</v>
      </c>
      <c r="K129" s="66">
        <f t="shared" si="56"/>
        <v>15081.144</v>
      </c>
      <c r="L129" s="93">
        <f t="shared" si="57"/>
        <v>59.090909090909093</v>
      </c>
      <c r="M129" s="151"/>
      <c r="N129" s="152">
        <v>0</v>
      </c>
      <c r="O129" s="69">
        <f t="shared" si="58"/>
        <v>0</v>
      </c>
      <c r="P129" s="69">
        <f t="shared" si="59"/>
        <v>19760</v>
      </c>
      <c r="Q129" s="70">
        <f t="shared" si="60"/>
        <v>19760</v>
      </c>
      <c r="R129" s="153">
        <f t="shared" si="61"/>
        <v>592.79999999999995</v>
      </c>
      <c r="S129" s="70">
        <v>0</v>
      </c>
      <c r="T129" s="165">
        <f t="shared" si="62"/>
        <v>20352.8</v>
      </c>
      <c r="U129" s="163">
        <f t="shared" si="63"/>
        <v>115.64090909090909</v>
      </c>
      <c r="V129" s="164">
        <f t="shared" si="64"/>
        <v>0</v>
      </c>
      <c r="W129" s="164">
        <f t="shared" si="65"/>
        <v>0</v>
      </c>
      <c r="X129" s="144">
        <f t="shared" si="66"/>
        <v>0</v>
      </c>
      <c r="Y129" s="150">
        <f t="shared" si="67"/>
        <v>0</v>
      </c>
      <c r="Z129" s="150">
        <f t="shared" si="68"/>
        <v>0</v>
      </c>
      <c r="AA129" s="150">
        <f t="shared" si="69"/>
        <v>0</v>
      </c>
      <c r="AB129" s="182">
        <f t="shared" si="70"/>
        <v>0</v>
      </c>
      <c r="AC129" s="182">
        <f t="shared" si="71"/>
        <v>0</v>
      </c>
      <c r="AD129" s="182">
        <f t="shared" si="72"/>
        <v>0</v>
      </c>
      <c r="AE129" s="180">
        <f t="shared" si="73"/>
        <v>0</v>
      </c>
      <c r="AF129" s="150">
        <f t="shared" si="74"/>
        <v>0</v>
      </c>
      <c r="AG129" s="150">
        <f t="shared" si="75"/>
        <v>0</v>
      </c>
      <c r="AH129" s="150">
        <f t="shared" si="76"/>
        <v>0</v>
      </c>
      <c r="AI129" s="154">
        <f t="shared" si="77"/>
        <v>4681.1440000000002</v>
      </c>
      <c r="AJ129" s="70">
        <f t="shared" si="78"/>
        <v>4678.8559999999989</v>
      </c>
      <c r="AK129" s="155">
        <f t="shared" si="79"/>
        <v>0.229887583035258</v>
      </c>
      <c r="AL129" s="155">
        <f t="shared" si="80"/>
        <v>0.29855530264319219</v>
      </c>
    </row>
    <row r="130" spans="2:38" s="102" customFormat="1" ht="15.75" customHeight="1" x14ac:dyDescent="0.2">
      <c r="B130" s="200" t="s">
        <v>1431</v>
      </c>
      <c r="C130" s="171" t="s">
        <v>73</v>
      </c>
      <c r="D130" s="103">
        <v>176</v>
      </c>
      <c r="E130" s="104" t="s">
        <v>76</v>
      </c>
      <c r="F130" s="92">
        <v>0</v>
      </c>
      <c r="G130" s="219">
        <f>IF(F130&gt;0,F130,
IF(B130&lt;&gt;"",
IF(C130="CLT",VLOOKUP(B130,'Lista Profissionais'!$C$11:$H$348,3,0),
VLOOKUP(B130,'Lista Profissionais'!$C$11:$H$348,6,0)), 0))</f>
        <v>18200</v>
      </c>
      <c r="H130" s="219">
        <f>IF(B130&lt;&gt;"",
IF(C130="CLT",
       22*$M$5 + (G130*'Lista Profissionais'!$G$9),0),0)</f>
        <v>0</v>
      </c>
      <c r="I130" s="66">
        <f t="shared" si="54"/>
        <v>18200</v>
      </c>
      <c r="J130" s="66">
        <f t="shared" si="55"/>
        <v>18200</v>
      </c>
      <c r="K130" s="66">
        <f t="shared" si="56"/>
        <v>26392.002</v>
      </c>
      <c r="L130" s="93">
        <f t="shared" si="57"/>
        <v>103.40909090909091</v>
      </c>
      <c r="M130" s="151"/>
      <c r="N130" s="152">
        <v>0</v>
      </c>
      <c r="O130" s="69">
        <f t="shared" si="58"/>
        <v>0</v>
      </c>
      <c r="P130" s="69">
        <f t="shared" si="59"/>
        <v>34580</v>
      </c>
      <c r="Q130" s="70">
        <f t="shared" si="60"/>
        <v>34580</v>
      </c>
      <c r="R130" s="153">
        <f t="shared" si="61"/>
        <v>1037.3999999999999</v>
      </c>
      <c r="S130" s="70">
        <v>0</v>
      </c>
      <c r="T130" s="165">
        <f t="shared" si="62"/>
        <v>35617.4</v>
      </c>
      <c r="U130" s="163">
        <f t="shared" si="63"/>
        <v>202.37159090909091</v>
      </c>
      <c r="V130" s="164">
        <f t="shared" si="64"/>
        <v>0</v>
      </c>
      <c r="W130" s="164">
        <f t="shared" si="65"/>
        <v>0</v>
      </c>
      <c r="X130" s="144">
        <f t="shared" si="66"/>
        <v>0</v>
      </c>
      <c r="Y130" s="150">
        <f t="shared" si="67"/>
        <v>0</v>
      </c>
      <c r="Z130" s="150">
        <f t="shared" si="68"/>
        <v>0</v>
      </c>
      <c r="AA130" s="150">
        <f t="shared" si="69"/>
        <v>0</v>
      </c>
      <c r="AB130" s="182">
        <f t="shared" si="70"/>
        <v>0</v>
      </c>
      <c r="AC130" s="182">
        <f t="shared" si="71"/>
        <v>0</v>
      </c>
      <c r="AD130" s="182">
        <f t="shared" si="72"/>
        <v>0</v>
      </c>
      <c r="AE130" s="180">
        <f t="shared" si="73"/>
        <v>0</v>
      </c>
      <c r="AF130" s="150">
        <f t="shared" si="74"/>
        <v>0</v>
      </c>
      <c r="AG130" s="150">
        <f t="shared" si="75"/>
        <v>0</v>
      </c>
      <c r="AH130" s="150">
        <f t="shared" si="76"/>
        <v>0</v>
      </c>
      <c r="AI130" s="154">
        <f t="shared" si="77"/>
        <v>8192.0020000000004</v>
      </c>
      <c r="AJ130" s="70">
        <f t="shared" si="78"/>
        <v>8187.9980000000014</v>
      </c>
      <c r="AK130" s="155">
        <f t="shared" si="79"/>
        <v>0.22988758303525808</v>
      </c>
      <c r="AL130" s="155">
        <f t="shared" si="80"/>
        <v>0.2985553026431923</v>
      </c>
    </row>
    <row r="131" spans="2:38" s="102" customFormat="1" ht="15.75" customHeight="1" x14ac:dyDescent="0.2">
      <c r="B131" s="240" t="s">
        <v>1432</v>
      </c>
      <c r="C131" s="171" t="s">
        <v>73</v>
      </c>
      <c r="D131" s="103">
        <v>176</v>
      </c>
      <c r="E131" s="104" t="s">
        <v>76</v>
      </c>
      <c r="F131" s="92">
        <v>0</v>
      </c>
      <c r="G131" s="219">
        <f>IF(F131&gt;0,F131,
IF(B131&lt;&gt;"",
IF(C131="CLT",VLOOKUP(B131,'Lista Profissionais'!$C$11:$H$348,3,0),
VLOOKUP(B131,'Lista Profissionais'!$C$11:$H$348,6,0)), 0))</f>
        <v>26650</v>
      </c>
      <c r="H131" s="219">
        <f>IF(B131&lt;&gt;"",
IF(C131="CLT",
       22*$M$5 + (G131*'Lista Profissionais'!$G$9),0),0)</f>
        <v>0</v>
      </c>
      <c r="I131" s="66">
        <f t="shared" si="54"/>
        <v>26649.999999999996</v>
      </c>
      <c r="J131" s="66">
        <f t="shared" si="55"/>
        <v>26649.999999999996</v>
      </c>
      <c r="K131" s="66">
        <f t="shared" si="56"/>
        <v>38645.431499999992</v>
      </c>
      <c r="L131" s="93">
        <f t="shared" si="57"/>
        <v>151.42045454545453</v>
      </c>
      <c r="M131" s="151"/>
      <c r="N131" s="152">
        <v>0</v>
      </c>
      <c r="O131" s="69">
        <f t="shared" si="58"/>
        <v>0</v>
      </c>
      <c r="P131" s="69">
        <f t="shared" si="59"/>
        <v>50634.999999999993</v>
      </c>
      <c r="Q131" s="70">
        <f t="shared" si="60"/>
        <v>50634.999999999993</v>
      </c>
      <c r="R131" s="153">
        <f t="shared" si="61"/>
        <v>1519.0499999999997</v>
      </c>
      <c r="S131" s="70">
        <v>0</v>
      </c>
      <c r="T131" s="165">
        <f t="shared" si="62"/>
        <v>52154.049999999996</v>
      </c>
      <c r="U131" s="163">
        <f t="shared" si="63"/>
        <v>296.32982954545452</v>
      </c>
      <c r="V131" s="164">
        <f t="shared" si="64"/>
        <v>0</v>
      </c>
      <c r="W131" s="164">
        <f t="shared" si="65"/>
        <v>0</v>
      </c>
      <c r="X131" s="144">
        <f t="shared" si="66"/>
        <v>0</v>
      </c>
      <c r="Y131" s="150">
        <f t="shared" si="67"/>
        <v>0</v>
      </c>
      <c r="Z131" s="150">
        <f t="shared" si="68"/>
        <v>0</v>
      </c>
      <c r="AA131" s="150">
        <f t="shared" si="69"/>
        <v>0</v>
      </c>
      <c r="AB131" s="182">
        <f t="shared" si="70"/>
        <v>0</v>
      </c>
      <c r="AC131" s="182">
        <f t="shared" si="71"/>
        <v>0</v>
      </c>
      <c r="AD131" s="182">
        <f t="shared" si="72"/>
        <v>0</v>
      </c>
      <c r="AE131" s="180">
        <f t="shared" si="73"/>
        <v>0</v>
      </c>
      <c r="AF131" s="150">
        <f t="shared" si="74"/>
        <v>0</v>
      </c>
      <c r="AG131" s="150">
        <f t="shared" si="75"/>
        <v>0</v>
      </c>
      <c r="AH131" s="150">
        <f t="shared" si="76"/>
        <v>0</v>
      </c>
      <c r="AI131" s="154">
        <f t="shared" si="77"/>
        <v>11995.431499999999</v>
      </c>
      <c r="AJ131" s="70">
        <f t="shared" si="78"/>
        <v>11989.568500000001</v>
      </c>
      <c r="AK131" s="155">
        <f t="shared" si="79"/>
        <v>0.22988758303525808</v>
      </c>
      <c r="AL131" s="155">
        <f t="shared" si="80"/>
        <v>0.2985553026431923</v>
      </c>
    </row>
    <row r="132" spans="2:38" s="102" customFormat="1" ht="15.75" customHeight="1" x14ac:dyDescent="0.2">
      <c r="B132" s="242" t="s">
        <v>1433</v>
      </c>
      <c r="C132" s="171" t="s">
        <v>73</v>
      </c>
      <c r="D132" s="103">
        <v>176</v>
      </c>
      <c r="E132" s="104" t="s">
        <v>76</v>
      </c>
      <c r="F132" s="92">
        <v>0</v>
      </c>
      <c r="G132" s="219">
        <f>IF(F132&gt;0,F132,
IF(B132&lt;&gt;"",
IF(C132="CLT",VLOOKUP(B132,'Lista Profissionais'!$C$11:$H$348,3,0),
VLOOKUP(B132,'Lista Profissionais'!$C$11:$H$348,6,0)), 0))</f>
        <v>32500</v>
      </c>
      <c r="H132" s="219">
        <f>IF(B132&lt;&gt;"",
IF(C132="CLT",
       22*$M$5 + (G132*'Lista Profissionais'!$G$9),0),0)</f>
        <v>0</v>
      </c>
      <c r="I132" s="66">
        <f t="shared" si="54"/>
        <v>32500</v>
      </c>
      <c r="J132" s="66">
        <f t="shared" si="55"/>
        <v>32500</v>
      </c>
      <c r="K132" s="66">
        <f t="shared" si="56"/>
        <v>47128.574999999997</v>
      </c>
      <c r="L132" s="93">
        <f t="shared" si="57"/>
        <v>184.65909090909091</v>
      </c>
      <c r="M132" s="151"/>
      <c r="N132" s="152">
        <v>0</v>
      </c>
      <c r="O132" s="69">
        <f t="shared" si="58"/>
        <v>0</v>
      </c>
      <c r="P132" s="69">
        <f t="shared" si="59"/>
        <v>61750</v>
      </c>
      <c r="Q132" s="70">
        <f t="shared" si="60"/>
        <v>61750</v>
      </c>
      <c r="R132" s="153">
        <f t="shared" si="61"/>
        <v>1852.5</v>
      </c>
      <c r="S132" s="70">
        <v>0</v>
      </c>
      <c r="T132" s="165">
        <f t="shared" si="62"/>
        <v>63602.5</v>
      </c>
      <c r="U132" s="163">
        <f t="shared" si="63"/>
        <v>361.37784090909093</v>
      </c>
      <c r="V132" s="164">
        <f t="shared" si="64"/>
        <v>0</v>
      </c>
      <c r="W132" s="164">
        <f t="shared" si="65"/>
        <v>0</v>
      </c>
      <c r="X132" s="144">
        <f t="shared" si="66"/>
        <v>0</v>
      </c>
      <c r="Y132" s="150">
        <f t="shared" si="67"/>
        <v>0</v>
      </c>
      <c r="Z132" s="150">
        <f t="shared" si="68"/>
        <v>0</v>
      </c>
      <c r="AA132" s="150">
        <f t="shared" si="69"/>
        <v>0</v>
      </c>
      <c r="AB132" s="182">
        <f t="shared" si="70"/>
        <v>0</v>
      </c>
      <c r="AC132" s="182">
        <f t="shared" si="71"/>
        <v>0</v>
      </c>
      <c r="AD132" s="182">
        <f t="shared" si="72"/>
        <v>0</v>
      </c>
      <c r="AE132" s="180">
        <f t="shared" si="73"/>
        <v>0</v>
      </c>
      <c r="AF132" s="150">
        <f t="shared" si="74"/>
        <v>0</v>
      </c>
      <c r="AG132" s="150">
        <f t="shared" si="75"/>
        <v>0</v>
      </c>
      <c r="AH132" s="150">
        <f t="shared" si="76"/>
        <v>0</v>
      </c>
      <c r="AI132" s="154">
        <f t="shared" si="77"/>
        <v>14628.575000000001</v>
      </c>
      <c r="AJ132" s="70">
        <f t="shared" si="78"/>
        <v>14621.425000000003</v>
      </c>
      <c r="AK132" s="155">
        <f t="shared" si="79"/>
        <v>0.22988758303525808</v>
      </c>
      <c r="AL132" s="155">
        <f t="shared" si="80"/>
        <v>0.2985553026431923</v>
      </c>
    </row>
    <row r="133" spans="2:38" s="102" customFormat="1" ht="15.75" customHeight="1" x14ac:dyDescent="0.2">
      <c r="B133" s="242" t="s">
        <v>1434</v>
      </c>
      <c r="C133" s="171" t="s">
        <v>73</v>
      </c>
      <c r="D133" s="103">
        <v>176</v>
      </c>
      <c r="E133" s="104" t="s">
        <v>76</v>
      </c>
      <c r="F133" s="92">
        <v>0</v>
      </c>
      <c r="G133" s="219">
        <f>IF(F133&gt;0,F133,
IF(B133&lt;&gt;"",
IF(C133="CLT",VLOOKUP(B133,'Lista Profissionais'!$C$11:$H$348,3,0),
VLOOKUP(B133,'Lista Profissionais'!$C$11:$H$348,6,0)), 0))</f>
        <v>10660</v>
      </c>
      <c r="H133" s="219">
        <f>IF(B133&lt;&gt;"",
IF(C133="CLT",
       22*$M$5 + (G133*'Lista Profissionais'!$G$9),0),0)</f>
        <v>0</v>
      </c>
      <c r="I133" s="66">
        <f t="shared" si="54"/>
        <v>10660</v>
      </c>
      <c r="J133" s="66">
        <f t="shared" si="55"/>
        <v>10660</v>
      </c>
      <c r="K133" s="66">
        <f t="shared" si="56"/>
        <v>15458.1726</v>
      </c>
      <c r="L133" s="93">
        <f t="shared" si="57"/>
        <v>60.56818181818182</v>
      </c>
      <c r="M133" s="151"/>
      <c r="N133" s="152">
        <v>0</v>
      </c>
      <c r="O133" s="69">
        <f t="shared" si="58"/>
        <v>0</v>
      </c>
      <c r="P133" s="69">
        <f t="shared" si="59"/>
        <v>20254</v>
      </c>
      <c r="Q133" s="70">
        <f t="shared" si="60"/>
        <v>20254</v>
      </c>
      <c r="R133" s="153">
        <f t="shared" si="61"/>
        <v>607.62</v>
      </c>
      <c r="S133" s="70">
        <v>0</v>
      </c>
      <c r="T133" s="165">
        <f t="shared" si="62"/>
        <v>20861.62</v>
      </c>
      <c r="U133" s="163">
        <f t="shared" si="63"/>
        <v>118.53193181818182</v>
      </c>
      <c r="V133" s="164">
        <f t="shared" si="64"/>
        <v>0</v>
      </c>
      <c r="W133" s="164">
        <f t="shared" si="65"/>
        <v>0</v>
      </c>
      <c r="X133" s="144">
        <f t="shared" si="66"/>
        <v>0</v>
      </c>
      <c r="Y133" s="150">
        <f t="shared" si="67"/>
        <v>0</v>
      </c>
      <c r="Z133" s="150">
        <f t="shared" si="68"/>
        <v>0</v>
      </c>
      <c r="AA133" s="150">
        <f t="shared" si="69"/>
        <v>0</v>
      </c>
      <c r="AB133" s="182">
        <f t="shared" si="70"/>
        <v>0</v>
      </c>
      <c r="AC133" s="182">
        <f t="shared" si="71"/>
        <v>0</v>
      </c>
      <c r="AD133" s="182">
        <f t="shared" si="72"/>
        <v>0</v>
      </c>
      <c r="AE133" s="180">
        <f t="shared" si="73"/>
        <v>0</v>
      </c>
      <c r="AF133" s="150">
        <f t="shared" si="74"/>
        <v>0</v>
      </c>
      <c r="AG133" s="150">
        <f t="shared" si="75"/>
        <v>0</v>
      </c>
      <c r="AH133" s="150">
        <f t="shared" si="76"/>
        <v>0</v>
      </c>
      <c r="AI133" s="154">
        <f t="shared" si="77"/>
        <v>4798.1725999999999</v>
      </c>
      <c r="AJ133" s="70">
        <f t="shared" si="78"/>
        <v>4795.8273999999992</v>
      </c>
      <c r="AK133" s="155">
        <f t="shared" si="79"/>
        <v>0.22988758303525803</v>
      </c>
      <c r="AL133" s="155">
        <f t="shared" si="80"/>
        <v>0.29855530264319224</v>
      </c>
    </row>
    <row r="134" spans="2:38" s="102" customFormat="1" ht="15.75" customHeight="1" x14ac:dyDescent="0.2">
      <c r="B134" s="242" t="s">
        <v>1435</v>
      </c>
      <c r="C134" s="171" t="s">
        <v>73</v>
      </c>
      <c r="D134" s="103">
        <v>176</v>
      </c>
      <c r="E134" s="104" t="s">
        <v>76</v>
      </c>
      <c r="F134" s="92">
        <v>0</v>
      </c>
      <c r="G134" s="219">
        <f>IF(F134&gt;0,F134,
IF(B134&lt;&gt;"",
IF(C134="CLT",VLOOKUP(B134,'Lista Profissionais'!$C$11:$H$348,3,0),
VLOOKUP(B134,'Lista Profissionais'!$C$11:$H$348,6,0)), 0))</f>
        <v>18200</v>
      </c>
      <c r="H134" s="219">
        <f>IF(B134&lt;&gt;"",
IF(C134="CLT",
       22*$M$5 + (G134*'Lista Profissionais'!$G$9),0),0)</f>
        <v>0</v>
      </c>
      <c r="I134" s="66">
        <f t="shared" si="54"/>
        <v>18200</v>
      </c>
      <c r="J134" s="66">
        <f t="shared" si="55"/>
        <v>18200</v>
      </c>
      <c r="K134" s="66">
        <f t="shared" si="56"/>
        <v>26392.002</v>
      </c>
      <c r="L134" s="93">
        <f t="shared" si="57"/>
        <v>103.40909090909091</v>
      </c>
      <c r="M134" s="151"/>
      <c r="N134" s="152">
        <v>0</v>
      </c>
      <c r="O134" s="69">
        <f t="shared" si="58"/>
        <v>0</v>
      </c>
      <c r="P134" s="69">
        <f t="shared" si="59"/>
        <v>34580</v>
      </c>
      <c r="Q134" s="70">
        <f t="shared" si="60"/>
        <v>34580</v>
      </c>
      <c r="R134" s="153">
        <f t="shared" si="61"/>
        <v>1037.3999999999999</v>
      </c>
      <c r="S134" s="70">
        <v>0</v>
      </c>
      <c r="T134" s="165">
        <f t="shared" si="62"/>
        <v>35617.4</v>
      </c>
      <c r="U134" s="163">
        <f t="shared" si="63"/>
        <v>202.37159090909091</v>
      </c>
      <c r="V134" s="164">
        <f t="shared" si="64"/>
        <v>0</v>
      </c>
      <c r="W134" s="164">
        <f t="shared" si="65"/>
        <v>0</v>
      </c>
      <c r="X134" s="144">
        <f t="shared" si="66"/>
        <v>0</v>
      </c>
      <c r="Y134" s="150">
        <f t="shared" si="67"/>
        <v>0</v>
      </c>
      <c r="Z134" s="150">
        <f t="shared" si="68"/>
        <v>0</v>
      </c>
      <c r="AA134" s="150">
        <f t="shared" si="69"/>
        <v>0</v>
      </c>
      <c r="AB134" s="182">
        <f t="shared" si="70"/>
        <v>0</v>
      </c>
      <c r="AC134" s="182">
        <f t="shared" si="71"/>
        <v>0</v>
      </c>
      <c r="AD134" s="182">
        <f t="shared" si="72"/>
        <v>0</v>
      </c>
      <c r="AE134" s="180">
        <f t="shared" si="73"/>
        <v>0</v>
      </c>
      <c r="AF134" s="150">
        <f t="shared" si="74"/>
        <v>0</v>
      </c>
      <c r="AG134" s="150">
        <f t="shared" si="75"/>
        <v>0</v>
      </c>
      <c r="AH134" s="150">
        <f t="shared" si="76"/>
        <v>0</v>
      </c>
      <c r="AI134" s="154">
        <f t="shared" si="77"/>
        <v>8192.0020000000004</v>
      </c>
      <c r="AJ134" s="70">
        <f t="shared" si="78"/>
        <v>8187.9980000000014</v>
      </c>
      <c r="AK134" s="155">
        <f t="shared" si="79"/>
        <v>0.22988758303525808</v>
      </c>
      <c r="AL134" s="155">
        <f t="shared" si="80"/>
        <v>0.2985553026431923</v>
      </c>
    </row>
    <row r="135" spans="2:38" s="102" customFormat="1" ht="15.75" customHeight="1" x14ac:dyDescent="0.2">
      <c r="B135" s="242" t="s">
        <v>1436</v>
      </c>
      <c r="C135" s="171" t="s">
        <v>73</v>
      </c>
      <c r="D135" s="103">
        <v>176</v>
      </c>
      <c r="E135" s="104" t="s">
        <v>76</v>
      </c>
      <c r="F135" s="92">
        <v>0</v>
      </c>
      <c r="G135" s="219">
        <f>IF(F135&gt;0,F135,
IF(B135&lt;&gt;"",
IF(C135="CLT",VLOOKUP(B135,'Lista Profissionais'!$C$11:$H$348,3,0),
VLOOKUP(B135,'Lista Profissionais'!$C$11:$H$348,6,0)), 0))</f>
        <v>26650</v>
      </c>
      <c r="H135" s="219">
        <f>IF(B135&lt;&gt;"",
IF(C135="CLT",
       22*$M$5 + (G135*'Lista Profissionais'!$G$9),0),0)</f>
        <v>0</v>
      </c>
      <c r="I135" s="66">
        <f t="shared" si="54"/>
        <v>26649.999999999996</v>
      </c>
      <c r="J135" s="66">
        <f t="shared" si="55"/>
        <v>26649.999999999996</v>
      </c>
      <c r="K135" s="66">
        <f t="shared" si="56"/>
        <v>38645.431499999992</v>
      </c>
      <c r="L135" s="93">
        <f t="shared" si="57"/>
        <v>151.42045454545453</v>
      </c>
      <c r="M135" s="151"/>
      <c r="N135" s="152">
        <v>0</v>
      </c>
      <c r="O135" s="69">
        <f t="shared" si="58"/>
        <v>0</v>
      </c>
      <c r="P135" s="69">
        <f t="shared" si="59"/>
        <v>50634.999999999993</v>
      </c>
      <c r="Q135" s="70">
        <f t="shared" si="60"/>
        <v>50634.999999999993</v>
      </c>
      <c r="R135" s="153">
        <f t="shared" si="61"/>
        <v>1519.0499999999997</v>
      </c>
      <c r="S135" s="70">
        <v>0</v>
      </c>
      <c r="T135" s="165">
        <f t="shared" si="62"/>
        <v>52154.049999999996</v>
      </c>
      <c r="U135" s="163">
        <f t="shared" si="63"/>
        <v>296.32982954545452</v>
      </c>
      <c r="V135" s="164">
        <f t="shared" si="64"/>
        <v>0</v>
      </c>
      <c r="W135" s="164">
        <f t="shared" si="65"/>
        <v>0</v>
      </c>
      <c r="X135" s="144">
        <f t="shared" si="66"/>
        <v>0</v>
      </c>
      <c r="Y135" s="150">
        <f t="shared" si="67"/>
        <v>0</v>
      </c>
      <c r="Z135" s="150">
        <f t="shared" si="68"/>
        <v>0</v>
      </c>
      <c r="AA135" s="150">
        <f t="shared" si="69"/>
        <v>0</v>
      </c>
      <c r="AB135" s="182">
        <f t="shared" si="70"/>
        <v>0</v>
      </c>
      <c r="AC135" s="182">
        <f t="shared" si="71"/>
        <v>0</v>
      </c>
      <c r="AD135" s="182">
        <f t="shared" si="72"/>
        <v>0</v>
      </c>
      <c r="AE135" s="180">
        <f t="shared" si="73"/>
        <v>0</v>
      </c>
      <c r="AF135" s="150">
        <f t="shared" si="74"/>
        <v>0</v>
      </c>
      <c r="AG135" s="150">
        <f t="shared" si="75"/>
        <v>0</v>
      </c>
      <c r="AH135" s="150">
        <f t="shared" si="76"/>
        <v>0</v>
      </c>
      <c r="AI135" s="154">
        <f t="shared" si="77"/>
        <v>11995.431499999999</v>
      </c>
      <c r="AJ135" s="70">
        <f t="shared" si="78"/>
        <v>11989.568500000001</v>
      </c>
      <c r="AK135" s="155">
        <f t="shared" si="79"/>
        <v>0.22988758303525808</v>
      </c>
      <c r="AL135" s="155">
        <f t="shared" si="80"/>
        <v>0.2985553026431923</v>
      </c>
    </row>
    <row r="136" spans="2:38" s="102" customFormat="1" ht="15.75" customHeight="1" x14ac:dyDescent="0.2">
      <c r="B136" s="242" t="s">
        <v>1437</v>
      </c>
      <c r="C136" s="171" t="s">
        <v>73</v>
      </c>
      <c r="D136" s="103">
        <v>176</v>
      </c>
      <c r="E136" s="104" t="s">
        <v>76</v>
      </c>
      <c r="F136" s="92">
        <v>0</v>
      </c>
      <c r="G136" s="219">
        <f>IF(F136&gt;0,F136,
IF(B136&lt;&gt;"",
IF(C136="CLT",VLOOKUP(B136,'Lista Profissionais'!$C$11:$H$348,3,0),
VLOOKUP(B136,'Lista Profissionais'!$C$11:$H$348,6,0)), 0))</f>
        <v>37700</v>
      </c>
      <c r="H136" s="219">
        <f>IF(B136&lt;&gt;"",
IF(C136="CLT",
       22*$M$5 + (G136*'Lista Profissionais'!$G$9),0),0)</f>
        <v>0</v>
      </c>
      <c r="I136" s="66">
        <f t="shared" si="54"/>
        <v>37700</v>
      </c>
      <c r="J136" s="66">
        <f t="shared" si="55"/>
        <v>37700</v>
      </c>
      <c r="K136" s="66">
        <f t="shared" si="56"/>
        <v>54669.146999999997</v>
      </c>
      <c r="L136" s="93">
        <f t="shared" si="57"/>
        <v>214.20454545454547</v>
      </c>
      <c r="M136" s="151"/>
      <c r="N136" s="152">
        <v>0</v>
      </c>
      <c r="O136" s="69">
        <f t="shared" si="58"/>
        <v>0</v>
      </c>
      <c r="P136" s="69">
        <f t="shared" si="59"/>
        <v>71630</v>
      </c>
      <c r="Q136" s="70">
        <f t="shared" si="60"/>
        <v>71630</v>
      </c>
      <c r="R136" s="153">
        <f t="shared" si="61"/>
        <v>2148.9</v>
      </c>
      <c r="S136" s="70">
        <v>0</v>
      </c>
      <c r="T136" s="165">
        <f t="shared" si="62"/>
        <v>73778.899999999994</v>
      </c>
      <c r="U136" s="163">
        <f t="shared" si="63"/>
        <v>419.19829545454542</v>
      </c>
      <c r="V136" s="164">
        <f t="shared" si="64"/>
        <v>0</v>
      </c>
      <c r="W136" s="164">
        <f t="shared" si="65"/>
        <v>0</v>
      </c>
      <c r="X136" s="144">
        <f t="shared" si="66"/>
        <v>0</v>
      </c>
      <c r="Y136" s="150">
        <f t="shared" si="67"/>
        <v>0</v>
      </c>
      <c r="Z136" s="150">
        <f t="shared" si="68"/>
        <v>0</v>
      </c>
      <c r="AA136" s="150">
        <f t="shared" si="69"/>
        <v>0</v>
      </c>
      <c r="AB136" s="182">
        <f t="shared" si="70"/>
        <v>0</v>
      </c>
      <c r="AC136" s="182">
        <f t="shared" si="71"/>
        <v>0</v>
      </c>
      <c r="AD136" s="182">
        <f t="shared" si="72"/>
        <v>0</v>
      </c>
      <c r="AE136" s="180">
        <f t="shared" si="73"/>
        <v>0</v>
      </c>
      <c r="AF136" s="150">
        <f t="shared" si="74"/>
        <v>0</v>
      </c>
      <c r="AG136" s="150">
        <f t="shared" si="75"/>
        <v>0</v>
      </c>
      <c r="AH136" s="150">
        <f t="shared" si="76"/>
        <v>0</v>
      </c>
      <c r="AI136" s="154">
        <f t="shared" si="77"/>
        <v>16969.147000000001</v>
      </c>
      <c r="AJ136" s="70">
        <f t="shared" si="78"/>
        <v>16960.852999999996</v>
      </c>
      <c r="AK136" s="155">
        <f t="shared" si="79"/>
        <v>0.229887583035258</v>
      </c>
      <c r="AL136" s="155">
        <f t="shared" si="80"/>
        <v>0.29855530264319219</v>
      </c>
    </row>
    <row r="137" spans="2:38" s="102" customFormat="1" ht="15.75" customHeight="1" x14ac:dyDescent="0.2">
      <c r="B137" s="242" t="s">
        <v>1438</v>
      </c>
      <c r="C137" s="171" t="s">
        <v>73</v>
      </c>
      <c r="D137" s="103">
        <v>176</v>
      </c>
      <c r="E137" s="104" t="s">
        <v>76</v>
      </c>
      <c r="F137" s="92">
        <v>0</v>
      </c>
      <c r="G137" s="219">
        <f>IF(F137&gt;0,F137,
IF(B137&lt;&gt;"",
IF(C137="CLT",VLOOKUP(B137,'Lista Profissionais'!$C$11:$H$348,3,0),
VLOOKUP(B137,'Lista Profissionais'!$C$11:$H$348,6,0)), 0))</f>
        <v>11440</v>
      </c>
      <c r="H137" s="219">
        <f>IF(B137&lt;&gt;"",
IF(C137="CLT",
       22*$M$5 + (G137*'Lista Profissionais'!$G$9),0),0)</f>
        <v>0</v>
      </c>
      <c r="I137" s="66">
        <f t="shared" si="54"/>
        <v>11440</v>
      </c>
      <c r="J137" s="66">
        <f t="shared" si="55"/>
        <v>11440</v>
      </c>
      <c r="K137" s="66">
        <f t="shared" si="56"/>
        <v>16589.258399999999</v>
      </c>
      <c r="L137" s="93">
        <f t="shared" si="57"/>
        <v>65</v>
      </c>
      <c r="M137" s="151"/>
      <c r="N137" s="152">
        <v>0</v>
      </c>
      <c r="O137" s="69">
        <f t="shared" si="58"/>
        <v>0</v>
      </c>
      <c r="P137" s="69">
        <f t="shared" si="59"/>
        <v>21736</v>
      </c>
      <c r="Q137" s="70">
        <f t="shared" si="60"/>
        <v>21736</v>
      </c>
      <c r="R137" s="153">
        <f t="shared" si="61"/>
        <v>652.07999999999993</v>
      </c>
      <c r="S137" s="70">
        <v>0</v>
      </c>
      <c r="T137" s="165">
        <f t="shared" si="62"/>
        <v>22388.080000000002</v>
      </c>
      <c r="U137" s="163">
        <f t="shared" si="63"/>
        <v>127.20500000000001</v>
      </c>
      <c r="V137" s="164">
        <f t="shared" si="64"/>
        <v>0</v>
      </c>
      <c r="W137" s="164">
        <f t="shared" si="65"/>
        <v>0</v>
      </c>
      <c r="X137" s="144">
        <f t="shared" si="66"/>
        <v>0</v>
      </c>
      <c r="Y137" s="150">
        <f t="shared" si="67"/>
        <v>0</v>
      </c>
      <c r="Z137" s="150">
        <f t="shared" si="68"/>
        <v>0</v>
      </c>
      <c r="AA137" s="150">
        <f t="shared" si="69"/>
        <v>0</v>
      </c>
      <c r="AB137" s="182">
        <f t="shared" si="70"/>
        <v>0</v>
      </c>
      <c r="AC137" s="182">
        <f t="shared" si="71"/>
        <v>0</v>
      </c>
      <c r="AD137" s="182">
        <f t="shared" si="72"/>
        <v>0</v>
      </c>
      <c r="AE137" s="180">
        <f t="shared" si="73"/>
        <v>0</v>
      </c>
      <c r="AF137" s="150">
        <f t="shared" si="74"/>
        <v>0</v>
      </c>
      <c r="AG137" s="150">
        <f t="shared" si="75"/>
        <v>0</v>
      </c>
      <c r="AH137" s="150">
        <f t="shared" si="76"/>
        <v>0</v>
      </c>
      <c r="AI137" s="154">
        <f t="shared" si="77"/>
        <v>5149.2584000000006</v>
      </c>
      <c r="AJ137" s="70">
        <f t="shared" si="78"/>
        <v>5146.741600000003</v>
      </c>
      <c r="AK137" s="155">
        <f t="shared" si="79"/>
        <v>0.22988758303525816</v>
      </c>
      <c r="AL137" s="155">
        <f t="shared" si="80"/>
        <v>0.29855530264319241</v>
      </c>
    </row>
    <row r="138" spans="2:38" s="102" customFormat="1" ht="15.75" customHeight="1" x14ac:dyDescent="0.2">
      <c r="B138" s="242" t="s">
        <v>1439</v>
      </c>
      <c r="C138" s="171" t="s">
        <v>73</v>
      </c>
      <c r="D138" s="103">
        <v>176</v>
      </c>
      <c r="E138" s="104" t="s">
        <v>76</v>
      </c>
      <c r="F138" s="92">
        <v>0</v>
      </c>
      <c r="G138" s="219">
        <f>IF(F138&gt;0,F138,
IF(B138&lt;&gt;"",
IF(C138="CLT",VLOOKUP(B138,'Lista Profissionais'!$C$11:$H$348,3,0),
VLOOKUP(B138,'Lista Profissionais'!$C$11:$H$348,6,0)), 0))</f>
        <v>20150</v>
      </c>
      <c r="H138" s="219">
        <f>IF(B138&lt;&gt;"",
IF(C138="CLT",
       22*$M$5 + (G138*'Lista Profissionais'!$G$9),0),0)</f>
        <v>0</v>
      </c>
      <c r="I138" s="66">
        <f t="shared" si="54"/>
        <v>20150</v>
      </c>
      <c r="J138" s="66">
        <f t="shared" si="55"/>
        <v>20150</v>
      </c>
      <c r="K138" s="66">
        <f t="shared" si="56"/>
        <v>29219.716500000002</v>
      </c>
      <c r="L138" s="93">
        <f t="shared" si="57"/>
        <v>114.48863636363636</v>
      </c>
      <c r="M138" s="151"/>
      <c r="N138" s="152">
        <v>0</v>
      </c>
      <c r="O138" s="69">
        <f t="shared" si="58"/>
        <v>0</v>
      </c>
      <c r="P138" s="69">
        <f t="shared" si="59"/>
        <v>38285</v>
      </c>
      <c r="Q138" s="70">
        <f t="shared" si="60"/>
        <v>38285</v>
      </c>
      <c r="R138" s="153">
        <f t="shared" si="61"/>
        <v>1148.55</v>
      </c>
      <c r="S138" s="70">
        <v>0</v>
      </c>
      <c r="T138" s="165">
        <f t="shared" si="62"/>
        <v>39433.550000000003</v>
      </c>
      <c r="U138" s="163">
        <f t="shared" si="63"/>
        <v>224.05426136363639</v>
      </c>
      <c r="V138" s="164">
        <f t="shared" si="64"/>
        <v>0</v>
      </c>
      <c r="W138" s="164">
        <f t="shared" si="65"/>
        <v>0</v>
      </c>
      <c r="X138" s="144">
        <f t="shared" si="66"/>
        <v>0</v>
      </c>
      <c r="Y138" s="150">
        <f t="shared" si="67"/>
        <v>0</v>
      </c>
      <c r="Z138" s="150">
        <f t="shared" si="68"/>
        <v>0</v>
      </c>
      <c r="AA138" s="150">
        <f t="shared" si="69"/>
        <v>0</v>
      </c>
      <c r="AB138" s="182">
        <f t="shared" si="70"/>
        <v>0</v>
      </c>
      <c r="AC138" s="182">
        <f t="shared" si="71"/>
        <v>0</v>
      </c>
      <c r="AD138" s="182">
        <f t="shared" si="72"/>
        <v>0</v>
      </c>
      <c r="AE138" s="180">
        <f t="shared" si="73"/>
        <v>0</v>
      </c>
      <c r="AF138" s="150">
        <f t="shared" si="74"/>
        <v>0</v>
      </c>
      <c r="AG138" s="150">
        <f t="shared" si="75"/>
        <v>0</v>
      </c>
      <c r="AH138" s="150">
        <f t="shared" si="76"/>
        <v>0</v>
      </c>
      <c r="AI138" s="154">
        <f t="shared" si="77"/>
        <v>9069.7165000000005</v>
      </c>
      <c r="AJ138" s="70">
        <f t="shared" si="78"/>
        <v>9065.2835000000014</v>
      </c>
      <c r="AK138" s="155">
        <f t="shared" si="79"/>
        <v>0.22988758303525805</v>
      </c>
      <c r="AL138" s="155">
        <f t="shared" si="80"/>
        <v>0.2985553026431923</v>
      </c>
    </row>
    <row r="139" spans="2:38" s="102" customFormat="1" ht="15.75" customHeight="1" x14ac:dyDescent="0.2">
      <c r="B139" s="242" t="s">
        <v>1440</v>
      </c>
      <c r="C139" s="171" t="s">
        <v>73</v>
      </c>
      <c r="D139" s="103">
        <v>176</v>
      </c>
      <c r="E139" s="104" t="s">
        <v>76</v>
      </c>
      <c r="F139" s="92">
        <v>0</v>
      </c>
      <c r="G139" s="219">
        <f>IF(F139&gt;0,F139,
IF(B139&lt;&gt;"",
IF(C139="CLT",VLOOKUP(B139,'Lista Profissionais'!$C$11:$H$348,3,0),
VLOOKUP(B139,'Lista Profissionais'!$C$11:$H$348,6,0)), 0))</f>
        <v>27300</v>
      </c>
      <c r="H139" s="219">
        <f>IF(B139&lt;&gt;"",
IF(C139="CLT",
       22*$M$5 + (G139*'Lista Profissionais'!$G$9),0),0)</f>
        <v>0</v>
      </c>
      <c r="I139" s="66">
        <f t="shared" si="54"/>
        <v>27300</v>
      </c>
      <c r="J139" s="66">
        <f t="shared" si="55"/>
        <v>27300</v>
      </c>
      <c r="K139" s="66">
        <f t="shared" si="56"/>
        <v>39588.002999999997</v>
      </c>
      <c r="L139" s="93">
        <f t="shared" si="57"/>
        <v>155.11363636363637</v>
      </c>
      <c r="M139" s="151"/>
      <c r="N139" s="152">
        <v>0</v>
      </c>
      <c r="O139" s="69">
        <f t="shared" si="58"/>
        <v>0</v>
      </c>
      <c r="P139" s="69">
        <f t="shared" si="59"/>
        <v>51870</v>
      </c>
      <c r="Q139" s="70">
        <f t="shared" si="60"/>
        <v>51870</v>
      </c>
      <c r="R139" s="153">
        <f t="shared" si="61"/>
        <v>1556.1</v>
      </c>
      <c r="S139" s="70">
        <v>0</v>
      </c>
      <c r="T139" s="165">
        <f t="shared" si="62"/>
        <v>53426.1</v>
      </c>
      <c r="U139" s="163">
        <f t="shared" si="63"/>
        <v>303.55738636363634</v>
      </c>
      <c r="V139" s="164">
        <f t="shared" si="64"/>
        <v>0</v>
      </c>
      <c r="W139" s="164">
        <f t="shared" si="65"/>
        <v>0</v>
      </c>
      <c r="X139" s="144">
        <f t="shared" si="66"/>
        <v>0</v>
      </c>
      <c r="Y139" s="150">
        <f t="shared" si="67"/>
        <v>0</v>
      </c>
      <c r="Z139" s="150">
        <f t="shared" si="68"/>
        <v>0</v>
      </c>
      <c r="AA139" s="150">
        <f t="shared" si="69"/>
        <v>0</v>
      </c>
      <c r="AB139" s="182">
        <f t="shared" si="70"/>
        <v>0</v>
      </c>
      <c r="AC139" s="182">
        <f t="shared" si="71"/>
        <v>0</v>
      </c>
      <c r="AD139" s="182">
        <f t="shared" si="72"/>
        <v>0</v>
      </c>
      <c r="AE139" s="180">
        <f t="shared" si="73"/>
        <v>0</v>
      </c>
      <c r="AF139" s="150">
        <f t="shared" si="74"/>
        <v>0</v>
      </c>
      <c r="AG139" s="150">
        <f t="shared" si="75"/>
        <v>0</v>
      </c>
      <c r="AH139" s="150">
        <f t="shared" si="76"/>
        <v>0</v>
      </c>
      <c r="AI139" s="154">
        <f t="shared" si="77"/>
        <v>12288.003000000001</v>
      </c>
      <c r="AJ139" s="70">
        <f t="shared" si="78"/>
        <v>12281.996999999994</v>
      </c>
      <c r="AK139" s="155">
        <f t="shared" si="79"/>
        <v>0.22988758303525794</v>
      </c>
      <c r="AL139" s="155">
        <f t="shared" si="80"/>
        <v>0.29855530264319219</v>
      </c>
    </row>
    <row r="140" spans="2:38" s="102" customFormat="1" ht="15.75" customHeight="1" x14ac:dyDescent="0.2">
      <c r="B140" s="242" t="s">
        <v>1441</v>
      </c>
      <c r="C140" s="171" t="s">
        <v>73</v>
      </c>
      <c r="D140" s="103">
        <v>176</v>
      </c>
      <c r="E140" s="104" t="s">
        <v>76</v>
      </c>
      <c r="F140" s="92">
        <v>0</v>
      </c>
      <c r="G140" s="219">
        <f>IF(F140&gt;0,F140,
IF(B140&lt;&gt;"",
IF(C140="CLT",VLOOKUP(B140,'Lista Profissionais'!$C$11:$H$348,3,0),
VLOOKUP(B140,'Lista Profissionais'!$C$11:$H$348,6,0)), 0))</f>
        <v>36400</v>
      </c>
      <c r="H140" s="219">
        <f>IF(B140&lt;&gt;"",
IF(C140="CLT",
       22*$M$5 + (G140*'Lista Profissionais'!$G$9),0),0)</f>
        <v>0</v>
      </c>
      <c r="I140" s="66">
        <f t="shared" si="54"/>
        <v>36400</v>
      </c>
      <c r="J140" s="66">
        <f t="shared" si="55"/>
        <v>36400</v>
      </c>
      <c r="K140" s="66">
        <f t="shared" si="56"/>
        <v>52784.004000000001</v>
      </c>
      <c r="L140" s="93">
        <f t="shared" si="57"/>
        <v>206.81818181818181</v>
      </c>
      <c r="M140" s="151"/>
      <c r="N140" s="152">
        <v>0</v>
      </c>
      <c r="O140" s="69">
        <f t="shared" si="58"/>
        <v>0</v>
      </c>
      <c r="P140" s="69">
        <f t="shared" si="59"/>
        <v>69160</v>
      </c>
      <c r="Q140" s="70">
        <f t="shared" si="60"/>
        <v>69160</v>
      </c>
      <c r="R140" s="153">
        <f t="shared" si="61"/>
        <v>2074.7999999999997</v>
      </c>
      <c r="S140" s="70">
        <v>0</v>
      </c>
      <c r="T140" s="165">
        <f t="shared" si="62"/>
        <v>71234.8</v>
      </c>
      <c r="U140" s="163">
        <f t="shared" si="63"/>
        <v>404.74318181818182</v>
      </c>
      <c r="V140" s="164">
        <f t="shared" si="64"/>
        <v>0</v>
      </c>
      <c r="W140" s="164">
        <f t="shared" si="65"/>
        <v>0</v>
      </c>
      <c r="X140" s="144">
        <f t="shared" si="66"/>
        <v>0</v>
      </c>
      <c r="Y140" s="150">
        <f t="shared" si="67"/>
        <v>0</v>
      </c>
      <c r="Z140" s="150">
        <f t="shared" si="68"/>
        <v>0</v>
      </c>
      <c r="AA140" s="150">
        <f t="shared" si="69"/>
        <v>0</v>
      </c>
      <c r="AB140" s="182">
        <f t="shared" si="70"/>
        <v>0</v>
      </c>
      <c r="AC140" s="182">
        <f t="shared" si="71"/>
        <v>0</v>
      </c>
      <c r="AD140" s="182">
        <f t="shared" si="72"/>
        <v>0</v>
      </c>
      <c r="AE140" s="180">
        <f t="shared" si="73"/>
        <v>0</v>
      </c>
      <c r="AF140" s="150">
        <f t="shared" si="74"/>
        <v>0</v>
      </c>
      <c r="AG140" s="150">
        <f t="shared" si="75"/>
        <v>0</v>
      </c>
      <c r="AH140" s="150">
        <f t="shared" si="76"/>
        <v>0</v>
      </c>
      <c r="AI140" s="154">
        <f t="shared" si="77"/>
        <v>16384.004000000001</v>
      </c>
      <c r="AJ140" s="70">
        <f t="shared" si="78"/>
        <v>16375.996000000003</v>
      </c>
      <c r="AK140" s="155">
        <f t="shared" si="79"/>
        <v>0.22988758303525808</v>
      </c>
      <c r="AL140" s="155">
        <f t="shared" si="80"/>
        <v>0.2985553026431923</v>
      </c>
    </row>
    <row r="141" spans="2:38" s="102" customFormat="1" ht="15.75" customHeight="1" x14ac:dyDescent="0.2">
      <c r="B141" s="242" t="s">
        <v>1442</v>
      </c>
      <c r="C141" s="171" t="s">
        <v>73</v>
      </c>
      <c r="D141" s="103">
        <v>176</v>
      </c>
      <c r="E141" s="104" t="s">
        <v>76</v>
      </c>
      <c r="F141" s="92">
        <v>0</v>
      </c>
      <c r="G141" s="219">
        <f>IF(F141&gt;0,F141,
IF(B141&lt;&gt;"",
IF(C141="CLT",VLOOKUP(B141,'Lista Profissionais'!$C$11:$H$348,3,0),
VLOOKUP(B141,'Lista Profissionais'!$C$11:$H$348,6,0)), 0))</f>
        <v>11050</v>
      </c>
      <c r="H141" s="219">
        <f>IF(B141&lt;&gt;"",
IF(C141="CLT",
       22*$M$5 + (G141*'Lista Profissionais'!$G$9),0),0)</f>
        <v>0</v>
      </c>
      <c r="I141" s="66">
        <f t="shared" si="54"/>
        <v>11050</v>
      </c>
      <c r="J141" s="66">
        <f t="shared" si="55"/>
        <v>11050</v>
      </c>
      <c r="K141" s="66">
        <f t="shared" si="56"/>
        <v>16023.7155</v>
      </c>
      <c r="L141" s="93">
        <f t="shared" si="57"/>
        <v>62.784090909090907</v>
      </c>
      <c r="M141" s="151"/>
      <c r="N141" s="152">
        <v>0</v>
      </c>
      <c r="O141" s="69">
        <f t="shared" si="58"/>
        <v>0</v>
      </c>
      <c r="P141" s="69">
        <f t="shared" si="59"/>
        <v>20995</v>
      </c>
      <c r="Q141" s="70">
        <f t="shared" si="60"/>
        <v>20995</v>
      </c>
      <c r="R141" s="153">
        <f t="shared" si="61"/>
        <v>629.85</v>
      </c>
      <c r="S141" s="70">
        <v>0</v>
      </c>
      <c r="T141" s="165">
        <f t="shared" si="62"/>
        <v>21624.85</v>
      </c>
      <c r="U141" s="163">
        <f t="shared" si="63"/>
        <v>122.8684659090909</v>
      </c>
      <c r="V141" s="164">
        <f t="shared" si="64"/>
        <v>0</v>
      </c>
      <c r="W141" s="164">
        <f t="shared" si="65"/>
        <v>0</v>
      </c>
      <c r="X141" s="144">
        <f t="shared" si="66"/>
        <v>0</v>
      </c>
      <c r="Y141" s="150">
        <f t="shared" si="67"/>
        <v>0</v>
      </c>
      <c r="Z141" s="150">
        <f t="shared" si="68"/>
        <v>0</v>
      </c>
      <c r="AA141" s="150">
        <f t="shared" si="69"/>
        <v>0</v>
      </c>
      <c r="AB141" s="182">
        <f t="shared" si="70"/>
        <v>0</v>
      </c>
      <c r="AC141" s="182">
        <f t="shared" si="71"/>
        <v>0</v>
      </c>
      <c r="AD141" s="182">
        <f t="shared" si="72"/>
        <v>0</v>
      </c>
      <c r="AE141" s="180">
        <f t="shared" si="73"/>
        <v>0</v>
      </c>
      <c r="AF141" s="150">
        <f t="shared" si="74"/>
        <v>0</v>
      </c>
      <c r="AG141" s="150">
        <f t="shared" si="75"/>
        <v>0</v>
      </c>
      <c r="AH141" s="150">
        <f t="shared" si="76"/>
        <v>0</v>
      </c>
      <c r="AI141" s="154">
        <f t="shared" si="77"/>
        <v>4973.7155000000002</v>
      </c>
      <c r="AJ141" s="70">
        <f t="shared" si="78"/>
        <v>4971.2844999999998</v>
      </c>
      <c r="AK141" s="155">
        <f t="shared" si="79"/>
        <v>0.22988758303525805</v>
      </c>
      <c r="AL141" s="155">
        <f t="shared" si="80"/>
        <v>0.29855530264319224</v>
      </c>
    </row>
    <row r="142" spans="2:38" s="102" customFormat="1" ht="15.75" customHeight="1" x14ac:dyDescent="0.2">
      <c r="B142" s="242" t="s">
        <v>1443</v>
      </c>
      <c r="C142" s="171" t="s">
        <v>73</v>
      </c>
      <c r="D142" s="103">
        <v>176</v>
      </c>
      <c r="E142" s="104" t="s">
        <v>76</v>
      </c>
      <c r="F142" s="92">
        <v>0</v>
      </c>
      <c r="G142" s="219">
        <f>IF(F142&gt;0,F142,
IF(B142&lt;&gt;"",
IF(C142="CLT",VLOOKUP(B142,'Lista Profissionais'!$C$11:$H$348,3,0),
VLOOKUP(B142,'Lista Profissionais'!$C$11:$H$348,6,0)), 0))</f>
        <v>19500</v>
      </c>
      <c r="H142" s="219">
        <f>IF(B142&lt;&gt;"",
IF(C142="CLT",
       22*$M$5 + (G142*'Lista Profissionais'!$G$9),0),0)</f>
        <v>0</v>
      </c>
      <c r="I142" s="66">
        <f t="shared" si="54"/>
        <v>19500</v>
      </c>
      <c r="J142" s="66">
        <f t="shared" si="55"/>
        <v>19500</v>
      </c>
      <c r="K142" s="66">
        <f t="shared" si="56"/>
        <v>28277.145</v>
      </c>
      <c r="L142" s="93">
        <f t="shared" si="57"/>
        <v>110.79545454545455</v>
      </c>
      <c r="M142" s="151"/>
      <c r="N142" s="152">
        <v>0</v>
      </c>
      <c r="O142" s="69">
        <f t="shared" si="58"/>
        <v>0</v>
      </c>
      <c r="P142" s="69">
        <f t="shared" si="59"/>
        <v>37050</v>
      </c>
      <c r="Q142" s="70">
        <f t="shared" si="60"/>
        <v>37050</v>
      </c>
      <c r="R142" s="153">
        <f t="shared" si="61"/>
        <v>1111.5</v>
      </c>
      <c r="S142" s="70">
        <v>0</v>
      </c>
      <c r="T142" s="165">
        <f t="shared" si="62"/>
        <v>38161.5</v>
      </c>
      <c r="U142" s="163">
        <f t="shared" si="63"/>
        <v>216.82670454545453</v>
      </c>
      <c r="V142" s="164">
        <f t="shared" si="64"/>
        <v>0</v>
      </c>
      <c r="W142" s="164">
        <f t="shared" si="65"/>
        <v>0</v>
      </c>
      <c r="X142" s="144">
        <f t="shared" si="66"/>
        <v>0</v>
      </c>
      <c r="Y142" s="150">
        <f t="shared" si="67"/>
        <v>0</v>
      </c>
      <c r="Z142" s="150">
        <f t="shared" si="68"/>
        <v>0</v>
      </c>
      <c r="AA142" s="150">
        <f t="shared" si="69"/>
        <v>0</v>
      </c>
      <c r="AB142" s="182">
        <f t="shared" si="70"/>
        <v>0</v>
      </c>
      <c r="AC142" s="182">
        <f t="shared" si="71"/>
        <v>0</v>
      </c>
      <c r="AD142" s="182">
        <f t="shared" si="72"/>
        <v>0</v>
      </c>
      <c r="AE142" s="180">
        <f t="shared" si="73"/>
        <v>0</v>
      </c>
      <c r="AF142" s="150">
        <f t="shared" si="74"/>
        <v>0</v>
      </c>
      <c r="AG142" s="150">
        <f t="shared" si="75"/>
        <v>0</v>
      </c>
      <c r="AH142" s="150">
        <f t="shared" si="76"/>
        <v>0</v>
      </c>
      <c r="AI142" s="154">
        <f t="shared" si="77"/>
        <v>8777.1450000000004</v>
      </c>
      <c r="AJ142" s="70">
        <f t="shared" si="78"/>
        <v>8772.8549999999996</v>
      </c>
      <c r="AK142" s="155">
        <f t="shared" si="79"/>
        <v>0.22988758303525803</v>
      </c>
      <c r="AL142" s="155">
        <f t="shared" si="80"/>
        <v>0.29855530264319224</v>
      </c>
    </row>
    <row r="143" spans="2:38" s="102" customFormat="1" ht="15.75" customHeight="1" x14ac:dyDescent="0.2">
      <c r="B143" s="242" t="s">
        <v>1444</v>
      </c>
      <c r="C143" s="171" t="s">
        <v>73</v>
      </c>
      <c r="D143" s="103">
        <v>176</v>
      </c>
      <c r="E143" s="104" t="s">
        <v>76</v>
      </c>
      <c r="F143" s="92">
        <v>0</v>
      </c>
      <c r="G143" s="219">
        <f>IF(F143&gt;0,F143,
IF(B143&lt;&gt;"",
IF(C143="CLT",VLOOKUP(B143,'Lista Profissionais'!$C$11:$H$348,3,0),
VLOOKUP(B143,'Lista Profissionais'!$C$11:$H$348,6,0)), 0))</f>
        <v>27300</v>
      </c>
      <c r="H143" s="219">
        <f>IF(B143&lt;&gt;"",
IF(C143="CLT",
       22*$M$5 + (G143*'Lista Profissionais'!$G$9),0),0)</f>
        <v>0</v>
      </c>
      <c r="I143" s="66">
        <f t="shared" si="54"/>
        <v>27300</v>
      </c>
      <c r="J143" s="66">
        <f t="shared" si="55"/>
        <v>27300</v>
      </c>
      <c r="K143" s="66">
        <f t="shared" si="56"/>
        <v>39588.002999999997</v>
      </c>
      <c r="L143" s="93">
        <f t="shared" si="57"/>
        <v>155.11363636363637</v>
      </c>
      <c r="M143" s="151"/>
      <c r="N143" s="152">
        <v>0</v>
      </c>
      <c r="O143" s="69">
        <f t="shared" si="58"/>
        <v>0</v>
      </c>
      <c r="P143" s="69">
        <f t="shared" si="59"/>
        <v>51870</v>
      </c>
      <c r="Q143" s="70">
        <f t="shared" si="60"/>
        <v>51870</v>
      </c>
      <c r="R143" s="153">
        <f t="shared" si="61"/>
        <v>1556.1</v>
      </c>
      <c r="S143" s="70">
        <v>0</v>
      </c>
      <c r="T143" s="165">
        <f t="shared" si="62"/>
        <v>53426.1</v>
      </c>
      <c r="U143" s="163">
        <f t="shared" si="63"/>
        <v>303.55738636363634</v>
      </c>
      <c r="V143" s="164">
        <f t="shared" si="64"/>
        <v>0</v>
      </c>
      <c r="W143" s="164">
        <f t="shared" si="65"/>
        <v>0</v>
      </c>
      <c r="X143" s="144">
        <f t="shared" si="66"/>
        <v>0</v>
      </c>
      <c r="Y143" s="150">
        <f t="shared" si="67"/>
        <v>0</v>
      </c>
      <c r="Z143" s="150">
        <f t="shared" si="68"/>
        <v>0</v>
      </c>
      <c r="AA143" s="150">
        <f t="shared" si="69"/>
        <v>0</v>
      </c>
      <c r="AB143" s="182">
        <f t="shared" si="70"/>
        <v>0</v>
      </c>
      <c r="AC143" s="182">
        <f t="shared" si="71"/>
        <v>0</v>
      </c>
      <c r="AD143" s="182">
        <f t="shared" si="72"/>
        <v>0</v>
      </c>
      <c r="AE143" s="180">
        <f t="shared" si="73"/>
        <v>0</v>
      </c>
      <c r="AF143" s="150">
        <f t="shared" si="74"/>
        <v>0</v>
      </c>
      <c r="AG143" s="150">
        <f t="shared" si="75"/>
        <v>0</v>
      </c>
      <c r="AH143" s="150">
        <f t="shared" si="76"/>
        <v>0</v>
      </c>
      <c r="AI143" s="154">
        <f t="shared" si="77"/>
        <v>12288.003000000001</v>
      </c>
      <c r="AJ143" s="70">
        <f t="shared" si="78"/>
        <v>12281.996999999994</v>
      </c>
      <c r="AK143" s="155">
        <f t="shared" si="79"/>
        <v>0.22988758303525794</v>
      </c>
      <c r="AL143" s="155">
        <f t="shared" si="80"/>
        <v>0.29855530264319219</v>
      </c>
    </row>
    <row r="144" spans="2:38" s="102" customFormat="1" ht="15.75" customHeight="1" x14ac:dyDescent="0.2">
      <c r="B144" s="242" t="s">
        <v>1450</v>
      </c>
      <c r="C144" s="171" t="s">
        <v>73</v>
      </c>
      <c r="D144" s="103">
        <v>176</v>
      </c>
      <c r="E144" s="104" t="s">
        <v>76</v>
      </c>
      <c r="F144" s="92">
        <v>0</v>
      </c>
      <c r="G144" s="219">
        <f>IF(F144&gt;0,F144,
IF(B144&lt;&gt;"",
IF(C144="CLT",VLOOKUP(B144,'Lista Profissionais'!$C$11:$H$348,3,0),
VLOOKUP(B144,'Lista Profissionais'!$C$11:$H$348,6,0)), 0))</f>
        <v>36400</v>
      </c>
      <c r="H144" s="219">
        <f>IF(B144&lt;&gt;"",
IF(C144="CLT",
       22*$M$5 + (G144*'Lista Profissionais'!$G$9),0),0)</f>
        <v>0</v>
      </c>
      <c r="I144" s="66">
        <f t="shared" si="54"/>
        <v>36400</v>
      </c>
      <c r="J144" s="66">
        <f t="shared" si="55"/>
        <v>36400</v>
      </c>
      <c r="K144" s="66">
        <f t="shared" si="56"/>
        <v>52784.004000000001</v>
      </c>
      <c r="L144" s="93">
        <f t="shared" si="57"/>
        <v>206.81818181818181</v>
      </c>
      <c r="M144" s="151"/>
      <c r="N144" s="152">
        <v>0</v>
      </c>
      <c r="O144" s="69">
        <f t="shared" si="58"/>
        <v>0</v>
      </c>
      <c r="P144" s="69">
        <f t="shared" si="59"/>
        <v>69160</v>
      </c>
      <c r="Q144" s="70">
        <f t="shared" si="60"/>
        <v>69160</v>
      </c>
      <c r="R144" s="153">
        <f t="shared" si="61"/>
        <v>2074.7999999999997</v>
      </c>
      <c r="S144" s="70">
        <v>0</v>
      </c>
      <c r="T144" s="165">
        <f t="shared" si="62"/>
        <v>71234.8</v>
      </c>
      <c r="U144" s="163">
        <f t="shared" si="63"/>
        <v>404.74318181818182</v>
      </c>
      <c r="V144" s="164">
        <f t="shared" si="64"/>
        <v>0</v>
      </c>
      <c r="W144" s="164">
        <f t="shared" si="65"/>
        <v>0</v>
      </c>
      <c r="X144" s="144">
        <f t="shared" si="66"/>
        <v>0</v>
      </c>
      <c r="Y144" s="150">
        <f t="shared" si="67"/>
        <v>0</v>
      </c>
      <c r="Z144" s="150">
        <f t="shared" si="68"/>
        <v>0</v>
      </c>
      <c r="AA144" s="150">
        <f t="shared" si="69"/>
        <v>0</v>
      </c>
      <c r="AB144" s="182">
        <f t="shared" si="70"/>
        <v>0</v>
      </c>
      <c r="AC144" s="182">
        <f t="shared" si="71"/>
        <v>0</v>
      </c>
      <c r="AD144" s="182">
        <f t="shared" si="72"/>
        <v>0</v>
      </c>
      <c r="AE144" s="180">
        <f t="shared" si="73"/>
        <v>0</v>
      </c>
      <c r="AF144" s="150">
        <f t="shared" si="74"/>
        <v>0</v>
      </c>
      <c r="AG144" s="150">
        <f t="shared" si="75"/>
        <v>0</v>
      </c>
      <c r="AH144" s="150">
        <f t="shared" si="76"/>
        <v>0</v>
      </c>
      <c r="AI144" s="154">
        <f t="shared" si="77"/>
        <v>16384.004000000001</v>
      </c>
      <c r="AJ144" s="70">
        <f t="shared" si="78"/>
        <v>16375.996000000003</v>
      </c>
      <c r="AK144" s="155">
        <f t="shared" si="79"/>
        <v>0.22988758303525808</v>
      </c>
      <c r="AL144" s="155">
        <f t="shared" si="80"/>
        <v>0.2985553026431923</v>
      </c>
    </row>
    <row r="145" spans="2:38" s="102" customFormat="1" ht="15.75" customHeight="1" x14ac:dyDescent="0.2">
      <c r="B145" s="242" t="s">
        <v>1451</v>
      </c>
      <c r="C145" s="171" t="s">
        <v>73</v>
      </c>
      <c r="D145" s="103">
        <v>176</v>
      </c>
      <c r="E145" s="104" t="s">
        <v>76</v>
      </c>
      <c r="F145" s="92">
        <v>0</v>
      </c>
      <c r="G145" s="219">
        <f>IF(F145&gt;0,F145,
IF(B145&lt;&gt;"",
IF(C145="CLT",VLOOKUP(B145,'Lista Profissionais'!$C$11:$H$348,3,0),
VLOOKUP(B145,'Lista Profissionais'!$C$11:$H$348,6,0)), 0))</f>
        <v>11700</v>
      </c>
      <c r="H145" s="219">
        <f>IF(B145&lt;&gt;"",
IF(C145="CLT",
       22*$M$5 + (G145*'Lista Profissionais'!$G$9),0),0)</f>
        <v>0</v>
      </c>
      <c r="I145" s="66">
        <f t="shared" si="54"/>
        <v>11700.000000000002</v>
      </c>
      <c r="J145" s="66">
        <f t="shared" si="55"/>
        <v>11700.000000000002</v>
      </c>
      <c r="K145" s="66">
        <f t="shared" si="56"/>
        <v>16966.287000000004</v>
      </c>
      <c r="L145" s="93">
        <f t="shared" si="57"/>
        <v>66.477272727272734</v>
      </c>
      <c r="M145" s="151"/>
      <c r="N145" s="152">
        <v>0</v>
      </c>
      <c r="O145" s="69">
        <f t="shared" si="58"/>
        <v>0</v>
      </c>
      <c r="P145" s="69">
        <f t="shared" si="59"/>
        <v>22230.000000000004</v>
      </c>
      <c r="Q145" s="70">
        <f t="shared" si="60"/>
        <v>22230.000000000004</v>
      </c>
      <c r="R145" s="153">
        <f t="shared" si="61"/>
        <v>666.90000000000009</v>
      </c>
      <c r="S145" s="70">
        <v>0</v>
      </c>
      <c r="T145" s="165">
        <f t="shared" si="62"/>
        <v>22896.900000000005</v>
      </c>
      <c r="U145" s="163">
        <f t="shared" si="63"/>
        <v>130.09602272727275</v>
      </c>
      <c r="V145" s="164">
        <f t="shared" si="64"/>
        <v>0</v>
      </c>
      <c r="W145" s="164">
        <f t="shared" si="65"/>
        <v>0</v>
      </c>
      <c r="X145" s="144">
        <f t="shared" si="66"/>
        <v>0</v>
      </c>
      <c r="Y145" s="150">
        <f t="shared" si="67"/>
        <v>0</v>
      </c>
      <c r="Z145" s="150">
        <f t="shared" si="68"/>
        <v>0</v>
      </c>
      <c r="AA145" s="150">
        <f t="shared" si="69"/>
        <v>0</v>
      </c>
      <c r="AB145" s="182">
        <f t="shared" si="70"/>
        <v>0</v>
      </c>
      <c r="AC145" s="182">
        <f t="shared" si="71"/>
        <v>0</v>
      </c>
      <c r="AD145" s="182">
        <f t="shared" si="72"/>
        <v>0</v>
      </c>
      <c r="AE145" s="180">
        <f t="shared" si="73"/>
        <v>0</v>
      </c>
      <c r="AF145" s="150">
        <f t="shared" si="74"/>
        <v>0</v>
      </c>
      <c r="AG145" s="150">
        <f t="shared" si="75"/>
        <v>0</v>
      </c>
      <c r="AH145" s="150">
        <f t="shared" si="76"/>
        <v>0</v>
      </c>
      <c r="AI145" s="154">
        <f t="shared" si="77"/>
        <v>5266.2870000000012</v>
      </c>
      <c r="AJ145" s="70">
        <f t="shared" si="78"/>
        <v>5263.7130000000034</v>
      </c>
      <c r="AK145" s="155">
        <f t="shared" si="79"/>
        <v>0.22988758303525814</v>
      </c>
      <c r="AL145" s="155">
        <f t="shared" si="80"/>
        <v>0.29855530264319236</v>
      </c>
    </row>
    <row r="146" spans="2:38" s="102" customFormat="1" ht="15.75" customHeight="1" x14ac:dyDescent="0.2">
      <c r="B146" s="242" t="s">
        <v>1452</v>
      </c>
      <c r="C146" s="171" t="s">
        <v>73</v>
      </c>
      <c r="D146" s="103">
        <v>176</v>
      </c>
      <c r="E146" s="104" t="s">
        <v>76</v>
      </c>
      <c r="F146" s="92">
        <v>0</v>
      </c>
      <c r="G146" s="219">
        <f>IF(F146&gt;0,F146,
IF(B146&lt;&gt;"",
IF(C146="CLT",VLOOKUP(B146,'Lista Profissionais'!$C$11:$H$348,3,0),
VLOOKUP(B146,'Lista Profissionais'!$C$11:$H$348,6,0)), 0))</f>
        <v>21580</v>
      </c>
      <c r="H146" s="219">
        <f>IF(B146&lt;&gt;"",
IF(C146="CLT",
       22*$M$5 + (G146*'Lista Profissionais'!$G$9),0),0)</f>
        <v>0</v>
      </c>
      <c r="I146" s="66">
        <f t="shared" si="54"/>
        <v>21580</v>
      </c>
      <c r="J146" s="66">
        <f t="shared" si="55"/>
        <v>21580</v>
      </c>
      <c r="K146" s="66">
        <f t="shared" si="56"/>
        <v>31293.373800000001</v>
      </c>
      <c r="L146" s="93">
        <f t="shared" si="57"/>
        <v>122.61363636363636</v>
      </c>
      <c r="M146" s="151"/>
      <c r="N146" s="152">
        <v>0</v>
      </c>
      <c r="O146" s="69">
        <f t="shared" si="58"/>
        <v>0</v>
      </c>
      <c r="P146" s="69">
        <f t="shared" si="59"/>
        <v>41002</v>
      </c>
      <c r="Q146" s="70">
        <f t="shared" si="60"/>
        <v>41002</v>
      </c>
      <c r="R146" s="153">
        <f t="shared" si="61"/>
        <v>1230.06</v>
      </c>
      <c r="S146" s="70">
        <v>0</v>
      </c>
      <c r="T146" s="165">
        <f t="shared" si="62"/>
        <v>42232.06</v>
      </c>
      <c r="U146" s="163">
        <f t="shared" si="63"/>
        <v>239.95488636363635</v>
      </c>
      <c r="V146" s="164">
        <f t="shared" si="64"/>
        <v>0</v>
      </c>
      <c r="W146" s="164">
        <f t="shared" si="65"/>
        <v>0</v>
      </c>
      <c r="X146" s="144">
        <f t="shared" si="66"/>
        <v>0</v>
      </c>
      <c r="Y146" s="150">
        <f t="shared" si="67"/>
        <v>0</v>
      </c>
      <c r="Z146" s="150">
        <f t="shared" si="68"/>
        <v>0</v>
      </c>
      <c r="AA146" s="150">
        <f t="shared" si="69"/>
        <v>0</v>
      </c>
      <c r="AB146" s="182">
        <f t="shared" si="70"/>
        <v>0</v>
      </c>
      <c r="AC146" s="182">
        <f t="shared" si="71"/>
        <v>0</v>
      </c>
      <c r="AD146" s="182">
        <f t="shared" si="72"/>
        <v>0</v>
      </c>
      <c r="AE146" s="180">
        <f t="shared" si="73"/>
        <v>0</v>
      </c>
      <c r="AF146" s="150">
        <f t="shared" si="74"/>
        <v>0</v>
      </c>
      <c r="AG146" s="150">
        <f t="shared" si="75"/>
        <v>0</v>
      </c>
      <c r="AH146" s="150">
        <f t="shared" si="76"/>
        <v>0</v>
      </c>
      <c r="AI146" s="154">
        <f t="shared" si="77"/>
        <v>9713.3737999999994</v>
      </c>
      <c r="AJ146" s="70">
        <f t="shared" si="78"/>
        <v>9708.626199999997</v>
      </c>
      <c r="AK146" s="155">
        <f t="shared" si="79"/>
        <v>0.229887583035258</v>
      </c>
      <c r="AL146" s="155">
        <f t="shared" si="80"/>
        <v>0.29855530264319219</v>
      </c>
    </row>
    <row r="147" spans="2:38" s="102" customFormat="1" ht="15.75" customHeight="1" x14ac:dyDescent="0.2">
      <c r="B147" s="242" t="s">
        <v>1453</v>
      </c>
      <c r="C147" s="171" t="s">
        <v>73</v>
      </c>
      <c r="D147" s="103">
        <v>176</v>
      </c>
      <c r="E147" s="104" t="s">
        <v>76</v>
      </c>
      <c r="F147" s="92">
        <v>0</v>
      </c>
      <c r="G147" s="219">
        <f>IF(F147&gt;0,F147,
IF(B147&lt;&gt;"",
IF(C147="CLT",VLOOKUP(B147,'Lista Profissionais'!$C$11:$H$348,3,0),
VLOOKUP(B147,'Lista Profissionais'!$C$11:$H$348,6,0)), 0))</f>
        <v>28340</v>
      </c>
      <c r="H147" s="219">
        <f>IF(B147&lt;&gt;"",
IF(C147="CLT",
       22*$M$5 + (G147*'Lista Profissionais'!$G$9),0),0)</f>
        <v>0</v>
      </c>
      <c r="I147" s="66">
        <f t="shared" si="54"/>
        <v>28340</v>
      </c>
      <c r="J147" s="66">
        <f t="shared" si="55"/>
        <v>28340</v>
      </c>
      <c r="K147" s="66">
        <f t="shared" si="56"/>
        <v>41096.117400000003</v>
      </c>
      <c r="L147" s="93">
        <f t="shared" si="57"/>
        <v>161.02272727272728</v>
      </c>
      <c r="M147" s="151"/>
      <c r="N147" s="152">
        <v>0</v>
      </c>
      <c r="O147" s="69">
        <f t="shared" si="58"/>
        <v>0</v>
      </c>
      <c r="P147" s="69">
        <f t="shared" si="59"/>
        <v>53846</v>
      </c>
      <c r="Q147" s="70">
        <f t="shared" si="60"/>
        <v>53846</v>
      </c>
      <c r="R147" s="153">
        <f t="shared" si="61"/>
        <v>1615.3799999999999</v>
      </c>
      <c r="S147" s="70">
        <v>0</v>
      </c>
      <c r="T147" s="165">
        <f t="shared" si="62"/>
        <v>55461.38</v>
      </c>
      <c r="U147" s="163">
        <f t="shared" si="63"/>
        <v>315.12147727272725</v>
      </c>
      <c r="V147" s="164">
        <f t="shared" si="64"/>
        <v>0</v>
      </c>
      <c r="W147" s="164">
        <f t="shared" si="65"/>
        <v>0</v>
      </c>
      <c r="X147" s="144">
        <f t="shared" si="66"/>
        <v>0</v>
      </c>
      <c r="Y147" s="150">
        <f t="shared" si="67"/>
        <v>0</v>
      </c>
      <c r="Z147" s="150">
        <f t="shared" si="68"/>
        <v>0</v>
      </c>
      <c r="AA147" s="150">
        <f t="shared" si="69"/>
        <v>0</v>
      </c>
      <c r="AB147" s="182">
        <f t="shared" si="70"/>
        <v>0</v>
      </c>
      <c r="AC147" s="182">
        <f t="shared" si="71"/>
        <v>0</v>
      </c>
      <c r="AD147" s="182">
        <f t="shared" si="72"/>
        <v>0</v>
      </c>
      <c r="AE147" s="180">
        <f t="shared" si="73"/>
        <v>0</v>
      </c>
      <c r="AF147" s="150">
        <f t="shared" si="74"/>
        <v>0</v>
      </c>
      <c r="AG147" s="150">
        <f t="shared" si="75"/>
        <v>0</v>
      </c>
      <c r="AH147" s="150">
        <f t="shared" si="76"/>
        <v>0</v>
      </c>
      <c r="AI147" s="154">
        <f t="shared" si="77"/>
        <v>12756.117399999999</v>
      </c>
      <c r="AJ147" s="70">
        <f t="shared" si="78"/>
        <v>12749.882600000003</v>
      </c>
      <c r="AK147" s="155">
        <f t="shared" si="79"/>
        <v>0.22988758303525811</v>
      </c>
      <c r="AL147" s="155">
        <f t="shared" si="80"/>
        <v>0.2985553026431923</v>
      </c>
    </row>
    <row r="148" spans="2:38" s="102" customFormat="1" ht="15.75" customHeight="1" x14ac:dyDescent="0.2">
      <c r="B148" s="242" t="s">
        <v>1456</v>
      </c>
      <c r="C148" s="171" t="s">
        <v>73</v>
      </c>
      <c r="D148" s="103">
        <v>176</v>
      </c>
      <c r="E148" s="104" t="s">
        <v>76</v>
      </c>
      <c r="F148" s="92">
        <v>0</v>
      </c>
      <c r="G148" s="219">
        <f>IF(F148&gt;0,F148,
IF(B148&lt;&gt;"",
IF(C148="CLT",VLOOKUP(B148,'Lista Profissionais'!$C$11:$H$348,3,0),
VLOOKUP(B148,'Lista Profissionais'!$C$11:$H$348,6,0)), 0))</f>
        <v>31200</v>
      </c>
      <c r="H148" s="219">
        <f>IF(B148&lt;&gt;"",
IF(C148="CLT",
       22*$M$5 + (G148*'Lista Profissionais'!$G$9),0),0)</f>
        <v>0</v>
      </c>
      <c r="I148" s="66">
        <f t="shared" ref="I148:I151" si="81">(G148/$G$2)*D148</f>
        <v>31200</v>
      </c>
      <c r="J148" s="66">
        <f t="shared" ref="J148:J151" si="82">I148+AH148</f>
        <v>31200</v>
      </c>
      <c r="K148" s="66">
        <f t="shared" ref="K148:K151" si="83">J148+S148+AI148</f>
        <v>45243.432000000001</v>
      </c>
      <c r="L148" s="93">
        <f t="shared" ref="L148:L151" si="84">IF(D148&gt;0,J148/D148,0)</f>
        <v>177.27272727272728</v>
      </c>
      <c r="M148" s="151"/>
      <c r="N148" s="152">
        <v>0</v>
      </c>
      <c r="O148" s="69">
        <f t="shared" ref="O148:O151" si="85">J148*$G$6</f>
        <v>0</v>
      </c>
      <c r="P148" s="69">
        <f t="shared" ref="P148:P151" si="86">IF(M148&gt;0,M148,  J148*(1+$G$5))</f>
        <v>59280</v>
      </c>
      <c r="Q148" s="70">
        <f t="shared" ref="Q148:Q151" si="87">(P148+O148)</f>
        <v>59280</v>
      </c>
      <c r="R148" s="153">
        <f t="shared" ref="R148:R151" si="88">IF(E148="Sim", Q148*$G$3,0)</f>
        <v>1778.3999999999999</v>
      </c>
      <c r="S148" s="70">
        <v>0</v>
      </c>
      <c r="T148" s="165">
        <f t="shared" ref="T148:T151" si="89">IF($D$4="Sim",(IF(E148="Não",0,(Q148+(Q148*$O$4)+R148+S148)*$D$5)+Q148),
IF(E148="Não",0,Q148+(Q148*$O$4)+R148+S148
))</f>
        <v>61058.400000000001</v>
      </c>
      <c r="U148" s="163">
        <f t="shared" ref="U148:U151" si="90">IF(D148&gt;0,T148/D148,0)</f>
        <v>346.92272727272729</v>
      </c>
      <c r="V148" s="164">
        <f t="shared" ref="V148:V151" si="91">IF(C148="CLT",
       I148*$M$2, 0)</f>
        <v>0</v>
      </c>
      <c r="W148" s="164">
        <f t="shared" ref="W148:W151" si="92">IF(C148="CLT",
       V148*$M$3, 0)</f>
        <v>0</v>
      </c>
      <c r="X148" s="144">
        <f t="shared" ref="X148:X151" si="93">IF(C148="CLT",
       I148/12, 0)</f>
        <v>0</v>
      </c>
      <c r="Y148" s="150">
        <f t="shared" ref="Y148:Y151" si="94">IF(C148="CLT",
       X148/3, 0)</f>
        <v>0</v>
      </c>
      <c r="Z148" s="150">
        <f t="shared" ref="Z148:Z151" si="95">IF(C148="CLT",
       I148/12, 0)</f>
        <v>0</v>
      </c>
      <c r="AA148" s="150">
        <f t="shared" ref="AA148:AA151" si="96">IF(C148="CLT", I148*$S$2,0)</f>
        <v>0</v>
      </c>
      <c r="AB148" s="182">
        <f t="shared" ref="AB148:AB151" si="97">IF(C148="CLT", SUM(X148:Z148) * $M$2,0)</f>
        <v>0</v>
      </c>
      <c r="AC148" s="182">
        <f t="shared" ref="AC148:AC151" si="98">IF(C148="CLT", SUM(X148:Z148)*$S$2,0)</f>
        <v>0</v>
      </c>
      <c r="AD148" s="182">
        <f t="shared" ref="AD148:AD151" si="99">IF(C148="CLT",
       I148/30*3, 0)</f>
        <v>0</v>
      </c>
      <c r="AE148" s="180">
        <f t="shared" ref="AE148:AE151" si="100">IF(C148="CLT",  AD148*$M$2, 0)</f>
        <v>0</v>
      </c>
      <c r="AF148" s="150">
        <f t="shared" ref="AF148:AF151" si="101">IF(C148="CLT",
       I148*$M$4, 0)</f>
        <v>0</v>
      </c>
      <c r="AG148" s="150">
        <f t="shared" ref="AG148:AG151" si="102">IF(B148&lt;&gt;"",
IF(C148="CLT",
       $Q$2, 0),0)</f>
        <v>0</v>
      </c>
      <c r="AH148" s="150">
        <f t="shared" ref="AH148:AH151" si="103">SUM(V148:AG148)+H148</f>
        <v>0</v>
      </c>
      <c r="AI148" s="154">
        <f t="shared" ref="AI148:AI151" si="104">IF(E148="Sim", T148*$G$4, 0)</f>
        <v>14043.432000000001</v>
      </c>
      <c r="AJ148" s="70">
        <f t="shared" ref="AJ148:AJ151" si="105">T148-AI148-J148-R148</f>
        <v>14036.568000000001</v>
      </c>
      <c r="AK148" s="155">
        <f t="shared" ref="AK148:AK151" si="106">(IF(AJ148&gt;0,AJ148/T148,0))</f>
        <v>0.22988758303525805</v>
      </c>
      <c r="AL148" s="155">
        <f t="shared" ref="AL148:AL151" si="107">(IF(AJ148&gt;0,AJ148/(T148-AI148),0))</f>
        <v>0.2985553026431923</v>
      </c>
    </row>
    <row r="149" spans="2:38" s="102" customFormat="1" ht="15.75" customHeight="1" x14ac:dyDescent="0.2">
      <c r="B149" s="242" t="s">
        <v>1457</v>
      </c>
      <c r="C149" s="171" t="s">
        <v>73</v>
      </c>
      <c r="D149" s="103">
        <v>176</v>
      </c>
      <c r="E149" s="104" t="s">
        <v>76</v>
      </c>
      <c r="F149" s="92">
        <v>0</v>
      </c>
      <c r="G149" s="219">
        <f>IF(F149&gt;0,F149,
IF(B149&lt;&gt;"",
IF(C149="CLT",VLOOKUP(B149,'Lista Profissionais'!$C$11:$H$348,3,0),
VLOOKUP(B149,'Lista Profissionais'!$C$11:$H$348,6,0)), 0))</f>
        <v>7280</v>
      </c>
      <c r="H149" s="219">
        <f>IF(B149&lt;&gt;"",
IF(C149="CLT",
       22*$M$5 + (G149*'Lista Profissionais'!$G$9),0),0)</f>
        <v>0</v>
      </c>
      <c r="I149" s="66">
        <f t="shared" si="81"/>
        <v>7280.0000000000009</v>
      </c>
      <c r="J149" s="66">
        <f t="shared" si="82"/>
        <v>7280.0000000000009</v>
      </c>
      <c r="K149" s="66">
        <f t="shared" si="83"/>
        <v>10556.800800000001</v>
      </c>
      <c r="L149" s="93">
        <f t="shared" si="84"/>
        <v>41.363636363636367</v>
      </c>
      <c r="M149" s="151"/>
      <c r="N149" s="152">
        <v>0</v>
      </c>
      <c r="O149" s="69">
        <f t="shared" si="85"/>
        <v>0</v>
      </c>
      <c r="P149" s="69">
        <f t="shared" si="86"/>
        <v>13832.000000000002</v>
      </c>
      <c r="Q149" s="70">
        <f t="shared" si="87"/>
        <v>13832.000000000002</v>
      </c>
      <c r="R149" s="153">
        <f t="shared" si="88"/>
        <v>414.96000000000004</v>
      </c>
      <c r="S149" s="70">
        <v>0</v>
      </c>
      <c r="T149" s="165">
        <f t="shared" si="89"/>
        <v>14246.960000000003</v>
      </c>
      <c r="U149" s="163">
        <f t="shared" si="90"/>
        <v>80.948636363636382</v>
      </c>
      <c r="V149" s="164">
        <f t="shared" si="91"/>
        <v>0</v>
      </c>
      <c r="W149" s="164">
        <f t="shared" si="92"/>
        <v>0</v>
      </c>
      <c r="X149" s="144">
        <f t="shared" si="93"/>
        <v>0</v>
      </c>
      <c r="Y149" s="150">
        <f t="shared" si="94"/>
        <v>0</v>
      </c>
      <c r="Z149" s="150">
        <f t="shared" si="95"/>
        <v>0</v>
      </c>
      <c r="AA149" s="150">
        <f t="shared" si="96"/>
        <v>0</v>
      </c>
      <c r="AB149" s="182">
        <f t="shared" si="97"/>
        <v>0</v>
      </c>
      <c r="AC149" s="182">
        <f t="shared" si="98"/>
        <v>0</v>
      </c>
      <c r="AD149" s="182">
        <f t="shared" si="99"/>
        <v>0</v>
      </c>
      <c r="AE149" s="180">
        <f t="shared" si="100"/>
        <v>0</v>
      </c>
      <c r="AF149" s="150">
        <f t="shared" si="101"/>
        <v>0</v>
      </c>
      <c r="AG149" s="150">
        <f t="shared" si="102"/>
        <v>0</v>
      </c>
      <c r="AH149" s="150">
        <f t="shared" si="103"/>
        <v>0</v>
      </c>
      <c r="AI149" s="154">
        <f t="shared" si="104"/>
        <v>3276.8008000000009</v>
      </c>
      <c r="AJ149" s="70">
        <f t="shared" si="105"/>
        <v>3275.1992000000009</v>
      </c>
      <c r="AK149" s="155">
        <f t="shared" si="106"/>
        <v>0.22988758303525808</v>
      </c>
      <c r="AL149" s="155">
        <f t="shared" si="107"/>
        <v>0.2985553026431923</v>
      </c>
    </row>
    <row r="150" spans="2:38" s="102" customFormat="1" ht="15.75" customHeight="1" x14ac:dyDescent="0.2">
      <c r="B150" s="242" t="s">
        <v>1458</v>
      </c>
      <c r="C150" s="171" t="s">
        <v>73</v>
      </c>
      <c r="D150" s="103">
        <v>176</v>
      </c>
      <c r="E150" s="104" t="s">
        <v>76</v>
      </c>
      <c r="F150" s="92">
        <v>0</v>
      </c>
      <c r="G150" s="219">
        <f>IF(F150&gt;0,F150,
IF(B150&lt;&gt;"",
IF(C150="CLT",VLOOKUP(B150,'Lista Profissionais'!$C$11:$H$348,3,0),
VLOOKUP(B150,'Lista Profissionais'!$C$11:$H$348,6,0)), 0))</f>
        <v>14300</v>
      </c>
      <c r="H150" s="219">
        <f>IF(B150&lt;&gt;"",
IF(C150="CLT",
       22*$M$5 + (G150*'Lista Profissionais'!$G$9),0),0)</f>
        <v>0</v>
      </c>
      <c r="I150" s="66">
        <f t="shared" si="81"/>
        <v>14300</v>
      </c>
      <c r="J150" s="66">
        <f t="shared" si="82"/>
        <v>14300</v>
      </c>
      <c r="K150" s="66">
        <f t="shared" si="83"/>
        <v>20736.573</v>
      </c>
      <c r="L150" s="93">
        <f t="shared" si="84"/>
        <v>81.25</v>
      </c>
      <c r="M150" s="151"/>
      <c r="N150" s="152">
        <v>0</v>
      </c>
      <c r="O150" s="69">
        <f t="shared" si="85"/>
        <v>0</v>
      </c>
      <c r="P150" s="69">
        <f t="shared" si="86"/>
        <v>27170</v>
      </c>
      <c r="Q150" s="70">
        <f t="shared" si="87"/>
        <v>27170</v>
      </c>
      <c r="R150" s="153">
        <f t="shared" si="88"/>
        <v>815.1</v>
      </c>
      <c r="S150" s="70">
        <v>0</v>
      </c>
      <c r="T150" s="165">
        <f t="shared" si="89"/>
        <v>27985.1</v>
      </c>
      <c r="U150" s="163">
        <f t="shared" si="90"/>
        <v>159.00624999999999</v>
      </c>
      <c r="V150" s="164">
        <f t="shared" si="91"/>
        <v>0</v>
      </c>
      <c r="W150" s="164">
        <f t="shared" si="92"/>
        <v>0</v>
      </c>
      <c r="X150" s="144">
        <f t="shared" si="93"/>
        <v>0</v>
      </c>
      <c r="Y150" s="150">
        <f t="shared" si="94"/>
        <v>0</v>
      </c>
      <c r="Z150" s="150">
        <f t="shared" si="95"/>
        <v>0</v>
      </c>
      <c r="AA150" s="150">
        <f t="shared" si="96"/>
        <v>0</v>
      </c>
      <c r="AB150" s="182">
        <f t="shared" si="97"/>
        <v>0</v>
      </c>
      <c r="AC150" s="182">
        <f t="shared" si="98"/>
        <v>0</v>
      </c>
      <c r="AD150" s="182">
        <f t="shared" si="99"/>
        <v>0</v>
      </c>
      <c r="AE150" s="180">
        <f t="shared" si="100"/>
        <v>0</v>
      </c>
      <c r="AF150" s="150">
        <f t="shared" si="101"/>
        <v>0</v>
      </c>
      <c r="AG150" s="150">
        <f t="shared" si="102"/>
        <v>0</v>
      </c>
      <c r="AH150" s="150">
        <f t="shared" si="103"/>
        <v>0</v>
      </c>
      <c r="AI150" s="154">
        <f t="shared" si="104"/>
        <v>6436.5730000000003</v>
      </c>
      <c r="AJ150" s="70">
        <f t="shared" si="105"/>
        <v>6433.4269999999979</v>
      </c>
      <c r="AK150" s="155">
        <f t="shared" si="106"/>
        <v>0.22988758303525797</v>
      </c>
      <c r="AL150" s="155">
        <f t="shared" si="107"/>
        <v>0.29855530264319219</v>
      </c>
    </row>
    <row r="151" spans="2:38" s="102" customFormat="1" ht="15.75" customHeight="1" x14ac:dyDescent="0.2">
      <c r="B151" s="242" t="s">
        <v>1459</v>
      </c>
      <c r="C151" s="171" t="s">
        <v>73</v>
      </c>
      <c r="D151" s="103">
        <v>176</v>
      </c>
      <c r="E151" s="104" t="s">
        <v>76</v>
      </c>
      <c r="F151" s="92">
        <v>0</v>
      </c>
      <c r="G151" s="219">
        <f>IF(F151&gt;0,F151,
IF(B151&lt;&gt;"",
IF(C151="CLT",VLOOKUP(B151,'Lista Profissionais'!$C$11:$H$348,3,0),
VLOOKUP(B151,'Lista Profissionais'!$C$11:$H$348,6,0)), 0))</f>
        <v>26000</v>
      </c>
      <c r="H151" s="219">
        <f>IF(B151&lt;&gt;"",
IF(C151="CLT",
       22*$M$5 + (G151*'Lista Profissionais'!$G$9),0),0)</f>
        <v>0</v>
      </c>
      <c r="I151" s="66">
        <f t="shared" si="81"/>
        <v>26000</v>
      </c>
      <c r="J151" s="66">
        <f t="shared" si="82"/>
        <v>26000</v>
      </c>
      <c r="K151" s="66">
        <f t="shared" si="83"/>
        <v>37702.86</v>
      </c>
      <c r="L151" s="93">
        <f t="shared" si="84"/>
        <v>147.72727272727272</v>
      </c>
      <c r="M151" s="151"/>
      <c r="N151" s="152">
        <v>0</v>
      </c>
      <c r="O151" s="69">
        <f t="shared" si="85"/>
        <v>0</v>
      </c>
      <c r="P151" s="69">
        <f t="shared" si="86"/>
        <v>49400</v>
      </c>
      <c r="Q151" s="70">
        <f t="shared" si="87"/>
        <v>49400</v>
      </c>
      <c r="R151" s="153">
        <f t="shared" si="88"/>
        <v>1482</v>
      </c>
      <c r="S151" s="70">
        <v>0</v>
      </c>
      <c r="T151" s="165">
        <f t="shared" si="89"/>
        <v>50882</v>
      </c>
      <c r="U151" s="163">
        <f t="shared" si="90"/>
        <v>289.10227272727275</v>
      </c>
      <c r="V151" s="164">
        <f t="shared" si="91"/>
        <v>0</v>
      </c>
      <c r="W151" s="164">
        <f t="shared" si="92"/>
        <v>0</v>
      </c>
      <c r="X151" s="144">
        <f t="shared" si="93"/>
        <v>0</v>
      </c>
      <c r="Y151" s="150">
        <f t="shared" si="94"/>
        <v>0</v>
      </c>
      <c r="Z151" s="150">
        <f t="shared" si="95"/>
        <v>0</v>
      </c>
      <c r="AA151" s="150">
        <f t="shared" si="96"/>
        <v>0</v>
      </c>
      <c r="AB151" s="182">
        <f t="shared" si="97"/>
        <v>0</v>
      </c>
      <c r="AC151" s="182">
        <f t="shared" si="98"/>
        <v>0</v>
      </c>
      <c r="AD151" s="182">
        <f t="shared" si="99"/>
        <v>0</v>
      </c>
      <c r="AE151" s="180">
        <f t="shared" si="100"/>
        <v>0</v>
      </c>
      <c r="AF151" s="150">
        <f t="shared" si="101"/>
        <v>0</v>
      </c>
      <c r="AG151" s="150">
        <f t="shared" si="102"/>
        <v>0</v>
      </c>
      <c r="AH151" s="150">
        <f t="shared" si="103"/>
        <v>0</v>
      </c>
      <c r="AI151" s="154">
        <f t="shared" si="104"/>
        <v>11702.86</v>
      </c>
      <c r="AJ151" s="70">
        <f t="shared" si="105"/>
        <v>11697.14</v>
      </c>
      <c r="AK151" s="155">
        <f t="shared" si="106"/>
        <v>0.22988758303525803</v>
      </c>
      <c r="AL151" s="155">
        <f t="shared" si="107"/>
        <v>0.29855530264319224</v>
      </c>
    </row>
    <row r="152" spans="2:38" s="102" customFormat="1" ht="15.75" customHeight="1" x14ac:dyDescent="0.2">
      <c r="B152" s="242" t="s">
        <v>1462</v>
      </c>
      <c r="C152" s="171" t="s">
        <v>73</v>
      </c>
      <c r="D152" s="103">
        <v>176</v>
      </c>
      <c r="E152" s="104" t="s">
        <v>76</v>
      </c>
      <c r="F152" s="92">
        <v>0</v>
      </c>
      <c r="G152" s="219">
        <f>IF(F152&gt;0,F152,
IF(B152&lt;&gt;"",
IF(C152="CLT",VLOOKUP(B152,'Lista Profissionais'!$C$11:$H$348,3,0),
VLOOKUP(B152,'Lista Profissionais'!$C$11:$H$348,6,0)), 0))</f>
        <v>15600</v>
      </c>
      <c r="H152" s="219">
        <f>IF(B152&lt;&gt;"",
IF(C152="CLT",
       22*$M$5 + (G152*'Lista Profissionais'!$G$9),0),0)</f>
        <v>0</v>
      </c>
      <c r="I152" s="66">
        <f t="shared" ref="I152:I155" si="108">(G152/$G$2)*D152</f>
        <v>15600</v>
      </c>
      <c r="J152" s="66">
        <f t="shared" ref="J152:J155" si="109">I152+AH152</f>
        <v>15600</v>
      </c>
      <c r="K152" s="66">
        <f t="shared" ref="K152:K155" si="110">J152+S152+AI152</f>
        <v>22621.716</v>
      </c>
      <c r="L152" s="93">
        <f t="shared" ref="L152:L155" si="111">IF(D152&gt;0,J152/D152,0)</f>
        <v>88.63636363636364</v>
      </c>
      <c r="M152" s="151"/>
      <c r="N152" s="152">
        <v>0</v>
      </c>
      <c r="O152" s="69">
        <f t="shared" ref="O152:O155" si="112">J152*$G$6</f>
        <v>0</v>
      </c>
      <c r="P152" s="69">
        <f t="shared" ref="P152:P155" si="113">IF(M152&gt;0,M152,  J152*(1+$G$5))</f>
        <v>29640</v>
      </c>
      <c r="Q152" s="70">
        <f t="shared" ref="Q152:Q155" si="114">(P152+O152)</f>
        <v>29640</v>
      </c>
      <c r="R152" s="153">
        <f t="shared" ref="R152:R155" si="115">IF(E152="Sim", Q152*$G$3,0)</f>
        <v>889.19999999999993</v>
      </c>
      <c r="S152" s="70">
        <v>0</v>
      </c>
      <c r="T152" s="165">
        <f t="shared" ref="T152:T155" si="116">IF($D$4="Sim",(IF(E152="Não",0,(Q152+(Q152*$O$4)+R152+S152)*$D$5)+Q152),
IF(E152="Não",0,Q152+(Q152*$O$4)+R152+S152
))</f>
        <v>30529.200000000001</v>
      </c>
      <c r="U152" s="163">
        <f t="shared" ref="U152:U155" si="117">IF(D152&gt;0,T152/D152,0)</f>
        <v>173.46136363636364</v>
      </c>
      <c r="V152" s="164">
        <f t="shared" ref="V152:V155" si="118">IF(C152="CLT",
       I152*$M$2, 0)</f>
        <v>0</v>
      </c>
      <c r="W152" s="164">
        <f t="shared" ref="W152:W155" si="119">IF(C152="CLT",
       V152*$M$3, 0)</f>
        <v>0</v>
      </c>
      <c r="X152" s="144">
        <f t="shared" ref="X152:X155" si="120">IF(C152="CLT",
       I152/12, 0)</f>
        <v>0</v>
      </c>
      <c r="Y152" s="150">
        <f t="shared" ref="Y152:Y155" si="121">IF(C152="CLT",
       X152/3, 0)</f>
        <v>0</v>
      </c>
      <c r="Z152" s="150">
        <f t="shared" ref="Z152:Z155" si="122">IF(C152="CLT",
       I152/12, 0)</f>
        <v>0</v>
      </c>
      <c r="AA152" s="150">
        <f t="shared" ref="AA152:AA155" si="123">IF(C152="CLT", I152*$S$2,0)</f>
        <v>0</v>
      </c>
      <c r="AB152" s="182">
        <f t="shared" ref="AB152:AB155" si="124">IF(C152="CLT", SUM(X152:Z152) * $M$2,0)</f>
        <v>0</v>
      </c>
      <c r="AC152" s="182">
        <f t="shared" ref="AC152:AC155" si="125">IF(C152="CLT", SUM(X152:Z152)*$S$2,0)</f>
        <v>0</v>
      </c>
      <c r="AD152" s="182">
        <f t="shared" ref="AD152:AD155" si="126">IF(C152="CLT",
       I152/30*3, 0)</f>
        <v>0</v>
      </c>
      <c r="AE152" s="180">
        <f t="shared" ref="AE152:AE155" si="127">IF(C152="CLT",  AD152*$M$2, 0)</f>
        <v>0</v>
      </c>
      <c r="AF152" s="150">
        <f t="shared" ref="AF152:AF155" si="128">IF(C152="CLT",
       I152*$M$4, 0)</f>
        <v>0</v>
      </c>
      <c r="AG152" s="150">
        <f t="shared" ref="AG152:AG155" si="129">IF(B152&lt;&gt;"",
IF(C152="CLT",
       $Q$2, 0),0)</f>
        <v>0</v>
      </c>
      <c r="AH152" s="150">
        <f t="shared" ref="AH152:AH155" si="130">SUM(V152:AG152)+H152</f>
        <v>0</v>
      </c>
      <c r="AI152" s="154">
        <f t="shared" ref="AI152:AI155" si="131">IF(E152="Sim", T152*$G$4, 0)</f>
        <v>7021.7160000000003</v>
      </c>
      <c r="AJ152" s="70">
        <f t="shared" ref="AJ152:AJ155" si="132">T152-AI152-J152-R152</f>
        <v>7018.2840000000006</v>
      </c>
      <c r="AK152" s="155">
        <f t="shared" ref="AK152:AK155" si="133">(IF(AJ152&gt;0,AJ152/T152,0))</f>
        <v>0.22988758303525805</v>
      </c>
      <c r="AL152" s="155">
        <f t="shared" ref="AL152:AL155" si="134">(IF(AJ152&gt;0,AJ152/(T152-AI152),0))</f>
        <v>0.2985553026431923</v>
      </c>
    </row>
    <row r="153" spans="2:38" s="102" customFormat="1" ht="15.75" customHeight="1" x14ac:dyDescent="0.2">
      <c r="B153" s="242" t="s">
        <v>1463</v>
      </c>
      <c r="C153" s="171" t="s">
        <v>73</v>
      </c>
      <c r="D153" s="103">
        <v>176</v>
      </c>
      <c r="E153" s="104" t="s">
        <v>76</v>
      </c>
      <c r="F153" s="92">
        <v>0</v>
      </c>
      <c r="G153" s="219">
        <f>IF(F153&gt;0,F153,
IF(B153&lt;&gt;"",
IF(C153="CLT",VLOOKUP(B153,'Lista Profissionais'!$C$11:$H$348,3,0),
VLOOKUP(B153,'Lista Profissionais'!$C$11:$H$348,6,0)), 0))</f>
        <v>5460</v>
      </c>
      <c r="H153" s="219">
        <f>IF(B153&lt;&gt;"",
IF(C153="CLT",
       22*$M$5 + (G153*'Lista Profissionais'!$G$9),0),0)</f>
        <v>0</v>
      </c>
      <c r="I153" s="66">
        <f t="shared" si="108"/>
        <v>5460</v>
      </c>
      <c r="J153" s="66">
        <f t="shared" si="109"/>
        <v>5460</v>
      </c>
      <c r="K153" s="66">
        <f t="shared" si="110"/>
        <v>7917.6005999999998</v>
      </c>
      <c r="L153" s="93">
        <f t="shared" si="111"/>
        <v>31.022727272727273</v>
      </c>
      <c r="M153" s="151"/>
      <c r="N153" s="152">
        <v>0</v>
      </c>
      <c r="O153" s="69">
        <f t="shared" si="112"/>
        <v>0</v>
      </c>
      <c r="P153" s="69">
        <f t="shared" si="113"/>
        <v>10374</v>
      </c>
      <c r="Q153" s="70">
        <f t="shared" si="114"/>
        <v>10374</v>
      </c>
      <c r="R153" s="153">
        <f t="shared" si="115"/>
        <v>311.21999999999997</v>
      </c>
      <c r="S153" s="70">
        <v>0</v>
      </c>
      <c r="T153" s="165">
        <f t="shared" si="116"/>
        <v>10685.22</v>
      </c>
      <c r="U153" s="163">
        <f t="shared" si="117"/>
        <v>60.711477272727272</v>
      </c>
      <c r="V153" s="164">
        <f t="shared" si="118"/>
        <v>0</v>
      </c>
      <c r="W153" s="164">
        <f t="shared" si="119"/>
        <v>0</v>
      </c>
      <c r="X153" s="144">
        <f t="shared" si="120"/>
        <v>0</v>
      </c>
      <c r="Y153" s="150">
        <f t="shared" si="121"/>
        <v>0</v>
      </c>
      <c r="Z153" s="150">
        <f t="shared" si="122"/>
        <v>0</v>
      </c>
      <c r="AA153" s="150">
        <f t="shared" si="123"/>
        <v>0</v>
      </c>
      <c r="AB153" s="182">
        <f t="shared" si="124"/>
        <v>0</v>
      </c>
      <c r="AC153" s="182">
        <f t="shared" si="125"/>
        <v>0</v>
      </c>
      <c r="AD153" s="182">
        <f t="shared" si="126"/>
        <v>0</v>
      </c>
      <c r="AE153" s="180">
        <f t="shared" si="127"/>
        <v>0</v>
      </c>
      <c r="AF153" s="150">
        <f t="shared" si="128"/>
        <v>0</v>
      </c>
      <c r="AG153" s="150">
        <f t="shared" si="129"/>
        <v>0</v>
      </c>
      <c r="AH153" s="150">
        <f t="shared" si="130"/>
        <v>0</v>
      </c>
      <c r="AI153" s="154">
        <f t="shared" si="131"/>
        <v>2457.6005999999998</v>
      </c>
      <c r="AJ153" s="70">
        <f t="shared" si="132"/>
        <v>2456.3993999999998</v>
      </c>
      <c r="AK153" s="155">
        <f t="shared" si="133"/>
        <v>0.22988758303525805</v>
      </c>
      <c r="AL153" s="155">
        <f t="shared" si="134"/>
        <v>0.29855530264319224</v>
      </c>
    </row>
    <row r="154" spans="2:38" s="102" customFormat="1" ht="15.75" customHeight="1" x14ac:dyDescent="0.2">
      <c r="B154" s="242" t="s">
        <v>1464</v>
      </c>
      <c r="C154" s="171" t="s">
        <v>73</v>
      </c>
      <c r="D154" s="103">
        <v>176</v>
      </c>
      <c r="E154" s="104" t="s">
        <v>76</v>
      </c>
      <c r="F154" s="92">
        <v>0</v>
      </c>
      <c r="G154" s="219">
        <f>IF(F154&gt;0,F154,
IF(B154&lt;&gt;"",
IF(C154="CLT",VLOOKUP(B154,'Lista Profissionais'!$C$11:$H$348,3,0),
VLOOKUP(B154,'Lista Profissionais'!$C$11:$H$348,6,0)), 0))</f>
        <v>9750</v>
      </c>
      <c r="H154" s="219">
        <f>IF(B154&lt;&gt;"",
IF(C154="CLT",
       22*$M$5 + (G154*'Lista Profissionais'!$G$9),0),0)</f>
        <v>0</v>
      </c>
      <c r="I154" s="66">
        <f t="shared" si="108"/>
        <v>9750</v>
      </c>
      <c r="J154" s="66">
        <f t="shared" si="109"/>
        <v>9750</v>
      </c>
      <c r="K154" s="66">
        <f t="shared" si="110"/>
        <v>14138.5725</v>
      </c>
      <c r="L154" s="93">
        <f t="shared" si="111"/>
        <v>55.397727272727273</v>
      </c>
      <c r="M154" s="151"/>
      <c r="N154" s="152">
        <v>0</v>
      </c>
      <c r="O154" s="69">
        <f t="shared" si="112"/>
        <v>0</v>
      </c>
      <c r="P154" s="69">
        <f t="shared" si="113"/>
        <v>18525</v>
      </c>
      <c r="Q154" s="70">
        <f t="shared" si="114"/>
        <v>18525</v>
      </c>
      <c r="R154" s="153">
        <f t="shared" si="115"/>
        <v>555.75</v>
      </c>
      <c r="S154" s="70">
        <v>0</v>
      </c>
      <c r="T154" s="165">
        <f t="shared" si="116"/>
        <v>19080.75</v>
      </c>
      <c r="U154" s="163">
        <f t="shared" si="117"/>
        <v>108.41335227272727</v>
      </c>
      <c r="V154" s="164">
        <f t="shared" si="118"/>
        <v>0</v>
      </c>
      <c r="W154" s="164">
        <f t="shared" si="119"/>
        <v>0</v>
      </c>
      <c r="X154" s="144">
        <f t="shared" si="120"/>
        <v>0</v>
      </c>
      <c r="Y154" s="150">
        <f t="shared" si="121"/>
        <v>0</v>
      </c>
      <c r="Z154" s="150">
        <f t="shared" si="122"/>
        <v>0</v>
      </c>
      <c r="AA154" s="150">
        <f t="shared" si="123"/>
        <v>0</v>
      </c>
      <c r="AB154" s="182">
        <f t="shared" si="124"/>
        <v>0</v>
      </c>
      <c r="AC154" s="182">
        <f t="shared" si="125"/>
        <v>0</v>
      </c>
      <c r="AD154" s="182">
        <f t="shared" si="126"/>
        <v>0</v>
      </c>
      <c r="AE154" s="180">
        <f t="shared" si="127"/>
        <v>0</v>
      </c>
      <c r="AF154" s="150">
        <f t="shared" si="128"/>
        <v>0</v>
      </c>
      <c r="AG154" s="150">
        <f t="shared" si="129"/>
        <v>0</v>
      </c>
      <c r="AH154" s="150">
        <f t="shared" si="130"/>
        <v>0</v>
      </c>
      <c r="AI154" s="154">
        <f t="shared" si="131"/>
        <v>4388.5725000000002</v>
      </c>
      <c r="AJ154" s="70">
        <f t="shared" si="132"/>
        <v>4386.4274999999998</v>
      </c>
      <c r="AK154" s="155">
        <f t="shared" si="133"/>
        <v>0.22988758303525803</v>
      </c>
      <c r="AL154" s="155">
        <f t="shared" si="134"/>
        <v>0.29855530264319224</v>
      </c>
    </row>
    <row r="155" spans="2:38" s="102" customFormat="1" ht="15.75" customHeight="1" x14ac:dyDescent="0.2">
      <c r="B155" s="242" t="s">
        <v>1465</v>
      </c>
      <c r="C155" s="171" t="s">
        <v>73</v>
      </c>
      <c r="D155" s="103">
        <v>176</v>
      </c>
      <c r="E155" s="104" t="s">
        <v>76</v>
      </c>
      <c r="F155" s="92">
        <v>0</v>
      </c>
      <c r="G155" s="219">
        <f>IF(F155&gt;0,F155,
IF(B155&lt;&gt;"",
IF(C155="CLT",VLOOKUP(B155,'Lista Profissionais'!$C$11:$H$348,3,0),
VLOOKUP(B155,'Lista Profissionais'!$C$11:$H$348,6,0)), 0))</f>
        <v>13000</v>
      </c>
      <c r="H155" s="219">
        <f>IF(B155&lt;&gt;"",
IF(C155="CLT",
       22*$M$5 + (G155*'Lista Profissionais'!$G$9),0),0)</f>
        <v>0</v>
      </c>
      <c r="I155" s="66">
        <f t="shared" si="108"/>
        <v>13000</v>
      </c>
      <c r="J155" s="66">
        <f t="shared" si="109"/>
        <v>13000</v>
      </c>
      <c r="K155" s="66">
        <f t="shared" si="110"/>
        <v>18851.43</v>
      </c>
      <c r="L155" s="93">
        <f t="shared" si="111"/>
        <v>73.86363636363636</v>
      </c>
      <c r="M155" s="151"/>
      <c r="N155" s="152">
        <v>0</v>
      </c>
      <c r="O155" s="69">
        <f t="shared" si="112"/>
        <v>0</v>
      </c>
      <c r="P155" s="69">
        <f t="shared" si="113"/>
        <v>24700</v>
      </c>
      <c r="Q155" s="70">
        <f t="shared" si="114"/>
        <v>24700</v>
      </c>
      <c r="R155" s="153">
        <f t="shared" si="115"/>
        <v>741</v>
      </c>
      <c r="S155" s="70">
        <v>0</v>
      </c>
      <c r="T155" s="165">
        <f t="shared" si="116"/>
        <v>25441</v>
      </c>
      <c r="U155" s="163">
        <f t="shared" si="117"/>
        <v>144.55113636363637</v>
      </c>
      <c r="V155" s="164">
        <f t="shared" si="118"/>
        <v>0</v>
      </c>
      <c r="W155" s="164">
        <f t="shared" si="119"/>
        <v>0</v>
      </c>
      <c r="X155" s="144">
        <f t="shared" si="120"/>
        <v>0</v>
      </c>
      <c r="Y155" s="150">
        <f t="shared" si="121"/>
        <v>0</v>
      </c>
      <c r="Z155" s="150">
        <f t="shared" si="122"/>
        <v>0</v>
      </c>
      <c r="AA155" s="150">
        <f t="shared" si="123"/>
        <v>0</v>
      </c>
      <c r="AB155" s="182">
        <f t="shared" si="124"/>
        <v>0</v>
      </c>
      <c r="AC155" s="182">
        <f t="shared" si="125"/>
        <v>0</v>
      </c>
      <c r="AD155" s="182">
        <f t="shared" si="126"/>
        <v>0</v>
      </c>
      <c r="AE155" s="180">
        <f t="shared" si="127"/>
        <v>0</v>
      </c>
      <c r="AF155" s="150">
        <f t="shared" si="128"/>
        <v>0</v>
      </c>
      <c r="AG155" s="150">
        <f t="shared" si="129"/>
        <v>0</v>
      </c>
      <c r="AH155" s="150">
        <f t="shared" si="130"/>
        <v>0</v>
      </c>
      <c r="AI155" s="154">
        <f t="shared" si="131"/>
        <v>5851.43</v>
      </c>
      <c r="AJ155" s="70">
        <f t="shared" si="132"/>
        <v>5848.57</v>
      </c>
      <c r="AK155" s="155">
        <f t="shared" si="133"/>
        <v>0.22988758303525803</v>
      </c>
      <c r="AL155" s="155">
        <f t="shared" si="134"/>
        <v>0.29855530264319224</v>
      </c>
    </row>
    <row r="156" spans="2:38" s="102" customFormat="1" ht="15.75" customHeight="1" x14ac:dyDescent="0.2">
      <c r="B156" s="242" t="s">
        <v>1472</v>
      </c>
      <c r="C156" s="171" t="s">
        <v>73</v>
      </c>
      <c r="D156" s="103">
        <v>176</v>
      </c>
      <c r="E156" s="104" t="s">
        <v>76</v>
      </c>
      <c r="F156" s="92">
        <v>0</v>
      </c>
      <c r="G156" s="219">
        <f>IF(F156&gt;0,F156,
IF(B156&lt;&gt;"",
IF(C156="CLT",VLOOKUP(B156,'Lista Profissionais'!$C$11:$H$348,3,0),
VLOOKUP(B156,'Lista Profissionais'!$C$11:$H$348,6,0)), 0))</f>
        <v>31200</v>
      </c>
      <c r="H156" s="219">
        <f>IF(B156&lt;&gt;"",
IF(C156="CLT",
       22*$M$5 + (G156*'Lista Profissionais'!$G$9),0),0)</f>
        <v>0</v>
      </c>
      <c r="I156" s="66">
        <f t="shared" ref="I156:I159" si="135">(G156/$G$2)*D156</f>
        <v>31200</v>
      </c>
      <c r="J156" s="66">
        <f t="shared" ref="J156:J159" si="136">I156+AH156</f>
        <v>31200</v>
      </c>
      <c r="K156" s="66">
        <f t="shared" ref="K156:K159" si="137">J156+S156+AI156</f>
        <v>45243.432000000001</v>
      </c>
      <c r="L156" s="93">
        <f t="shared" ref="L156:L159" si="138">IF(D156&gt;0,J156/D156,0)</f>
        <v>177.27272727272728</v>
      </c>
      <c r="M156" s="151"/>
      <c r="N156" s="152">
        <v>0</v>
      </c>
      <c r="O156" s="69">
        <f t="shared" ref="O156:O159" si="139">J156*$G$6</f>
        <v>0</v>
      </c>
      <c r="P156" s="69">
        <f t="shared" ref="P156:P159" si="140">IF(M156&gt;0,M156,  J156*(1+$G$5))</f>
        <v>59280</v>
      </c>
      <c r="Q156" s="70">
        <f t="shared" ref="Q156:Q159" si="141">(P156+O156)</f>
        <v>59280</v>
      </c>
      <c r="R156" s="153">
        <f t="shared" ref="R156:R159" si="142">IF(E156="Sim", Q156*$G$3,0)</f>
        <v>1778.3999999999999</v>
      </c>
      <c r="S156" s="70">
        <v>0</v>
      </c>
      <c r="T156" s="165">
        <f t="shared" ref="T156:T159" si="143">IF($D$4="Sim",(IF(E156="Não",0,(Q156+(Q156*$O$4)+R156+S156)*$D$5)+Q156),
IF(E156="Não",0,Q156+(Q156*$O$4)+R156+S156
))</f>
        <v>61058.400000000001</v>
      </c>
      <c r="U156" s="163">
        <f t="shared" ref="U156:U159" si="144">IF(D156&gt;0,T156/D156,0)</f>
        <v>346.92272727272729</v>
      </c>
      <c r="V156" s="164">
        <f t="shared" ref="V156:V159" si="145">IF(C156="CLT",
       I156*$M$2, 0)</f>
        <v>0</v>
      </c>
      <c r="W156" s="164">
        <f t="shared" ref="W156:W159" si="146">IF(C156="CLT",
       V156*$M$3, 0)</f>
        <v>0</v>
      </c>
      <c r="X156" s="144">
        <f t="shared" ref="X156:X159" si="147">IF(C156="CLT",
       I156/12, 0)</f>
        <v>0</v>
      </c>
      <c r="Y156" s="150">
        <f t="shared" ref="Y156:Y159" si="148">IF(C156="CLT",
       X156/3, 0)</f>
        <v>0</v>
      </c>
      <c r="Z156" s="150">
        <f t="shared" ref="Z156:Z159" si="149">IF(C156="CLT",
       I156/12, 0)</f>
        <v>0</v>
      </c>
      <c r="AA156" s="150">
        <f t="shared" ref="AA156:AA159" si="150">IF(C156="CLT", I156*$S$2,0)</f>
        <v>0</v>
      </c>
      <c r="AB156" s="182">
        <f t="shared" ref="AB156:AB159" si="151">IF(C156="CLT", SUM(X156:Z156) * $M$2,0)</f>
        <v>0</v>
      </c>
      <c r="AC156" s="182">
        <f t="shared" ref="AC156:AC159" si="152">IF(C156="CLT", SUM(X156:Z156)*$S$2,0)</f>
        <v>0</v>
      </c>
      <c r="AD156" s="182">
        <f t="shared" ref="AD156:AD159" si="153">IF(C156="CLT",
       I156/30*3, 0)</f>
        <v>0</v>
      </c>
      <c r="AE156" s="180">
        <f t="shared" ref="AE156:AE159" si="154">IF(C156="CLT",  AD156*$M$2, 0)</f>
        <v>0</v>
      </c>
      <c r="AF156" s="150">
        <f t="shared" ref="AF156:AF159" si="155">IF(C156="CLT",
       I156*$M$4, 0)</f>
        <v>0</v>
      </c>
      <c r="AG156" s="150">
        <f t="shared" ref="AG156:AG159" si="156">IF(B156&lt;&gt;"",
IF(C156="CLT",
       $Q$2, 0),0)</f>
        <v>0</v>
      </c>
      <c r="AH156" s="150">
        <f t="shared" ref="AH156:AH159" si="157">SUM(V156:AG156)+H156</f>
        <v>0</v>
      </c>
      <c r="AI156" s="154">
        <f t="shared" ref="AI156:AI159" si="158">IF(E156="Sim", T156*$G$4, 0)</f>
        <v>14043.432000000001</v>
      </c>
      <c r="AJ156" s="70">
        <f t="shared" ref="AJ156:AJ159" si="159">T156-AI156-J156-R156</f>
        <v>14036.568000000001</v>
      </c>
      <c r="AK156" s="155">
        <f t="shared" ref="AK156:AK159" si="160">(IF(AJ156&gt;0,AJ156/T156,0))</f>
        <v>0.22988758303525805</v>
      </c>
      <c r="AL156" s="155">
        <f t="shared" ref="AL156:AL159" si="161">(IF(AJ156&gt;0,AJ156/(T156-AI156),0))</f>
        <v>0.2985553026431923</v>
      </c>
    </row>
    <row r="157" spans="2:38" s="102" customFormat="1" ht="15.75" customHeight="1" x14ac:dyDescent="0.2">
      <c r="B157" s="242" t="s">
        <v>1473</v>
      </c>
      <c r="C157" s="171" t="s">
        <v>73</v>
      </c>
      <c r="D157" s="103">
        <v>176</v>
      </c>
      <c r="E157" s="104" t="s">
        <v>76</v>
      </c>
      <c r="F157" s="92">
        <v>0</v>
      </c>
      <c r="G157" s="219">
        <f>IF(F157&gt;0,F157,
IF(B157&lt;&gt;"",
IF(C157="CLT",VLOOKUP(B157,'Lista Profissionais'!$C$11:$H$348,3,0),
VLOOKUP(B157,'Lista Profissionais'!$C$11:$H$348,6,0)), 0))</f>
        <v>28600</v>
      </c>
      <c r="H157" s="219">
        <f>IF(B157&lt;&gt;"",
IF(C157="CLT",
       22*$M$5 + (G157*'Lista Profissionais'!$G$9),0),0)</f>
        <v>0</v>
      </c>
      <c r="I157" s="66">
        <f t="shared" si="135"/>
        <v>28600</v>
      </c>
      <c r="J157" s="66">
        <f t="shared" si="136"/>
        <v>28600</v>
      </c>
      <c r="K157" s="66">
        <f t="shared" si="137"/>
        <v>41473.146000000001</v>
      </c>
      <c r="L157" s="93">
        <f t="shared" si="138"/>
        <v>162.5</v>
      </c>
      <c r="M157" s="151"/>
      <c r="N157" s="152">
        <v>0</v>
      </c>
      <c r="O157" s="69">
        <f t="shared" si="139"/>
        <v>0</v>
      </c>
      <c r="P157" s="69">
        <f t="shared" si="140"/>
        <v>54340</v>
      </c>
      <c r="Q157" s="70">
        <f t="shared" si="141"/>
        <v>54340</v>
      </c>
      <c r="R157" s="153">
        <f t="shared" si="142"/>
        <v>1630.2</v>
      </c>
      <c r="S157" s="70">
        <v>0</v>
      </c>
      <c r="T157" s="165">
        <f t="shared" si="143"/>
        <v>55970.2</v>
      </c>
      <c r="U157" s="163">
        <f t="shared" si="144"/>
        <v>318.01249999999999</v>
      </c>
      <c r="V157" s="164">
        <f t="shared" si="145"/>
        <v>0</v>
      </c>
      <c r="W157" s="164">
        <f t="shared" si="146"/>
        <v>0</v>
      </c>
      <c r="X157" s="144">
        <f t="shared" si="147"/>
        <v>0</v>
      </c>
      <c r="Y157" s="150">
        <f t="shared" si="148"/>
        <v>0</v>
      </c>
      <c r="Z157" s="150">
        <f t="shared" si="149"/>
        <v>0</v>
      </c>
      <c r="AA157" s="150">
        <f t="shared" si="150"/>
        <v>0</v>
      </c>
      <c r="AB157" s="182">
        <f t="shared" si="151"/>
        <v>0</v>
      </c>
      <c r="AC157" s="182">
        <f t="shared" si="152"/>
        <v>0</v>
      </c>
      <c r="AD157" s="182">
        <f t="shared" si="153"/>
        <v>0</v>
      </c>
      <c r="AE157" s="180">
        <f t="shared" si="154"/>
        <v>0</v>
      </c>
      <c r="AF157" s="150">
        <f t="shared" si="155"/>
        <v>0</v>
      </c>
      <c r="AG157" s="150">
        <f t="shared" si="156"/>
        <v>0</v>
      </c>
      <c r="AH157" s="150">
        <f t="shared" si="157"/>
        <v>0</v>
      </c>
      <c r="AI157" s="154">
        <f t="shared" si="158"/>
        <v>12873.146000000001</v>
      </c>
      <c r="AJ157" s="70">
        <f t="shared" si="159"/>
        <v>12866.853999999996</v>
      </c>
      <c r="AK157" s="155">
        <f t="shared" si="160"/>
        <v>0.22988758303525797</v>
      </c>
      <c r="AL157" s="155">
        <f t="shared" si="161"/>
        <v>0.29855530264319219</v>
      </c>
    </row>
    <row r="158" spans="2:38" s="102" customFormat="1" ht="15.75" customHeight="1" x14ac:dyDescent="0.2">
      <c r="B158" s="242" t="s">
        <v>1474</v>
      </c>
      <c r="C158" s="171" t="s">
        <v>73</v>
      </c>
      <c r="D158" s="103">
        <v>176</v>
      </c>
      <c r="E158" s="104" t="s">
        <v>76</v>
      </c>
      <c r="F158" s="92">
        <v>0</v>
      </c>
      <c r="G158" s="219">
        <f>IF(F158&gt;0,F158,
IF(B158&lt;&gt;"",
IF(C158="CLT",VLOOKUP(B158,'Lista Profissionais'!$C$11:$H$348,3,0),
VLOOKUP(B158,'Lista Profissionais'!$C$11:$H$348,6,0)), 0))</f>
        <v>26000</v>
      </c>
      <c r="H158" s="219">
        <f>IF(B158&lt;&gt;"",
IF(C158="CLT",
       22*$M$5 + (G158*'Lista Profissionais'!$G$9),0),0)</f>
        <v>0</v>
      </c>
      <c r="I158" s="66">
        <f t="shared" si="135"/>
        <v>26000</v>
      </c>
      <c r="J158" s="66">
        <f t="shared" si="136"/>
        <v>26000</v>
      </c>
      <c r="K158" s="66">
        <f t="shared" si="137"/>
        <v>37702.86</v>
      </c>
      <c r="L158" s="93">
        <f t="shared" si="138"/>
        <v>147.72727272727272</v>
      </c>
      <c r="M158" s="151"/>
      <c r="N158" s="152">
        <v>0</v>
      </c>
      <c r="O158" s="69">
        <f t="shared" si="139"/>
        <v>0</v>
      </c>
      <c r="P158" s="69">
        <f t="shared" si="140"/>
        <v>49400</v>
      </c>
      <c r="Q158" s="70">
        <f t="shared" si="141"/>
        <v>49400</v>
      </c>
      <c r="R158" s="153">
        <f t="shared" si="142"/>
        <v>1482</v>
      </c>
      <c r="S158" s="70">
        <v>0</v>
      </c>
      <c r="T158" s="165">
        <f t="shared" si="143"/>
        <v>50882</v>
      </c>
      <c r="U158" s="163">
        <f t="shared" si="144"/>
        <v>289.10227272727275</v>
      </c>
      <c r="V158" s="164">
        <f t="shared" si="145"/>
        <v>0</v>
      </c>
      <c r="W158" s="164">
        <f t="shared" si="146"/>
        <v>0</v>
      </c>
      <c r="X158" s="144">
        <f t="shared" si="147"/>
        <v>0</v>
      </c>
      <c r="Y158" s="150">
        <f t="shared" si="148"/>
        <v>0</v>
      </c>
      <c r="Z158" s="150">
        <f t="shared" si="149"/>
        <v>0</v>
      </c>
      <c r="AA158" s="150">
        <f t="shared" si="150"/>
        <v>0</v>
      </c>
      <c r="AB158" s="182">
        <f t="shared" si="151"/>
        <v>0</v>
      </c>
      <c r="AC158" s="182">
        <f t="shared" si="152"/>
        <v>0</v>
      </c>
      <c r="AD158" s="182">
        <f t="shared" si="153"/>
        <v>0</v>
      </c>
      <c r="AE158" s="180">
        <f t="shared" si="154"/>
        <v>0</v>
      </c>
      <c r="AF158" s="150">
        <f t="shared" si="155"/>
        <v>0</v>
      </c>
      <c r="AG158" s="150">
        <f t="shared" si="156"/>
        <v>0</v>
      </c>
      <c r="AH158" s="150">
        <f t="shared" si="157"/>
        <v>0</v>
      </c>
      <c r="AI158" s="154">
        <f t="shared" si="158"/>
        <v>11702.86</v>
      </c>
      <c r="AJ158" s="70">
        <f t="shared" si="159"/>
        <v>11697.14</v>
      </c>
      <c r="AK158" s="155">
        <f t="shared" si="160"/>
        <v>0.22988758303525803</v>
      </c>
      <c r="AL158" s="155">
        <f t="shared" si="161"/>
        <v>0.29855530264319224</v>
      </c>
    </row>
    <row r="159" spans="2:38" s="102" customFormat="1" ht="15.75" customHeight="1" x14ac:dyDescent="0.2">
      <c r="B159" s="242" t="s">
        <v>1475</v>
      </c>
      <c r="C159" s="171" t="s">
        <v>73</v>
      </c>
      <c r="D159" s="103">
        <v>176</v>
      </c>
      <c r="E159" s="104" t="s">
        <v>76</v>
      </c>
      <c r="F159" s="92">
        <v>0</v>
      </c>
      <c r="G159" s="219">
        <f>IF(F159&gt;0,F159,
IF(B159&lt;&gt;"",
IF(C159="CLT",VLOOKUP(B159,'Lista Profissionais'!$C$11:$H$348,3,0),
VLOOKUP(B159,'Lista Profissionais'!$C$11:$H$348,6,0)), 0))</f>
        <v>31200</v>
      </c>
      <c r="H159" s="219">
        <f>IF(B159&lt;&gt;"",
IF(C159="CLT",
       22*$M$5 + (G159*'Lista Profissionais'!$G$9),0),0)</f>
        <v>0</v>
      </c>
      <c r="I159" s="66">
        <f t="shared" si="135"/>
        <v>31200</v>
      </c>
      <c r="J159" s="66">
        <f t="shared" si="136"/>
        <v>31200</v>
      </c>
      <c r="K159" s="66">
        <f t="shared" si="137"/>
        <v>45243.432000000001</v>
      </c>
      <c r="L159" s="93">
        <f t="shared" si="138"/>
        <v>177.27272727272728</v>
      </c>
      <c r="M159" s="151"/>
      <c r="N159" s="152">
        <v>0</v>
      </c>
      <c r="O159" s="69">
        <f t="shared" si="139"/>
        <v>0</v>
      </c>
      <c r="P159" s="69">
        <f t="shared" si="140"/>
        <v>59280</v>
      </c>
      <c r="Q159" s="70">
        <f t="shared" si="141"/>
        <v>59280</v>
      </c>
      <c r="R159" s="153">
        <f t="shared" si="142"/>
        <v>1778.3999999999999</v>
      </c>
      <c r="S159" s="70">
        <v>0</v>
      </c>
      <c r="T159" s="165">
        <f t="shared" si="143"/>
        <v>61058.400000000001</v>
      </c>
      <c r="U159" s="163">
        <f t="shared" si="144"/>
        <v>346.92272727272729</v>
      </c>
      <c r="V159" s="164">
        <f t="shared" si="145"/>
        <v>0</v>
      </c>
      <c r="W159" s="164">
        <f t="shared" si="146"/>
        <v>0</v>
      </c>
      <c r="X159" s="144">
        <f t="shared" si="147"/>
        <v>0</v>
      </c>
      <c r="Y159" s="150">
        <f t="shared" si="148"/>
        <v>0</v>
      </c>
      <c r="Z159" s="150">
        <f t="shared" si="149"/>
        <v>0</v>
      </c>
      <c r="AA159" s="150">
        <f t="shared" si="150"/>
        <v>0</v>
      </c>
      <c r="AB159" s="182">
        <f t="shared" si="151"/>
        <v>0</v>
      </c>
      <c r="AC159" s="182">
        <f t="shared" si="152"/>
        <v>0</v>
      </c>
      <c r="AD159" s="182">
        <f t="shared" si="153"/>
        <v>0</v>
      </c>
      <c r="AE159" s="180">
        <f t="shared" si="154"/>
        <v>0</v>
      </c>
      <c r="AF159" s="150">
        <f t="shared" si="155"/>
        <v>0</v>
      </c>
      <c r="AG159" s="150">
        <f t="shared" si="156"/>
        <v>0</v>
      </c>
      <c r="AH159" s="150">
        <f t="shared" si="157"/>
        <v>0</v>
      </c>
      <c r="AI159" s="154">
        <f t="shared" si="158"/>
        <v>14043.432000000001</v>
      </c>
      <c r="AJ159" s="70">
        <f t="shared" si="159"/>
        <v>14036.568000000001</v>
      </c>
      <c r="AK159" s="155">
        <f t="shared" si="160"/>
        <v>0.22988758303525805</v>
      </c>
      <c r="AL159" s="155">
        <f t="shared" si="161"/>
        <v>0.2985553026431923</v>
      </c>
    </row>
    <row r="160" spans="2:38" s="102" customFormat="1" ht="15.75" customHeight="1" x14ac:dyDescent="0.25">
      <c r="B160" s="31"/>
      <c r="C160" s="31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 spans="2:37" s="102" customFormat="1" ht="15.75" customHeight="1" x14ac:dyDescent="0.25">
      <c r="B161" s="31"/>
      <c r="C161" s="3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2:37" s="102" customFormat="1" ht="15.75" customHeight="1" x14ac:dyDescent="0.25">
      <c r="B162" s="31"/>
      <c r="C162" s="31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2:37" s="102" customFormat="1" ht="15.75" customHeight="1" x14ac:dyDescent="0.25">
      <c r="B163" s="31"/>
      <c r="C163" s="31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 spans="2:37" s="102" customFormat="1" ht="15.75" customHeight="1" x14ac:dyDescent="0.25">
      <c r="B164" s="31"/>
      <c r="C164" s="31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 spans="2:37" s="102" customFormat="1" ht="15.75" customHeight="1" x14ac:dyDescent="0.25">
      <c r="B165" s="31"/>
      <c r="C165" s="31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 spans="2:37" s="102" customFormat="1" ht="15.75" customHeight="1" x14ac:dyDescent="0.25">
      <c r="B166" s="31"/>
      <c r="C166" s="31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 spans="2:37" s="102" customFormat="1" ht="15.75" customHeight="1" x14ac:dyDescent="0.25">
      <c r="B167" s="31"/>
      <c r="C167" s="31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 spans="2:37" s="102" customFormat="1" ht="15.75" customHeight="1" x14ac:dyDescent="0.25">
      <c r="B168" s="31"/>
      <c r="C168" s="31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 spans="2:37" s="102" customFormat="1" ht="15.75" customHeight="1" x14ac:dyDescent="0.25">
      <c r="B169" s="31"/>
      <c r="C169" s="31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2:37" s="102" customFormat="1" ht="15.75" customHeight="1" x14ac:dyDescent="0.25">
      <c r="B170" s="31"/>
      <c r="C170" s="31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 spans="2:37" s="102" customFormat="1" ht="15.75" customHeight="1" x14ac:dyDescent="0.25">
      <c r="B171" s="31"/>
      <c r="C171" s="3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 spans="2:37" s="102" customFormat="1" ht="15.75" customHeight="1" x14ac:dyDescent="0.25">
      <c r="B172" s="31"/>
      <c r="C172" s="31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 spans="2:37" s="102" customFormat="1" ht="15.75" customHeight="1" x14ac:dyDescent="0.25">
      <c r="B173" s="31"/>
      <c r="C173" s="31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 spans="2:37" s="102" customFormat="1" ht="15.75" customHeight="1" x14ac:dyDescent="0.25">
      <c r="B174" s="31"/>
      <c r="C174" s="31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 spans="2:37" s="102" customFormat="1" ht="15.75" customHeight="1" x14ac:dyDescent="0.25">
      <c r="B175" s="31"/>
      <c r="C175" s="31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 spans="2:37" s="102" customFormat="1" ht="15.75" customHeight="1" x14ac:dyDescent="0.25">
      <c r="B176" s="31"/>
      <c r="C176" s="31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 spans="2:37" s="102" customFormat="1" ht="15.75" customHeight="1" x14ac:dyDescent="0.25">
      <c r="B177" s="31"/>
      <c r="C177" s="31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 spans="2:37" s="102" customFormat="1" ht="15.75" customHeight="1" x14ac:dyDescent="0.25">
      <c r="B178" s="31"/>
      <c r="C178" s="31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 spans="2:37" s="102" customFormat="1" ht="15.75" customHeight="1" x14ac:dyDescent="0.25">
      <c r="B179" s="31"/>
      <c r="C179" s="31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 spans="2:37" s="102" customFormat="1" ht="15.75" customHeight="1" x14ac:dyDescent="0.25">
      <c r="B180" s="31"/>
      <c r="C180" s="31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 spans="2:37" s="102" customFormat="1" ht="15.75" customHeight="1" x14ac:dyDescent="0.25">
      <c r="B181" s="31"/>
      <c r="C181" s="3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 spans="2:37" s="102" customFormat="1" ht="15.75" customHeight="1" x14ac:dyDescent="0.25">
      <c r="B182" s="31"/>
      <c r="C182" s="31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 spans="2:37" s="102" customFormat="1" ht="15.75" customHeight="1" x14ac:dyDescent="0.25">
      <c r="B183" s="31"/>
      <c r="C183" s="31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 spans="2:37" s="102" customFormat="1" ht="15.75" customHeight="1" x14ac:dyDescent="0.25">
      <c r="B184" s="31"/>
      <c r="C184" s="31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 spans="2:37" s="102" customFormat="1" ht="15.75" customHeight="1" x14ac:dyDescent="0.25">
      <c r="B185" s="31"/>
      <c r="C185" s="31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 spans="2:37" s="102" customFormat="1" ht="15.75" customHeight="1" x14ac:dyDescent="0.25">
      <c r="B186" s="31"/>
      <c r="C186" s="31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 spans="2:37" s="102" customFormat="1" ht="15.75" customHeight="1" x14ac:dyDescent="0.25">
      <c r="B187" s="31"/>
      <c r="C187" s="31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 spans="2:37" s="102" customFormat="1" ht="15.75" customHeight="1" x14ac:dyDescent="0.25">
      <c r="B188" s="31"/>
      <c r="C188" s="31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 spans="2:37" s="102" customFormat="1" ht="15.75" customHeight="1" x14ac:dyDescent="0.25">
      <c r="B189" s="31"/>
      <c r="C189" s="31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 spans="2:37" s="102" customFormat="1" ht="15.75" customHeight="1" x14ac:dyDescent="0.25">
      <c r="B190" s="31"/>
      <c r="C190" s="31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 spans="2:37" s="102" customFormat="1" ht="15.75" customHeight="1" x14ac:dyDescent="0.25">
      <c r="B191" s="31"/>
      <c r="C191" s="3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 spans="2:37" s="102" customFormat="1" ht="15.75" customHeight="1" x14ac:dyDescent="0.25">
      <c r="B192" s="31"/>
      <c r="C192" s="31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 spans="2:37" s="102" customFormat="1" ht="15.75" customHeight="1" x14ac:dyDescent="0.25">
      <c r="B193" s="31"/>
      <c r="C193" s="31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 spans="2:37" s="102" customFormat="1" ht="15.75" customHeight="1" x14ac:dyDescent="0.25">
      <c r="B194" s="31"/>
      <c r="C194" s="31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 spans="2:37" s="102" customFormat="1" ht="15.75" customHeight="1" x14ac:dyDescent="0.25">
      <c r="B195" s="31"/>
      <c r="C195" s="31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 spans="2:37" s="102" customFormat="1" ht="15.75" customHeight="1" x14ac:dyDescent="0.25">
      <c r="B196" s="31"/>
      <c r="C196" s="31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 spans="2:37" s="102" customFormat="1" ht="15.75" customHeight="1" x14ac:dyDescent="0.25">
      <c r="B197" s="31"/>
      <c r="C197" s="31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 spans="2:37" s="102" customFormat="1" ht="15.75" customHeight="1" x14ac:dyDescent="0.25">
      <c r="B198" s="31"/>
      <c r="C198" s="31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 spans="2:37" s="102" customFormat="1" ht="15.75" customHeight="1" x14ac:dyDescent="0.25">
      <c r="B199" s="31"/>
      <c r="C199" s="31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 spans="2:37" s="102" customFormat="1" ht="15.75" customHeight="1" x14ac:dyDescent="0.25">
      <c r="B200" s="31"/>
      <c r="C200" s="31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 spans="2:37" s="102" customFormat="1" ht="15.75" customHeight="1" x14ac:dyDescent="0.25">
      <c r="B201" s="31"/>
      <c r="C201" s="3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 spans="2:37" s="102" customFormat="1" ht="15.75" customHeight="1" x14ac:dyDescent="0.25">
      <c r="B202" s="31"/>
      <c r="C202" s="31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 spans="2:37" s="102" customFormat="1" ht="15.75" customHeight="1" x14ac:dyDescent="0.25">
      <c r="B203" s="31"/>
      <c r="C203" s="31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 spans="2:37" s="102" customFormat="1" ht="15.75" customHeight="1" x14ac:dyDescent="0.25">
      <c r="B204" s="31"/>
      <c r="C204" s="31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 spans="2:37" s="102" customFormat="1" ht="15.75" customHeight="1" x14ac:dyDescent="0.25">
      <c r="B205" s="31"/>
      <c r="C205" s="31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 spans="2:37" s="102" customFormat="1" ht="15.75" customHeight="1" x14ac:dyDescent="0.25">
      <c r="B206" s="31"/>
      <c r="C206" s="31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 spans="2:37" s="102" customFormat="1" ht="15.75" customHeight="1" x14ac:dyDescent="0.25">
      <c r="B207" s="31"/>
      <c r="C207" s="31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 spans="2:37" s="102" customFormat="1" ht="15.75" customHeight="1" x14ac:dyDescent="0.25">
      <c r="B208" s="31"/>
      <c r="C208" s="31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 spans="2:37" s="102" customFormat="1" ht="15.75" customHeight="1" x14ac:dyDescent="0.25">
      <c r="B209" s="31"/>
      <c r="C209" s="31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 spans="2:37" s="102" customFormat="1" ht="15.75" customHeight="1" x14ac:dyDescent="0.25">
      <c r="B210" s="31"/>
      <c r="C210" s="31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 spans="2:37" s="102" customFormat="1" ht="15.75" customHeight="1" x14ac:dyDescent="0.25">
      <c r="B211" s="31"/>
      <c r="C211" s="3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 spans="2:37" s="102" customFormat="1" ht="15.75" customHeight="1" x14ac:dyDescent="0.25">
      <c r="B212" s="31"/>
      <c r="C212" s="31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 spans="2:37" s="102" customFormat="1" ht="15.75" customHeight="1" x14ac:dyDescent="0.25">
      <c r="B213" s="31"/>
      <c r="C213" s="3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 spans="2:37" s="102" customFormat="1" ht="15.75" customHeight="1" x14ac:dyDescent="0.25">
      <c r="B214" s="31"/>
      <c r="C214" s="3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 spans="2:37" s="102" customFormat="1" ht="15.75" customHeight="1" x14ac:dyDescent="0.25">
      <c r="B215" s="31"/>
      <c r="C215" s="3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 spans="2:37" s="102" customFormat="1" ht="15.75" customHeight="1" x14ac:dyDescent="0.25">
      <c r="B216" s="31"/>
      <c r="C216" s="31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 spans="2:37" s="102" customFormat="1" ht="15.75" customHeight="1" x14ac:dyDescent="0.25">
      <c r="B217" s="31"/>
      <c r="C217" s="31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 spans="2:37" s="102" customFormat="1" ht="15.75" customHeight="1" x14ac:dyDescent="0.25">
      <c r="B218" s="31"/>
      <c r="C218" s="31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 spans="2:37" s="102" customFormat="1" ht="15.75" customHeight="1" x14ac:dyDescent="0.25">
      <c r="B219" s="31"/>
      <c r="C219" s="31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 spans="2:37" s="102" customFormat="1" ht="15.75" customHeight="1" x14ac:dyDescent="0.25">
      <c r="B220" s="31"/>
      <c r="C220" s="31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 spans="2:37" s="102" customFormat="1" ht="15.75" customHeight="1" x14ac:dyDescent="0.25">
      <c r="B221" s="31"/>
      <c r="C221" s="3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 spans="2:37" s="102" customFormat="1" ht="15.75" customHeight="1" x14ac:dyDescent="0.25">
      <c r="B222" s="31"/>
      <c r="C222" s="31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 spans="2:37" s="102" customFormat="1" ht="15.75" customHeight="1" x14ac:dyDescent="0.25">
      <c r="B223" s="31"/>
      <c r="C223" s="31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 spans="2:37" s="102" customFormat="1" ht="15.75" customHeight="1" x14ac:dyDescent="0.25">
      <c r="B224" s="31"/>
      <c r="C224" s="31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 spans="2:37" s="102" customFormat="1" ht="15.75" customHeight="1" x14ac:dyDescent="0.25">
      <c r="B225" s="31"/>
      <c r="C225" s="31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 spans="2:37" s="102" customFormat="1" ht="15.75" customHeight="1" x14ac:dyDescent="0.25">
      <c r="B226" s="31"/>
      <c r="C226" s="31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 spans="2:37" s="102" customFormat="1" ht="15.75" customHeight="1" x14ac:dyDescent="0.25">
      <c r="B227" s="31"/>
      <c r="C227" s="31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 spans="2:37" s="102" customFormat="1" ht="15.75" customHeight="1" x14ac:dyDescent="0.25">
      <c r="B228" s="31"/>
      <c r="C228" s="31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 spans="2:37" s="102" customFormat="1" ht="15.75" customHeight="1" x14ac:dyDescent="0.25">
      <c r="B229" s="31"/>
      <c r="C229" s="31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 spans="2:37" s="102" customFormat="1" ht="15.75" customHeight="1" x14ac:dyDescent="0.25">
      <c r="B230" s="31"/>
      <c r="C230" s="31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 spans="2:37" s="102" customFormat="1" ht="15.75" customHeight="1" x14ac:dyDescent="0.25">
      <c r="B231" s="31"/>
      <c r="C231" s="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 spans="2:37" s="102" customFormat="1" ht="15.75" customHeight="1" x14ac:dyDescent="0.25">
      <c r="B232" s="31"/>
      <c r="C232" s="31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 spans="2:37" s="102" customFormat="1" ht="15.75" customHeight="1" x14ac:dyDescent="0.25">
      <c r="B233" s="31"/>
      <c r="C233" s="31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 spans="2:37" s="102" customFormat="1" ht="15.75" customHeight="1" x14ac:dyDescent="0.25">
      <c r="B234" s="31"/>
      <c r="C234" s="31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 spans="2:37" s="102" customFormat="1" ht="15.75" customHeight="1" x14ac:dyDescent="0.25">
      <c r="B235" s="31"/>
      <c r="C235" s="31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 spans="2:37" s="102" customFormat="1" ht="15.75" customHeight="1" x14ac:dyDescent="0.25">
      <c r="B236" s="31"/>
      <c r="C236" s="31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 spans="2:37" s="102" customFormat="1" ht="15.75" customHeight="1" x14ac:dyDescent="0.25">
      <c r="B237" s="31"/>
      <c r="C237" s="31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 spans="2:37" s="102" customFormat="1" ht="15.75" customHeight="1" x14ac:dyDescent="0.25">
      <c r="B238" s="31"/>
      <c r="C238" s="31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 spans="2:37" s="102" customFormat="1" ht="15.75" customHeight="1" x14ac:dyDescent="0.25">
      <c r="B239" s="31"/>
      <c r="C239" s="31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 spans="2:37" s="102" customFormat="1" ht="15.75" customHeight="1" x14ac:dyDescent="0.25">
      <c r="B240" s="31"/>
      <c r="C240" s="31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 spans="2:37" s="102" customFormat="1" ht="15.75" customHeight="1" x14ac:dyDescent="0.25">
      <c r="B241" s="31"/>
      <c r="C241" s="3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 spans="2:37" s="102" customFormat="1" ht="15.75" customHeight="1" x14ac:dyDescent="0.25">
      <c r="B242" s="31"/>
      <c r="C242" s="31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 spans="2:37" s="102" customFormat="1" ht="15.75" customHeight="1" x14ac:dyDescent="0.25">
      <c r="B243" s="31"/>
      <c r="C243" s="31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 spans="2:37" s="102" customFormat="1" ht="15.75" customHeight="1" x14ac:dyDescent="0.25">
      <c r="B244" s="31"/>
      <c r="C244" s="31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 spans="2:37" s="102" customFormat="1" ht="15.75" customHeight="1" x14ac:dyDescent="0.25">
      <c r="B245" s="31"/>
      <c r="C245" s="31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 spans="2:37" s="102" customFormat="1" ht="15.75" customHeight="1" x14ac:dyDescent="0.25">
      <c r="B246" s="31"/>
      <c r="C246" s="31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 spans="2:37" s="102" customFormat="1" ht="15.75" customHeight="1" x14ac:dyDescent="0.25">
      <c r="B247" s="31"/>
      <c r="C247" s="31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 spans="2:37" s="102" customFormat="1" ht="15.75" customHeight="1" x14ac:dyDescent="0.25">
      <c r="B248" s="31"/>
      <c r="C248" s="31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 spans="2:37" s="102" customFormat="1" ht="15.75" customHeight="1" x14ac:dyDescent="0.25">
      <c r="B249" s="31"/>
      <c r="C249" s="31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 spans="2:37" s="102" customFormat="1" ht="15.75" customHeight="1" x14ac:dyDescent="0.25">
      <c r="B250" s="31"/>
      <c r="C250" s="31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 spans="2:37" s="102" customFormat="1" ht="15.75" customHeight="1" x14ac:dyDescent="0.25">
      <c r="B251" s="31"/>
      <c r="C251" s="3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 spans="2:37" s="102" customFormat="1" ht="15.75" customHeight="1" x14ac:dyDescent="0.25">
      <c r="B252" s="31"/>
      <c r="C252" s="31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 spans="2:37" s="102" customFormat="1" ht="15.75" customHeight="1" x14ac:dyDescent="0.25">
      <c r="B253" s="31"/>
      <c r="C253" s="31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 spans="2:37" s="102" customFormat="1" ht="15.75" customHeight="1" x14ac:dyDescent="0.25">
      <c r="B254" s="31"/>
      <c r="C254" s="31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 spans="2:37" s="102" customFormat="1" ht="15.75" customHeight="1" x14ac:dyDescent="0.25">
      <c r="B255" s="31"/>
      <c r="C255" s="31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 spans="2:37" s="102" customFormat="1" ht="15.75" customHeight="1" x14ac:dyDescent="0.25">
      <c r="B256" s="31"/>
      <c r="C256" s="31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 spans="2:37" s="102" customFormat="1" ht="15.75" customHeight="1" x14ac:dyDescent="0.25">
      <c r="B257" s="31"/>
      <c r="C257" s="31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 spans="2:37" s="102" customFormat="1" ht="15.75" customHeight="1" x14ac:dyDescent="0.25">
      <c r="B258" s="31"/>
      <c r="C258" s="31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 spans="2:37" s="102" customFormat="1" ht="15.75" customHeight="1" x14ac:dyDescent="0.25">
      <c r="B259" s="31"/>
      <c r="C259" s="31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 spans="2:37" s="102" customFormat="1" ht="15.75" customHeight="1" x14ac:dyDescent="0.25">
      <c r="B260" s="31"/>
      <c r="C260" s="31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 spans="2:37" s="102" customFormat="1" ht="15.75" customHeight="1" x14ac:dyDescent="0.25">
      <c r="B261" s="31"/>
      <c r="C261" s="3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 spans="2:37" s="102" customFormat="1" ht="15.75" customHeight="1" x14ac:dyDescent="0.25">
      <c r="B262" s="31"/>
      <c r="C262" s="31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 spans="2:37" s="102" customFormat="1" ht="15.75" customHeight="1" x14ac:dyDescent="0.25">
      <c r="B263" s="31"/>
      <c r="C263" s="31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 spans="2:37" s="102" customFormat="1" ht="15.75" customHeight="1" x14ac:dyDescent="0.25">
      <c r="B264" s="31"/>
      <c r="C264" s="31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 spans="2:37" s="102" customFormat="1" ht="15.75" customHeight="1" x14ac:dyDescent="0.25">
      <c r="B265" s="31"/>
      <c r="C265" s="31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 spans="2:37" s="102" customFormat="1" ht="15.75" customHeight="1" x14ac:dyDescent="0.25">
      <c r="B266" s="31"/>
      <c r="C266" s="31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 spans="2:37" s="102" customFormat="1" ht="15.75" customHeight="1" x14ac:dyDescent="0.25">
      <c r="B267" s="31"/>
      <c r="C267" s="31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 spans="2:37" s="102" customFormat="1" ht="15.75" customHeight="1" x14ac:dyDescent="0.25">
      <c r="B268" s="31"/>
      <c r="C268" s="31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 spans="2:37" s="102" customFormat="1" ht="15.75" customHeight="1" x14ac:dyDescent="0.25">
      <c r="B269" s="31"/>
      <c r="C269" s="31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 spans="2:37" s="102" customFormat="1" ht="15.75" customHeight="1" x14ac:dyDescent="0.25">
      <c r="B270" s="31"/>
      <c r="C270" s="31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 spans="2:37" s="102" customFormat="1" ht="15.75" customHeight="1" x14ac:dyDescent="0.25">
      <c r="B271" s="31"/>
      <c r="C271" s="3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 spans="2:37" s="102" customFormat="1" ht="15.75" customHeight="1" x14ac:dyDescent="0.25">
      <c r="B272" s="31"/>
      <c r="C272" s="31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 spans="2:37" s="102" customFormat="1" ht="15.75" customHeight="1" x14ac:dyDescent="0.25">
      <c r="B273" s="31"/>
      <c r="C273" s="31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 spans="2:37" s="102" customFormat="1" ht="15.75" customHeight="1" x14ac:dyDescent="0.25">
      <c r="B274" s="31"/>
      <c r="C274" s="31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 spans="2:37" s="102" customFormat="1" ht="15.75" customHeight="1" x14ac:dyDescent="0.25">
      <c r="B275" s="31"/>
      <c r="C275" s="31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 spans="2:37" s="102" customFormat="1" ht="15.75" customHeight="1" x14ac:dyDescent="0.25">
      <c r="B276" s="31"/>
      <c r="C276" s="31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 spans="2:37" s="102" customFormat="1" ht="15.75" customHeight="1" x14ac:dyDescent="0.25">
      <c r="B277" s="31"/>
      <c r="C277" s="31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 spans="2:37" s="102" customFormat="1" ht="15.75" customHeight="1" x14ac:dyDescent="0.25">
      <c r="B278" s="31"/>
      <c r="C278" s="31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 spans="2:37" s="102" customFormat="1" ht="15.75" customHeight="1" x14ac:dyDescent="0.25">
      <c r="B279" s="31"/>
      <c r="C279" s="31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 spans="2:37" s="102" customFormat="1" ht="15.75" customHeight="1" x14ac:dyDescent="0.25">
      <c r="B280" s="31"/>
      <c r="C280" s="31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 spans="2:37" s="102" customFormat="1" ht="15.75" customHeight="1" x14ac:dyDescent="0.25">
      <c r="B281" s="31"/>
      <c r="C281" s="3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 spans="2:37" s="102" customFormat="1" ht="15.75" customHeight="1" x14ac:dyDescent="0.25">
      <c r="B282" s="31"/>
      <c r="C282" s="31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 spans="2:37" s="102" customFormat="1" ht="15.75" customHeight="1" x14ac:dyDescent="0.25">
      <c r="B283" s="31"/>
      <c r="C283" s="31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 spans="2:37" s="102" customFormat="1" ht="15.75" customHeight="1" x14ac:dyDescent="0.25">
      <c r="B284" s="31"/>
      <c r="C284" s="31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 spans="2:37" s="102" customFormat="1" ht="15.75" customHeight="1" x14ac:dyDescent="0.25">
      <c r="B285" s="31"/>
      <c r="C285" s="31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 spans="2:37" s="102" customFormat="1" ht="15.75" customHeight="1" x14ac:dyDescent="0.25">
      <c r="B286" s="31"/>
      <c r="C286" s="31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 spans="2:37" s="102" customFormat="1" ht="15.75" customHeight="1" x14ac:dyDescent="0.25">
      <c r="B287" s="31"/>
      <c r="C287" s="31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 spans="2:37" s="102" customFormat="1" ht="15.75" customHeight="1" x14ac:dyDescent="0.25">
      <c r="B288" s="31"/>
      <c r="C288" s="31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 spans="2:37" s="102" customFormat="1" ht="15.75" customHeight="1" x14ac:dyDescent="0.25">
      <c r="B289" s="31"/>
      <c r="C289" s="31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 spans="2:37" s="102" customFormat="1" ht="15.75" customHeight="1" x14ac:dyDescent="0.25">
      <c r="B290" s="31"/>
      <c r="C290" s="31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 spans="2:37" s="102" customFormat="1" ht="15.75" customHeight="1" x14ac:dyDescent="0.25">
      <c r="B291" s="31"/>
      <c r="C291" s="3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 spans="2:37" s="102" customFormat="1" ht="15.75" customHeight="1" x14ac:dyDescent="0.25">
      <c r="B292" s="31"/>
      <c r="C292" s="31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 spans="2:37" s="102" customFormat="1" ht="15.75" customHeight="1" x14ac:dyDescent="0.25">
      <c r="B293" s="31"/>
      <c r="C293" s="31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 spans="2:37" s="102" customFormat="1" ht="15.75" customHeight="1" x14ac:dyDescent="0.25">
      <c r="B294" s="31"/>
      <c r="C294" s="31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 spans="2:37" s="102" customFormat="1" ht="15.75" customHeight="1" x14ac:dyDescent="0.25">
      <c r="B295" s="31"/>
      <c r="C295" s="31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 spans="2:37" s="102" customFormat="1" ht="15.75" customHeight="1" x14ac:dyDescent="0.25">
      <c r="B296" s="31"/>
      <c r="C296" s="31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</row>
    <row r="297" spans="2:37" s="102" customFormat="1" ht="15.75" customHeight="1" x14ac:dyDescent="0.25">
      <c r="B297" s="31"/>
      <c r="C297" s="31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 spans="2:37" s="102" customFormat="1" ht="15.75" customHeight="1" x14ac:dyDescent="0.25">
      <c r="B298" s="31"/>
      <c r="C298" s="31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 spans="2:37" s="102" customFormat="1" ht="15.75" customHeight="1" x14ac:dyDescent="0.25">
      <c r="B299" s="31"/>
      <c r="C299" s="31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 spans="2:37" s="102" customFormat="1" ht="15.75" customHeight="1" x14ac:dyDescent="0.25">
      <c r="B300" s="31"/>
      <c r="C300" s="31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 spans="2:37" s="102" customFormat="1" ht="15.75" customHeight="1" x14ac:dyDescent="0.25">
      <c r="B301" s="31"/>
      <c r="C301" s="3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 spans="2:37" s="102" customFormat="1" ht="15.75" customHeight="1" x14ac:dyDescent="0.25">
      <c r="B302" s="31"/>
      <c r="C302" s="31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 spans="2:37" s="102" customFormat="1" ht="15.75" customHeight="1" x14ac:dyDescent="0.25">
      <c r="B303" s="31"/>
      <c r="C303" s="31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 spans="2:37" s="102" customFormat="1" ht="15.75" customHeight="1" x14ac:dyDescent="0.25">
      <c r="B304" s="31"/>
      <c r="C304" s="31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 spans="2:37" s="102" customFormat="1" ht="15.75" customHeight="1" x14ac:dyDescent="0.25">
      <c r="B305" s="31"/>
      <c r="C305" s="31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 spans="2:37" s="102" customFormat="1" ht="15.75" customHeight="1" x14ac:dyDescent="0.25">
      <c r="B306" s="31"/>
      <c r="C306" s="31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 spans="2:37" s="102" customFormat="1" ht="15.75" customHeight="1" x14ac:dyDescent="0.25">
      <c r="B307" s="31"/>
      <c r="C307" s="31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 spans="2:37" s="102" customFormat="1" ht="15.75" customHeight="1" x14ac:dyDescent="0.25">
      <c r="B308" s="31"/>
      <c r="C308" s="31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 spans="2:37" s="102" customFormat="1" ht="15.75" customHeight="1" x14ac:dyDescent="0.25">
      <c r="B309" s="31"/>
      <c r="C309" s="31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 spans="2:37" s="102" customFormat="1" ht="15.75" customHeight="1" x14ac:dyDescent="0.25">
      <c r="B310" s="31"/>
      <c r="C310" s="31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 spans="2:37" s="102" customFormat="1" ht="15.75" customHeight="1" x14ac:dyDescent="0.25">
      <c r="B311" s="31"/>
      <c r="C311" s="3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 spans="2:37" s="102" customFormat="1" ht="15.75" customHeight="1" x14ac:dyDescent="0.25">
      <c r="B312" s="31"/>
      <c r="C312" s="31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 spans="2:37" s="102" customFormat="1" ht="15.75" customHeight="1" x14ac:dyDescent="0.25">
      <c r="B313" s="31"/>
      <c r="C313" s="31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 spans="2:37" s="102" customFormat="1" ht="15.75" customHeight="1" x14ac:dyDescent="0.25">
      <c r="B314" s="31"/>
      <c r="C314" s="31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 spans="2:37" s="102" customFormat="1" ht="15.75" customHeight="1" x14ac:dyDescent="0.25">
      <c r="B315" s="31"/>
      <c r="C315" s="31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 spans="2:37" s="102" customFormat="1" ht="15.75" customHeight="1" x14ac:dyDescent="0.25">
      <c r="B316" s="31"/>
      <c r="C316" s="31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 spans="2:37" s="102" customFormat="1" ht="15.75" customHeight="1" x14ac:dyDescent="0.25">
      <c r="B317" s="31"/>
      <c r="C317" s="31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 spans="2:37" s="102" customFormat="1" ht="15.75" customHeight="1" x14ac:dyDescent="0.25">
      <c r="B318" s="31"/>
      <c r="C318" s="31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 spans="2:37" s="102" customFormat="1" ht="15.75" customHeight="1" x14ac:dyDescent="0.25">
      <c r="B319" s="31"/>
      <c r="C319" s="31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 spans="2:37" s="102" customFormat="1" ht="15.75" customHeight="1" x14ac:dyDescent="0.25">
      <c r="B320" s="31"/>
      <c r="C320" s="31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 spans="2:37" s="102" customFormat="1" ht="15.75" customHeight="1" x14ac:dyDescent="0.25">
      <c r="B321" s="31"/>
      <c r="C321" s="3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 spans="2:37" s="102" customFormat="1" ht="15.75" customHeight="1" x14ac:dyDescent="0.25">
      <c r="B322" s="31"/>
      <c r="C322" s="31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 spans="2:37" s="102" customFormat="1" ht="15.75" customHeight="1" x14ac:dyDescent="0.25">
      <c r="B323" s="31"/>
      <c r="C323" s="31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 spans="2:37" s="102" customFormat="1" ht="15.75" customHeight="1" x14ac:dyDescent="0.25">
      <c r="B324" s="31"/>
      <c r="C324" s="31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 spans="2:37" s="102" customFormat="1" ht="15.75" customHeight="1" x14ac:dyDescent="0.25">
      <c r="B325" s="31"/>
      <c r="C325" s="31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 spans="2:37" s="102" customFormat="1" ht="15.75" customHeight="1" x14ac:dyDescent="0.25">
      <c r="B326" s="31"/>
      <c r="C326" s="31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 spans="2:37" s="102" customFormat="1" ht="15.75" customHeight="1" x14ac:dyDescent="0.25">
      <c r="B327" s="31"/>
      <c r="C327" s="31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 spans="2:37" s="102" customFormat="1" ht="15.75" customHeight="1" x14ac:dyDescent="0.25">
      <c r="B328" s="31"/>
      <c r="C328" s="31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 spans="2:37" s="102" customFormat="1" ht="15.75" customHeight="1" x14ac:dyDescent="0.25">
      <c r="B329" s="31"/>
      <c r="C329" s="31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 spans="2:37" s="102" customFormat="1" ht="15.75" customHeight="1" x14ac:dyDescent="0.25">
      <c r="B330" s="31"/>
      <c r="C330" s="31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 spans="2:37" s="102" customFormat="1" ht="15.75" customHeight="1" x14ac:dyDescent="0.25">
      <c r="B331" s="31"/>
      <c r="C331" s="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 spans="2:37" s="102" customFormat="1" ht="15.75" customHeight="1" x14ac:dyDescent="0.25">
      <c r="B332" s="31"/>
      <c r="C332" s="31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 spans="2:37" s="102" customFormat="1" ht="15.75" customHeight="1" x14ac:dyDescent="0.25">
      <c r="B333" s="31"/>
      <c r="C333" s="31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 spans="2:37" s="102" customFormat="1" ht="15.75" customHeight="1" x14ac:dyDescent="0.25">
      <c r="B334" s="31"/>
      <c r="C334" s="31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 spans="2:37" s="102" customFormat="1" ht="15.75" customHeight="1" x14ac:dyDescent="0.25">
      <c r="B335" s="31"/>
      <c r="C335" s="31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 spans="2:37" s="102" customFormat="1" ht="15.75" customHeight="1" x14ac:dyDescent="0.25">
      <c r="B336" s="31"/>
      <c r="C336" s="31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 spans="2:37" s="102" customFormat="1" ht="15.75" customHeight="1" x14ac:dyDescent="0.25">
      <c r="B337" s="31"/>
      <c r="C337" s="31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 spans="2:37" s="102" customFormat="1" ht="15.75" customHeight="1" x14ac:dyDescent="0.25">
      <c r="B338" s="31"/>
      <c r="C338" s="31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 spans="2:37" s="102" customFormat="1" ht="15.75" customHeight="1" x14ac:dyDescent="0.25">
      <c r="B339" s="31"/>
      <c r="C339" s="31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 spans="2:37" s="102" customFormat="1" ht="15.75" customHeight="1" x14ac:dyDescent="0.25">
      <c r="B340" s="31"/>
      <c r="C340" s="31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 spans="2:37" s="102" customFormat="1" ht="15.75" customHeight="1" x14ac:dyDescent="0.25">
      <c r="B341" s="31"/>
      <c r="C341" s="3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 spans="2:37" s="102" customFormat="1" ht="15.75" customHeight="1" x14ac:dyDescent="0.25">
      <c r="B342" s="31"/>
      <c r="C342" s="31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 spans="2:37" s="102" customFormat="1" ht="15.75" customHeight="1" x14ac:dyDescent="0.25">
      <c r="B343" s="31"/>
      <c r="C343" s="31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 spans="2:37" s="102" customFormat="1" ht="15.75" customHeight="1" x14ac:dyDescent="0.25">
      <c r="B344" s="31"/>
      <c r="C344" s="31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 spans="2:37" s="102" customFormat="1" ht="15.75" customHeight="1" x14ac:dyDescent="0.25">
      <c r="B345" s="31"/>
      <c r="C345" s="31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 spans="2:37" s="102" customFormat="1" ht="15.75" customHeight="1" x14ac:dyDescent="0.25">
      <c r="B346" s="31"/>
      <c r="C346" s="31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 spans="2:37" s="102" customFormat="1" ht="15.75" customHeight="1" x14ac:dyDescent="0.25">
      <c r="B347" s="31"/>
      <c r="C347" s="31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 spans="2:37" s="102" customFormat="1" ht="15.75" customHeight="1" x14ac:dyDescent="0.25">
      <c r="B348" s="31"/>
      <c r="C348" s="31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 spans="2:37" s="102" customFormat="1" ht="15.75" customHeight="1" x14ac:dyDescent="0.25">
      <c r="B349" s="31"/>
      <c r="C349" s="31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 spans="2:37" s="102" customFormat="1" ht="15.75" customHeight="1" x14ac:dyDescent="0.25">
      <c r="B350" s="31"/>
      <c r="C350" s="31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 spans="2:37" s="102" customFormat="1" ht="15.75" customHeight="1" x14ac:dyDescent="0.25">
      <c r="B351" s="31"/>
      <c r="C351" s="3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 spans="2:37" s="102" customFormat="1" ht="15.75" customHeight="1" x14ac:dyDescent="0.25">
      <c r="B352" s="31"/>
      <c r="C352" s="31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 spans="2:37" s="102" customFormat="1" ht="15.75" customHeight="1" x14ac:dyDescent="0.25">
      <c r="B353" s="31"/>
      <c r="C353" s="31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 spans="2:37" s="102" customFormat="1" ht="15.75" customHeight="1" x14ac:dyDescent="0.25">
      <c r="B354" s="31"/>
      <c r="C354" s="31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 spans="2:37" s="102" customFormat="1" ht="15.75" customHeight="1" x14ac:dyDescent="0.25">
      <c r="B355" s="31"/>
      <c r="C355" s="31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 spans="2:37" s="102" customFormat="1" ht="15.75" customHeight="1" x14ac:dyDescent="0.25">
      <c r="B356" s="31"/>
      <c r="C356" s="31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 spans="2:37" s="102" customFormat="1" ht="15.75" customHeight="1" x14ac:dyDescent="0.25">
      <c r="B357" s="31"/>
      <c r="C357" s="31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 spans="2:37" s="102" customFormat="1" ht="15.75" customHeight="1" x14ac:dyDescent="0.25">
      <c r="B358" s="31"/>
      <c r="C358" s="31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 spans="2:37" s="102" customFormat="1" ht="15.75" customHeight="1" x14ac:dyDescent="0.25">
      <c r="B359" s="31"/>
      <c r="C359" s="31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 spans="2:37" s="102" customFormat="1" ht="15.75" customHeight="1" x14ac:dyDescent="0.25">
      <c r="B360" s="31"/>
      <c r="C360" s="31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 spans="2:37" s="102" customFormat="1" ht="15.75" customHeight="1" x14ac:dyDescent="0.25">
      <c r="B361" s="31"/>
      <c r="C361" s="3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 spans="2:37" s="102" customFormat="1" ht="15.75" customHeight="1" x14ac:dyDescent="0.25">
      <c r="B362" s="31"/>
      <c r="C362" s="31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 spans="2:37" s="102" customFormat="1" ht="15.75" customHeight="1" x14ac:dyDescent="0.25">
      <c r="B363" s="31"/>
      <c r="C363" s="31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 spans="2:37" s="102" customFormat="1" ht="15.75" customHeight="1" x14ac:dyDescent="0.25">
      <c r="B364" s="31"/>
      <c r="C364" s="31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 spans="2:37" s="102" customFormat="1" ht="15.75" customHeight="1" x14ac:dyDescent="0.25">
      <c r="B365" s="31"/>
      <c r="C365" s="31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 spans="2:37" s="102" customFormat="1" ht="15.75" customHeight="1" x14ac:dyDescent="0.25">
      <c r="B366" s="31"/>
      <c r="C366" s="31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 spans="2:37" s="102" customFormat="1" ht="15.75" customHeight="1" x14ac:dyDescent="0.25">
      <c r="B367" s="31"/>
      <c r="C367" s="31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 spans="2:37" s="102" customFormat="1" ht="15.75" customHeight="1" x14ac:dyDescent="0.25">
      <c r="B368" s="31"/>
      <c r="C368" s="31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 spans="2:37" s="102" customFormat="1" ht="15.75" customHeight="1" x14ac:dyDescent="0.25">
      <c r="B369" s="31"/>
      <c r="C369" s="31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 spans="2:37" s="102" customFormat="1" ht="15.75" customHeight="1" x14ac:dyDescent="0.25">
      <c r="B370" s="31"/>
      <c r="C370" s="31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 spans="2:37" s="102" customFormat="1" ht="15.75" customHeight="1" x14ac:dyDescent="0.25">
      <c r="B371" s="31"/>
      <c r="C371" s="3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 spans="2:37" s="102" customFormat="1" ht="15.75" customHeight="1" x14ac:dyDescent="0.25">
      <c r="B372" s="31"/>
      <c r="C372" s="31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 spans="2:37" s="102" customFormat="1" ht="15.75" customHeight="1" x14ac:dyDescent="0.25">
      <c r="B373" s="31"/>
      <c r="C373" s="31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 spans="2:37" s="102" customFormat="1" ht="15.75" customHeight="1" x14ac:dyDescent="0.25">
      <c r="B374" s="31"/>
      <c r="C374" s="31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 spans="2:37" s="102" customFormat="1" ht="15.75" customHeight="1" x14ac:dyDescent="0.25">
      <c r="B375" s="31"/>
      <c r="C375" s="31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 spans="2:37" s="102" customFormat="1" ht="15.75" customHeight="1" x14ac:dyDescent="0.25">
      <c r="B376" s="31"/>
      <c r="C376" s="31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 spans="2:37" s="102" customFormat="1" ht="15.75" customHeight="1" x14ac:dyDescent="0.25">
      <c r="B377" s="31"/>
      <c r="C377" s="31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 spans="2:37" s="102" customFormat="1" ht="15.75" customHeight="1" x14ac:dyDescent="0.25">
      <c r="B378" s="31"/>
      <c r="C378" s="31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 spans="2:37" s="102" customFormat="1" ht="15.75" customHeight="1" x14ac:dyDescent="0.25">
      <c r="B379" s="31"/>
      <c r="C379" s="31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 spans="2:37" s="102" customFormat="1" ht="15.75" customHeight="1" x14ac:dyDescent="0.25">
      <c r="B380" s="31"/>
      <c r="C380" s="31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 spans="2:37" s="102" customFormat="1" ht="15.75" customHeight="1" x14ac:dyDescent="0.25">
      <c r="B381" s="31"/>
      <c r="C381" s="3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 spans="2:37" s="102" customFormat="1" ht="15.75" customHeight="1" x14ac:dyDescent="0.25">
      <c r="B382" s="31"/>
      <c r="C382" s="31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 spans="2:37" s="102" customFormat="1" ht="15.75" customHeight="1" x14ac:dyDescent="0.25">
      <c r="B383" s="31"/>
      <c r="C383" s="31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 spans="2:37" s="102" customFormat="1" ht="15.75" customHeight="1" x14ac:dyDescent="0.25">
      <c r="B384" s="31"/>
      <c r="C384" s="31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 spans="2:37" s="102" customFormat="1" ht="15.75" customHeight="1" x14ac:dyDescent="0.25">
      <c r="B385" s="31"/>
      <c r="C385" s="31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 spans="2:37" s="102" customFormat="1" ht="15.75" customHeight="1" x14ac:dyDescent="0.25">
      <c r="B386" s="31"/>
      <c r="C386" s="31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 spans="2:37" s="102" customFormat="1" ht="15.75" customHeight="1" x14ac:dyDescent="0.25">
      <c r="B387" s="31"/>
      <c r="C387" s="31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 spans="2:37" s="102" customFormat="1" ht="15.75" customHeight="1" x14ac:dyDescent="0.25">
      <c r="B388" s="31"/>
      <c r="C388" s="31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 spans="2:37" s="102" customFormat="1" ht="15.75" customHeight="1" x14ac:dyDescent="0.25">
      <c r="B389" s="31"/>
      <c r="C389" s="31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 spans="2:37" s="102" customFormat="1" ht="15.75" customHeight="1" x14ac:dyDescent="0.25">
      <c r="B390" s="31"/>
      <c r="C390" s="31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 spans="2:37" s="102" customFormat="1" ht="15.75" customHeight="1" x14ac:dyDescent="0.25">
      <c r="B391" s="31"/>
      <c r="C391" s="3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 spans="2:37" s="102" customFormat="1" ht="15.75" customHeight="1" x14ac:dyDescent="0.25">
      <c r="B392" s="31"/>
      <c r="C392" s="31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 spans="2:37" s="102" customFormat="1" ht="15.75" customHeight="1" x14ac:dyDescent="0.25">
      <c r="B393" s="31"/>
      <c r="C393" s="31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 spans="2:37" s="102" customFormat="1" ht="15.75" customHeight="1" x14ac:dyDescent="0.25">
      <c r="B394" s="31"/>
      <c r="C394" s="31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 spans="2:37" s="102" customFormat="1" ht="15.75" customHeight="1" x14ac:dyDescent="0.25">
      <c r="B395" s="31"/>
      <c r="C395" s="31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 spans="2:37" s="102" customFormat="1" ht="15.75" customHeight="1" x14ac:dyDescent="0.25">
      <c r="B396" s="31"/>
      <c r="C396" s="31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 spans="2:37" s="102" customFormat="1" ht="15.75" customHeight="1" x14ac:dyDescent="0.25">
      <c r="B397" s="31"/>
      <c r="C397" s="31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 spans="2:37" s="102" customFormat="1" ht="15.75" customHeight="1" x14ac:dyDescent="0.25">
      <c r="B398" s="31"/>
      <c r="C398" s="31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 spans="2:37" s="102" customFormat="1" ht="15.75" customHeight="1" x14ac:dyDescent="0.25">
      <c r="B399" s="31"/>
      <c r="C399" s="31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 spans="2:37" s="102" customFormat="1" ht="15.75" customHeight="1" x14ac:dyDescent="0.25">
      <c r="B400" s="31"/>
      <c r="C400" s="31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 spans="2:37" s="102" customFormat="1" ht="15.75" customHeight="1" x14ac:dyDescent="0.25">
      <c r="B401" s="31"/>
      <c r="C401" s="3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 spans="2:37" s="102" customFormat="1" ht="15.75" customHeight="1" x14ac:dyDescent="0.25">
      <c r="B402" s="31"/>
      <c r="C402" s="31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 spans="2:37" s="102" customFormat="1" ht="15.75" customHeight="1" x14ac:dyDescent="0.25">
      <c r="B403" s="31"/>
      <c r="C403" s="31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 spans="2:37" s="102" customFormat="1" ht="15.75" customHeight="1" x14ac:dyDescent="0.25">
      <c r="B404" s="31"/>
      <c r="C404" s="31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 spans="2:37" s="102" customFormat="1" ht="15.75" customHeight="1" x14ac:dyDescent="0.25">
      <c r="B405" s="31"/>
      <c r="C405" s="31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 spans="2:37" s="102" customFormat="1" ht="15.75" customHeight="1" x14ac:dyDescent="0.25">
      <c r="B406" s="31"/>
      <c r="C406" s="31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</row>
    <row r="407" spans="2:37" s="102" customFormat="1" ht="15.75" customHeight="1" x14ac:dyDescent="0.25">
      <c r="B407" s="31"/>
      <c r="C407" s="31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 spans="2:37" s="102" customFormat="1" ht="15.75" customHeight="1" x14ac:dyDescent="0.25">
      <c r="B408" s="31"/>
      <c r="C408" s="31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 spans="2:37" s="102" customFormat="1" ht="15.75" customHeight="1" x14ac:dyDescent="0.25">
      <c r="B409" s="31"/>
      <c r="C409" s="31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 spans="2:37" s="102" customFormat="1" ht="15.75" customHeight="1" x14ac:dyDescent="0.25">
      <c r="B410" s="31"/>
      <c r="C410" s="31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 spans="2:37" s="102" customFormat="1" ht="15.75" customHeight="1" x14ac:dyDescent="0.25">
      <c r="B411" s="31"/>
      <c r="C411" s="3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 spans="2:37" s="102" customFormat="1" ht="15.75" customHeight="1" x14ac:dyDescent="0.25">
      <c r="B412" s="31"/>
      <c r="C412" s="31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 spans="2:37" s="102" customFormat="1" ht="15.75" customHeight="1" x14ac:dyDescent="0.25">
      <c r="B413" s="31"/>
      <c r="C413" s="31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 spans="2:37" s="102" customFormat="1" ht="15.75" customHeight="1" x14ac:dyDescent="0.25">
      <c r="B414" s="31"/>
      <c r="C414" s="31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 spans="2:37" s="102" customFormat="1" ht="15.75" customHeight="1" x14ac:dyDescent="0.25">
      <c r="B415" s="31"/>
      <c r="C415" s="31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 spans="2:37" s="102" customFormat="1" ht="15.75" customHeight="1" x14ac:dyDescent="0.25">
      <c r="B416" s="31"/>
      <c r="C416" s="31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 spans="2:37" s="102" customFormat="1" ht="15.75" customHeight="1" x14ac:dyDescent="0.25">
      <c r="B417" s="31"/>
      <c r="C417" s="31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 spans="2:37" s="102" customFormat="1" ht="15.75" customHeight="1" x14ac:dyDescent="0.25">
      <c r="B418" s="31"/>
      <c r="C418" s="31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 spans="2:37" s="102" customFormat="1" ht="15.75" customHeight="1" x14ac:dyDescent="0.25">
      <c r="B419" s="31"/>
      <c r="C419" s="31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 spans="2:37" s="102" customFormat="1" ht="15.75" customHeight="1" x14ac:dyDescent="0.25">
      <c r="B420" s="31"/>
      <c r="C420" s="31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 spans="2:37" s="102" customFormat="1" ht="15.75" customHeight="1" x14ac:dyDescent="0.25">
      <c r="B421" s="31"/>
      <c r="C421" s="3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 spans="2:37" s="102" customFormat="1" ht="15.75" customHeight="1" x14ac:dyDescent="0.25">
      <c r="B422" s="31"/>
      <c r="C422" s="31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 spans="2:37" s="102" customFormat="1" ht="15.75" customHeight="1" x14ac:dyDescent="0.25">
      <c r="B423" s="31"/>
      <c r="C423" s="31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 spans="2:37" s="102" customFormat="1" ht="15.75" customHeight="1" x14ac:dyDescent="0.25">
      <c r="B424" s="31"/>
      <c r="C424" s="31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 spans="2:37" s="102" customFormat="1" ht="15.75" customHeight="1" x14ac:dyDescent="0.25">
      <c r="B425" s="31"/>
      <c r="C425" s="31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 spans="2:37" s="102" customFormat="1" ht="15.75" customHeight="1" x14ac:dyDescent="0.25">
      <c r="B426" s="31"/>
      <c r="C426" s="31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 spans="2:37" s="102" customFormat="1" ht="15.75" customHeight="1" x14ac:dyDescent="0.25">
      <c r="B427" s="31"/>
      <c r="C427" s="31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 spans="2:37" s="102" customFormat="1" ht="15.75" customHeight="1" x14ac:dyDescent="0.25">
      <c r="B428" s="31"/>
      <c r="C428" s="31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 spans="2:37" s="102" customFormat="1" ht="15.75" customHeight="1" x14ac:dyDescent="0.25">
      <c r="B429" s="31"/>
      <c r="C429" s="31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 spans="2:37" s="102" customFormat="1" ht="15.75" customHeight="1" x14ac:dyDescent="0.25">
      <c r="B430" s="31"/>
      <c r="C430" s="31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 spans="2:37" s="102" customFormat="1" ht="15.75" customHeight="1" x14ac:dyDescent="0.25">
      <c r="B431" s="31"/>
      <c r="C431" s="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 spans="2:37" s="102" customFormat="1" ht="15.75" customHeight="1" x14ac:dyDescent="0.25">
      <c r="B432" s="31"/>
      <c r="C432" s="31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 spans="2:37" s="102" customFormat="1" ht="15.75" customHeight="1" x14ac:dyDescent="0.25">
      <c r="B433" s="31"/>
      <c r="C433" s="31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 spans="2:37" s="102" customFormat="1" ht="15.75" customHeight="1" x14ac:dyDescent="0.25">
      <c r="B434" s="31"/>
      <c r="C434" s="31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 spans="2:37" s="102" customFormat="1" ht="15.75" customHeight="1" x14ac:dyDescent="0.25">
      <c r="B435" s="31"/>
      <c r="C435" s="31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 spans="2:37" s="102" customFormat="1" ht="15.75" customHeight="1" x14ac:dyDescent="0.25">
      <c r="B436" s="31"/>
      <c r="C436" s="31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 spans="2:37" s="102" customFormat="1" ht="15.75" customHeight="1" x14ac:dyDescent="0.25">
      <c r="B437" s="31"/>
      <c r="C437" s="31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 spans="2:37" s="102" customFormat="1" ht="15.75" customHeight="1" x14ac:dyDescent="0.25">
      <c r="B438" s="31"/>
      <c r="C438" s="31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 spans="2:37" s="102" customFormat="1" ht="15.75" customHeight="1" x14ac:dyDescent="0.25">
      <c r="B439" s="31"/>
      <c r="C439" s="31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 spans="2:37" s="102" customFormat="1" ht="15.75" customHeight="1" x14ac:dyDescent="0.25">
      <c r="B440" s="31"/>
      <c r="C440" s="31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 spans="2:37" s="102" customFormat="1" ht="15.75" customHeight="1" x14ac:dyDescent="0.25">
      <c r="B441" s="31"/>
      <c r="C441" s="3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 spans="2:37" s="102" customFormat="1" ht="15.75" customHeight="1" x14ac:dyDescent="0.25">
      <c r="B442" s="31"/>
      <c r="C442" s="31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 spans="2:37" s="102" customFormat="1" ht="15.75" customHeight="1" x14ac:dyDescent="0.25">
      <c r="B443" s="31"/>
      <c r="C443" s="31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 spans="2:37" s="102" customFormat="1" ht="15.75" customHeight="1" x14ac:dyDescent="0.25">
      <c r="B444" s="31"/>
      <c r="C444" s="31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 spans="2:37" s="102" customFormat="1" ht="15.75" customHeight="1" x14ac:dyDescent="0.25">
      <c r="B445" s="31"/>
      <c r="C445" s="31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 spans="2:37" s="102" customFormat="1" ht="15.75" customHeight="1" x14ac:dyDescent="0.25">
      <c r="B446" s="31"/>
      <c r="C446" s="31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 spans="2:37" s="102" customFormat="1" ht="15.75" customHeight="1" x14ac:dyDescent="0.25">
      <c r="B447" s="31"/>
      <c r="C447" s="31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 spans="2:37" s="102" customFormat="1" ht="15.75" customHeight="1" x14ac:dyDescent="0.25">
      <c r="B448" s="31"/>
      <c r="C448" s="31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 spans="2:37" s="102" customFormat="1" ht="15.75" customHeight="1" x14ac:dyDescent="0.25">
      <c r="B449" s="31"/>
      <c r="C449" s="31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 spans="2:37" s="102" customFormat="1" ht="15.75" customHeight="1" x14ac:dyDescent="0.25">
      <c r="B450" s="31"/>
      <c r="C450" s="31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 spans="2:37" s="102" customFormat="1" ht="15.75" customHeight="1" x14ac:dyDescent="0.25">
      <c r="B451" s="31"/>
      <c r="C451" s="3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 spans="2:37" s="102" customFormat="1" ht="15.75" customHeight="1" x14ac:dyDescent="0.25">
      <c r="B452" s="31"/>
      <c r="C452" s="31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 spans="2:37" s="102" customFormat="1" ht="15.75" customHeight="1" x14ac:dyDescent="0.25">
      <c r="B453" s="31"/>
      <c r="C453" s="31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 spans="2:37" s="102" customFormat="1" ht="15.75" customHeight="1" x14ac:dyDescent="0.25">
      <c r="B454" s="31"/>
      <c r="C454" s="31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 spans="2:37" s="102" customFormat="1" ht="15.75" customHeight="1" x14ac:dyDescent="0.25">
      <c r="B455" s="31"/>
      <c r="C455" s="31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 spans="2:37" s="102" customFormat="1" ht="15.75" customHeight="1" x14ac:dyDescent="0.25">
      <c r="B456" s="31"/>
      <c r="C456" s="31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 spans="2:37" s="102" customFormat="1" ht="15.75" customHeight="1" x14ac:dyDescent="0.25">
      <c r="B457" s="31"/>
      <c r="C457" s="31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 spans="2:37" s="102" customFormat="1" ht="15.75" customHeight="1" x14ac:dyDescent="0.25">
      <c r="B458" s="31"/>
      <c r="C458" s="31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 spans="2:37" s="102" customFormat="1" ht="15.75" customHeight="1" x14ac:dyDescent="0.25">
      <c r="B459" s="31"/>
      <c r="C459" s="31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 spans="2:37" s="102" customFormat="1" ht="15.75" customHeight="1" x14ac:dyDescent="0.25">
      <c r="B460" s="31"/>
      <c r="C460" s="31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 spans="2:37" s="102" customFormat="1" ht="15.75" customHeight="1" x14ac:dyDescent="0.25">
      <c r="B461" s="31"/>
      <c r="C461" s="3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 spans="2:37" s="102" customFormat="1" ht="15.75" customHeight="1" x14ac:dyDescent="0.25">
      <c r="B462" s="31"/>
      <c r="C462" s="31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 spans="2:37" s="102" customFormat="1" ht="15.75" customHeight="1" x14ac:dyDescent="0.25">
      <c r="B463" s="31"/>
      <c r="C463" s="31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 spans="2:37" s="102" customFormat="1" ht="15.75" customHeight="1" x14ac:dyDescent="0.25">
      <c r="B464" s="31"/>
      <c r="C464" s="31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 spans="2:37" s="102" customFormat="1" ht="15.75" customHeight="1" x14ac:dyDescent="0.25">
      <c r="B465" s="31"/>
      <c r="C465" s="31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 spans="2:37" s="102" customFormat="1" ht="15.75" customHeight="1" x14ac:dyDescent="0.25">
      <c r="B466" s="31"/>
      <c r="C466" s="31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 spans="2:37" s="102" customFormat="1" ht="15.75" customHeight="1" x14ac:dyDescent="0.25">
      <c r="B467" s="31"/>
      <c r="C467" s="31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 spans="2:37" s="102" customFormat="1" ht="15.75" customHeight="1" x14ac:dyDescent="0.25">
      <c r="B468" s="31"/>
      <c r="C468" s="31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 spans="2:37" s="102" customFormat="1" ht="15.75" customHeight="1" x14ac:dyDescent="0.25">
      <c r="B469" s="31"/>
      <c r="C469" s="31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 spans="2:37" s="102" customFormat="1" ht="15.75" customHeight="1" x14ac:dyDescent="0.25">
      <c r="B470" s="31"/>
      <c r="C470" s="31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 spans="2:37" s="102" customFormat="1" ht="15.75" customHeight="1" x14ac:dyDescent="0.25">
      <c r="B471" s="31"/>
      <c r="C471" s="3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 spans="2:37" s="102" customFormat="1" ht="15.75" customHeight="1" x14ac:dyDescent="0.25">
      <c r="B472" s="31"/>
      <c r="C472" s="31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 spans="2:37" s="102" customFormat="1" ht="15.75" customHeight="1" x14ac:dyDescent="0.25">
      <c r="B473" s="31"/>
      <c r="C473" s="31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 spans="2:37" s="102" customFormat="1" ht="15.75" customHeight="1" x14ac:dyDescent="0.25">
      <c r="B474" s="31"/>
      <c r="C474" s="31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 spans="2:37" s="102" customFormat="1" ht="15.75" customHeight="1" x14ac:dyDescent="0.25">
      <c r="B475" s="31"/>
      <c r="C475" s="31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 spans="2:37" s="102" customFormat="1" ht="15.75" customHeight="1" x14ac:dyDescent="0.25">
      <c r="B476" s="31"/>
      <c r="C476" s="31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 spans="2:37" s="102" customFormat="1" ht="15.75" customHeight="1" x14ac:dyDescent="0.25">
      <c r="B477" s="31"/>
      <c r="C477" s="31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 spans="2:37" s="102" customFormat="1" ht="15.75" customHeight="1" x14ac:dyDescent="0.25">
      <c r="B478" s="31"/>
      <c r="C478" s="31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 spans="2:37" s="102" customFormat="1" ht="15.75" customHeight="1" x14ac:dyDescent="0.25">
      <c r="B479" s="31"/>
      <c r="C479" s="31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 spans="2:37" s="102" customFormat="1" ht="15.75" customHeight="1" x14ac:dyDescent="0.25">
      <c r="B480" s="31"/>
      <c r="C480" s="31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 spans="2:37" s="102" customFormat="1" ht="15.75" customHeight="1" x14ac:dyDescent="0.25">
      <c r="B481" s="31"/>
      <c r="C481" s="3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 spans="2:37" s="102" customFormat="1" ht="15.75" customHeight="1" x14ac:dyDescent="0.25">
      <c r="B482" s="31"/>
      <c r="C482" s="31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 spans="2:37" s="102" customFormat="1" ht="15.75" customHeight="1" x14ac:dyDescent="0.25">
      <c r="B483" s="31"/>
      <c r="C483" s="31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 spans="2:37" s="102" customFormat="1" ht="15.75" customHeight="1" x14ac:dyDescent="0.25">
      <c r="B484" s="31"/>
      <c r="C484" s="31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 spans="2:37" s="102" customFormat="1" ht="15.75" customHeight="1" x14ac:dyDescent="0.25">
      <c r="B485" s="31"/>
      <c r="C485" s="31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 spans="2:37" s="102" customFormat="1" ht="15.75" customHeight="1" x14ac:dyDescent="0.25">
      <c r="B486" s="31"/>
      <c r="C486" s="31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 spans="2:37" s="102" customFormat="1" ht="15.75" customHeight="1" x14ac:dyDescent="0.25">
      <c r="B487" s="31"/>
      <c r="C487" s="31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 spans="2:37" s="102" customFormat="1" ht="15.75" customHeight="1" x14ac:dyDescent="0.25">
      <c r="B488" s="31"/>
      <c r="C488" s="31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 spans="2:37" s="102" customFormat="1" ht="15.75" customHeight="1" x14ac:dyDescent="0.25">
      <c r="B489" s="31"/>
      <c r="C489" s="31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 spans="2:37" s="102" customFormat="1" ht="15.75" customHeight="1" x14ac:dyDescent="0.25">
      <c r="B490" s="31"/>
      <c r="C490" s="31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 spans="2:37" s="102" customFormat="1" ht="15.75" customHeight="1" x14ac:dyDescent="0.25">
      <c r="B491" s="31"/>
      <c r="C491" s="3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 spans="2:37" s="102" customFormat="1" ht="15.75" customHeight="1" x14ac:dyDescent="0.25">
      <c r="B492" s="31"/>
      <c r="C492" s="31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 spans="2:37" s="102" customFormat="1" ht="15.75" customHeight="1" x14ac:dyDescent="0.25">
      <c r="B493" s="31"/>
      <c r="C493" s="31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 spans="2:37" s="102" customFormat="1" ht="15.75" customHeight="1" x14ac:dyDescent="0.25">
      <c r="B494" s="31"/>
      <c r="C494" s="31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 spans="2:37" s="102" customFormat="1" ht="15.75" customHeight="1" x14ac:dyDescent="0.25">
      <c r="B495" s="31"/>
      <c r="C495" s="31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 spans="2:37" s="102" customFormat="1" ht="15.75" customHeight="1" x14ac:dyDescent="0.25">
      <c r="B496" s="31"/>
      <c r="C496" s="31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 spans="2:37" s="102" customFormat="1" ht="15.75" customHeight="1" x14ac:dyDescent="0.25">
      <c r="B497" s="31"/>
      <c r="C497" s="31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 spans="2:37" s="102" customFormat="1" ht="15.75" customHeight="1" x14ac:dyDescent="0.25">
      <c r="B498" s="31"/>
      <c r="C498" s="31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 spans="2:37" s="102" customFormat="1" ht="15.75" customHeight="1" x14ac:dyDescent="0.25">
      <c r="B499" s="31"/>
      <c r="C499" s="31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 spans="2:37" s="102" customFormat="1" ht="15.75" customHeight="1" x14ac:dyDescent="0.25">
      <c r="B500" s="31"/>
      <c r="C500" s="31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 spans="2:37" s="102" customFormat="1" ht="15.75" customHeight="1" x14ac:dyDescent="0.25">
      <c r="B501" s="31"/>
      <c r="C501" s="3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 spans="2:37" s="102" customFormat="1" ht="15.75" customHeight="1" x14ac:dyDescent="0.25">
      <c r="B502" s="31"/>
      <c r="C502" s="31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 spans="2:37" s="102" customFormat="1" ht="15.75" customHeight="1" x14ac:dyDescent="0.25">
      <c r="B503" s="31"/>
      <c r="C503" s="31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 spans="2:37" s="102" customFormat="1" ht="15.75" customHeight="1" x14ac:dyDescent="0.25">
      <c r="B504" s="31"/>
      <c r="C504" s="31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 spans="2:37" s="102" customFormat="1" ht="15.75" customHeight="1" x14ac:dyDescent="0.25">
      <c r="B505" s="31"/>
      <c r="C505" s="31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 spans="2:37" s="102" customFormat="1" ht="15.75" customHeight="1" x14ac:dyDescent="0.25">
      <c r="B506" s="31"/>
      <c r="C506" s="31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 spans="2:37" s="102" customFormat="1" ht="15.75" customHeight="1" x14ac:dyDescent="0.25">
      <c r="B507" s="31"/>
      <c r="C507" s="31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 spans="2:37" s="102" customFormat="1" ht="15.75" customHeight="1" x14ac:dyDescent="0.25">
      <c r="B508" s="31"/>
      <c r="C508" s="31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 spans="2:37" s="102" customFormat="1" ht="15.75" customHeight="1" x14ac:dyDescent="0.25">
      <c r="B509" s="31"/>
      <c r="C509" s="31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 spans="2:37" s="102" customFormat="1" ht="15.75" customHeight="1" x14ac:dyDescent="0.25">
      <c r="B510" s="31"/>
      <c r="C510" s="31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 spans="2:37" s="102" customFormat="1" ht="15.75" customHeight="1" x14ac:dyDescent="0.25">
      <c r="B511" s="31"/>
      <c r="C511" s="3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 spans="2:37" s="102" customFormat="1" ht="15.75" customHeight="1" x14ac:dyDescent="0.25">
      <c r="B512" s="31"/>
      <c r="C512" s="31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 spans="2:37" s="102" customFormat="1" ht="15.75" customHeight="1" x14ac:dyDescent="0.25">
      <c r="B513" s="31"/>
      <c r="C513" s="31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 spans="2:37" s="102" customFormat="1" ht="15.75" customHeight="1" x14ac:dyDescent="0.25">
      <c r="B514" s="31"/>
      <c r="C514" s="31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 spans="2:37" s="102" customFormat="1" ht="15.75" customHeight="1" x14ac:dyDescent="0.25">
      <c r="B515" s="31"/>
      <c r="C515" s="31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 spans="2:37" s="102" customFormat="1" ht="15.75" customHeight="1" x14ac:dyDescent="0.25">
      <c r="B516" s="31"/>
      <c r="C516" s="31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 spans="2:37" s="102" customFormat="1" ht="15.75" customHeight="1" x14ac:dyDescent="0.25">
      <c r="B517" s="31"/>
      <c r="C517" s="31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 spans="2:37" s="102" customFormat="1" ht="15.75" customHeight="1" x14ac:dyDescent="0.25">
      <c r="B518" s="31"/>
      <c r="C518" s="31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 spans="2:37" s="102" customFormat="1" ht="15.75" customHeight="1" x14ac:dyDescent="0.25">
      <c r="B519" s="31"/>
      <c r="C519" s="31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 spans="2:37" s="102" customFormat="1" ht="15.75" customHeight="1" x14ac:dyDescent="0.25">
      <c r="B520" s="31"/>
      <c r="C520" s="31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 spans="2:37" s="102" customFormat="1" ht="15.75" customHeight="1" x14ac:dyDescent="0.25">
      <c r="B521" s="31"/>
      <c r="C521" s="3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 spans="2:37" s="102" customFormat="1" ht="15.75" customHeight="1" x14ac:dyDescent="0.25">
      <c r="B522" s="31"/>
      <c r="C522" s="31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 spans="2:37" s="102" customFormat="1" ht="15.75" customHeight="1" x14ac:dyDescent="0.25">
      <c r="B523" s="31"/>
      <c r="C523" s="31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 spans="2:37" s="102" customFormat="1" ht="15.75" customHeight="1" x14ac:dyDescent="0.25">
      <c r="B524" s="31"/>
      <c r="C524" s="31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 spans="2:37" s="102" customFormat="1" ht="15.75" customHeight="1" x14ac:dyDescent="0.25">
      <c r="B525" s="31"/>
      <c r="C525" s="31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 spans="2:37" s="102" customFormat="1" ht="15.75" customHeight="1" x14ac:dyDescent="0.25">
      <c r="B526" s="31"/>
      <c r="C526" s="31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 spans="2:37" s="102" customFormat="1" ht="15.75" customHeight="1" x14ac:dyDescent="0.25">
      <c r="B527" s="31"/>
      <c r="C527" s="31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 spans="2:37" s="102" customFormat="1" ht="15.75" customHeight="1" x14ac:dyDescent="0.25">
      <c r="B528" s="31"/>
      <c r="C528" s="31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 spans="2:37" s="102" customFormat="1" ht="15.75" customHeight="1" x14ac:dyDescent="0.25">
      <c r="B529" s="31"/>
      <c r="C529" s="31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 spans="2:37" s="102" customFormat="1" ht="15.75" customHeight="1" x14ac:dyDescent="0.25">
      <c r="B530" s="31"/>
      <c r="C530" s="31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 spans="2:37" s="102" customFormat="1" ht="15.75" customHeight="1" x14ac:dyDescent="0.25">
      <c r="B531" s="31"/>
      <c r="C531" s="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 spans="2:37" s="102" customFormat="1" ht="15.75" customHeight="1" x14ac:dyDescent="0.25">
      <c r="B532" s="31"/>
      <c r="C532" s="31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 spans="2:37" s="102" customFormat="1" ht="15.75" customHeight="1" x14ac:dyDescent="0.25">
      <c r="B533" s="31"/>
      <c r="C533" s="31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 spans="2:37" s="102" customFormat="1" ht="15.75" customHeight="1" x14ac:dyDescent="0.25">
      <c r="B534" s="31"/>
      <c r="C534" s="31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 spans="2:37" s="102" customFormat="1" ht="15.75" customHeight="1" x14ac:dyDescent="0.25">
      <c r="B535" s="31"/>
      <c r="C535" s="31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 spans="2:37" s="102" customFormat="1" ht="15.75" customHeight="1" x14ac:dyDescent="0.25">
      <c r="B536" s="31"/>
      <c r="C536" s="31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 spans="2:37" s="102" customFormat="1" ht="15.75" customHeight="1" x14ac:dyDescent="0.25">
      <c r="B537" s="31"/>
      <c r="C537" s="31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 spans="2:37" s="102" customFormat="1" ht="15.75" customHeight="1" x14ac:dyDescent="0.25">
      <c r="B538" s="31"/>
      <c r="C538" s="31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 spans="2:37" s="102" customFormat="1" ht="15.75" customHeight="1" x14ac:dyDescent="0.25">
      <c r="B539" s="31"/>
      <c r="C539" s="31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 spans="2:37" s="102" customFormat="1" ht="15.75" customHeight="1" x14ac:dyDescent="0.25">
      <c r="B540" s="31"/>
      <c r="C540" s="31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 spans="2:37" s="102" customFormat="1" ht="15.75" customHeight="1" x14ac:dyDescent="0.25">
      <c r="B541" s="31"/>
      <c r="C541" s="3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 spans="2:37" s="102" customFormat="1" ht="15.75" customHeight="1" x14ac:dyDescent="0.25">
      <c r="B542" s="31"/>
      <c r="C542" s="31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 spans="2:37" s="102" customFormat="1" ht="15.75" customHeight="1" x14ac:dyDescent="0.25">
      <c r="B543" s="31"/>
      <c r="C543" s="31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 spans="2:37" s="102" customFormat="1" ht="15.75" customHeight="1" x14ac:dyDescent="0.25">
      <c r="B544" s="31"/>
      <c r="C544" s="31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 spans="2:37" s="102" customFormat="1" ht="15.75" customHeight="1" x14ac:dyDescent="0.25">
      <c r="B545" s="31"/>
      <c r="C545" s="31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 spans="2:37" s="102" customFormat="1" ht="15.75" customHeight="1" x14ac:dyDescent="0.25">
      <c r="B546" s="31"/>
      <c r="C546" s="31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 spans="2:37" s="102" customFormat="1" ht="15.75" customHeight="1" x14ac:dyDescent="0.25">
      <c r="B547" s="31"/>
      <c r="C547" s="31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 spans="2:37" s="102" customFormat="1" ht="15.75" customHeight="1" x14ac:dyDescent="0.25">
      <c r="B548" s="31"/>
      <c r="C548" s="31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 spans="2:37" s="102" customFormat="1" ht="15.75" customHeight="1" x14ac:dyDescent="0.25">
      <c r="B549" s="31"/>
      <c r="C549" s="31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 spans="2:37" s="102" customFormat="1" ht="15.75" customHeight="1" x14ac:dyDescent="0.25">
      <c r="B550" s="31"/>
      <c r="C550" s="31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 spans="2:37" s="102" customFormat="1" ht="15.75" customHeight="1" x14ac:dyDescent="0.25">
      <c r="B551" s="31"/>
      <c r="C551" s="3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 spans="2:37" s="102" customFormat="1" ht="15.75" customHeight="1" x14ac:dyDescent="0.25">
      <c r="B552" s="31"/>
      <c r="C552" s="31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 spans="2:37" s="102" customFormat="1" ht="15.75" customHeight="1" x14ac:dyDescent="0.25">
      <c r="B553" s="31"/>
      <c r="C553" s="31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 spans="2:37" s="102" customFormat="1" ht="15.75" customHeight="1" x14ac:dyDescent="0.25">
      <c r="B554" s="31"/>
      <c r="C554" s="31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 spans="2:37" s="102" customFormat="1" ht="15.75" customHeight="1" x14ac:dyDescent="0.25">
      <c r="B555" s="31"/>
      <c r="C555" s="31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 spans="2:37" s="102" customFormat="1" ht="15.75" customHeight="1" x14ac:dyDescent="0.25">
      <c r="B556" s="31"/>
      <c r="C556" s="31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 spans="2:37" s="102" customFormat="1" ht="15.75" customHeight="1" x14ac:dyDescent="0.25">
      <c r="B557" s="31"/>
      <c r="C557" s="31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 spans="2:37" s="102" customFormat="1" ht="15.75" customHeight="1" x14ac:dyDescent="0.25">
      <c r="B558" s="31"/>
      <c r="C558" s="31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 spans="2:37" s="102" customFormat="1" ht="15.75" customHeight="1" x14ac:dyDescent="0.25">
      <c r="B559" s="31"/>
      <c r="C559" s="31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 spans="2:37" s="102" customFormat="1" ht="15.75" customHeight="1" x14ac:dyDescent="0.25">
      <c r="B560" s="31"/>
      <c r="C560" s="31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 spans="2:37" s="102" customFormat="1" ht="15.75" customHeight="1" x14ac:dyDescent="0.25">
      <c r="B561" s="31"/>
      <c r="C561" s="3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 spans="2:37" s="102" customFormat="1" ht="15.75" customHeight="1" x14ac:dyDescent="0.25">
      <c r="B562" s="31"/>
      <c r="C562" s="31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 spans="2:37" s="102" customFormat="1" ht="15.75" customHeight="1" x14ac:dyDescent="0.25">
      <c r="B563" s="31"/>
      <c r="C563" s="31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 spans="2:37" s="102" customFormat="1" ht="15.75" customHeight="1" x14ac:dyDescent="0.25">
      <c r="B564" s="31"/>
      <c r="C564" s="31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 spans="2:37" s="102" customFormat="1" ht="15.75" customHeight="1" x14ac:dyDescent="0.25">
      <c r="B565" s="31"/>
      <c r="C565" s="31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 spans="2:37" s="102" customFormat="1" ht="15.75" customHeight="1" x14ac:dyDescent="0.25">
      <c r="B566" s="31"/>
      <c r="C566" s="31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 spans="2:37" s="102" customFormat="1" ht="15.75" customHeight="1" x14ac:dyDescent="0.25">
      <c r="B567" s="31"/>
      <c r="C567" s="31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 spans="2:37" s="102" customFormat="1" ht="15.75" customHeight="1" x14ac:dyDescent="0.25">
      <c r="B568" s="31"/>
      <c r="C568" s="31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 spans="2:37" s="102" customFormat="1" ht="15.75" customHeight="1" x14ac:dyDescent="0.25">
      <c r="B569" s="31"/>
      <c r="C569" s="31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 spans="2:37" s="102" customFormat="1" ht="15.75" customHeight="1" x14ac:dyDescent="0.25">
      <c r="B570" s="31"/>
      <c r="C570" s="31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 spans="2:37" s="102" customFormat="1" ht="15.75" customHeight="1" x14ac:dyDescent="0.25">
      <c r="B571" s="31"/>
      <c r="C571" s="3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 spans="2:37" s="102" customFormat="1" ht="15.75" customHeight="1" x14ac:dyDescent="0.25">
      <c r="B572" s="31"/>
      <c r="C572" s="31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 spans="2:37" s="102" customFormat="1" ht="15.75" customHeight="1" x14ac:dyDescent="0.25">
      <c r="B573" s="31"/>
      <c r="C573" s="31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 spans="2:37" s="102" customFormat="1" ht="15.75" customHeight="1" x14ac:dyDescent="0.25">
      <c r="B574" s="31"/>
      <c r="C574" s="31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 spans="2:37" s="102" customFormat="1" ht="15.75" customHeight="1" x14ac:dyDescent="0.25">
      <c r="B575" s="31"/>
      <c r="C575" s="31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 spans="2:37" s="102" customFormat="1" ht="15.75" customHeight="1" x14ac:dyDescent="0.25">
      <c r="B576" s="31"/>
      <c r="C576" s="31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 spans="2:37" s="102" customFormat="1" ht="15.75" customHeight="1" x14ac:dyDescent="0.25">
      <c r="B577" s="31"/>
      <c r="C577" s="31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 spans="2:37" s="102" customFormat="1" ht="15.75" customHeight="1" x14ac:dyDescent="0.25">
      <c r="B578" s="31"/>
      <c r="C578" s="31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 spans="2:37" s="102" customFormat="1" ht="15.75" customHeight="1" x14ac:dyDescent="0.25">
      <c r="B579" s="31"/>
      <c r="C579" s="31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 spans="2:37" s="102" customFormat="1" ht="15.75" customHeight="1" x14ac:dyDescent="0.25">
      <c r="B580" s="31"/>
      <c r="C580" s="31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 spans="2:37" s="102" customFormat="1" ht="15.75" customHeight="1" x14ac:dyDescent="0.25">
      <c r="B581" s="31"/>
      <c r="C581" s="3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 spans="2:37" s="102" customFormat="1" ht="15.75" customHeight="1" x14ac:dyDescent="0.25">
      <c r="B582" s="31"/>
      <c r="C582" s="31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 spans="2:37" s="102" customFormat="1" ht="15.75" customHeight="1" x14ac:dyDescent="0.25">
      <c r="B583" s="31"/>
      <c r="C583" s="31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 spans="2:37" s="102" customFormat="1" ht="15.75" customHeight="1" x14ac:dyDescent="0.25">
      <c r="B584" s="31"/>
      <c r="C584" s="31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 spans="2:37" s="102" customFormat="1" ht="15.75" customHeight="1" x14ac:dyDescent="0.25">
      <c r="B585" s="31"/>
      <c r="C585" s="31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 spans="2:37" s="102" customFormat="1" ht="15.75" customHeight="1" x14ac:dyDescent="0.25">
      <c r="B586" s="31"/>
      <c r="C586" s="31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 spans="2:37" s="102" customFormat="1" ht="15.75" customHeight="1" x14ac:dyDescent="0.25">
      <c r="B587" s="31"/>
      <c r="C587" s="31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 spans="2:37" s="102" customFormat="1" ht="15.75" customHeight="1" x14ac:dyDescent="0.25">
      <c r="B588" s="31"/>
      <c r="C588" s="31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 spans="2:37" s="102" customFormat="1" ht="15.75" customHeight="1" x14ac:dyDescent="0.25">
      <c r="B589" s="31"/>
      <c r="C589" s="31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 spans="2:37" s="102" customFormat="1" ht="15.75" customHeight="1" x14ac:dyDescent="0.25">
      <c r="B590" s="31"/>
      <c r="C590" s="31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 spans="2:37" s="102" customFormat="1" ht="15.75" customHeight="1" x14ac:dyDescent="0.25">
      <c r="B591" s="31"/>
      <c r="C591" s="3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 spans="2:37" s="102" customFormat="1" ht="15.75" customHeight="1" x14ac:dyDescent="0.25">
      <c r="B592" s="31"/>
      <c r="C592" s="31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 spans="2:37" s="102" customFormat="1" ht="15.75" customHeight="1" x14ac:dyDescent="0.25">
      <c r="B593" s="31"/>
      <c r="C593" s="31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 spans="2:37" s="102" customFormat="1" ht="15.75" customHeight="1" x14ac:dyDescent="0.25">
      <c r="B594" s="31"/>
      <c r="C594" s="31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 spans="2:37" s="102" customFormat="1" ht="15.75" customHeight="1" x14ac:dyDescent="0.25">
      <c r="B595" s="31"/>
      <c r="C595" s="31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 spans="2:37" s="102" customFormat="1" ht="15.75" customHeight="1" x14ac:dyDescent="0.25">
      <c r="B596" s="31"/>
      <c r="C596" s="31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 spans="2:37" s="102" customFormat="1" ht="15.75" customHeight="1" x14ac:dyDescent="0.25">
      <c r="B597" s="31"/>
      <c r="C597" s="31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 spans="2:37" s="102" customFormat="1" ht="15.75" customHeight="1" x14ac:dyDescent="0.25">
      <c r="B598" s="31"/>
      <c r="C598" s="31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 spans="2:37" s="102" customFormat="1" ht="15.75" customHeight="1" x14ac:dyDescent="0.25">
      <c r="B599" s="31"/>
      <c r="C599" s="31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 spans="2:37" s="102" customFormat="1" ht="15.75" customHeight="1" x14ac:dyDescent="0.25">
      <c r="B600" s="31"/>
      <c r="C600" s="31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 spans="2:37" s="102" customFormat="1" ht="15.75" customHeight="1" x14ac:dyDescent="0.25">
      <c r="B601" s="31"/>
      <c r="C601" s="3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 spans="2:37" s="102" customFormat="1" ht="15.75" customHeight="1" x14ac:dyDescent="0.25">
      <c r="B602" s="31"/>
      <c r="C602" s="31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 spans="2:37" s="102" customFormat="1" ht="15.75" customHeight="1" x14ac:dyDescent="0.25">
      <c r="B603" s="31"/>
      <c r="C603" s="31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 spans="2:37" s="102" customFormat="1" ht="15.75" customHeight="1" x14ac:dyDescent="0.25">
      <c r="B604" s="31"/>
      <c r="C604" s="31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 spans="2:37" s="102" customFormat="1" ht="15.75" customHeight="1" x14ac:dyDescent="0.25">
      <c r="B605" s="31"/>
      <c r="C605" s="31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 spans="2:37" s="102" customFormat="1" ht="15.75" customHeight="1" x14ac:dyDescent="0.25">
      <c r="B606" s="31"/>
      <c r="C606" s="31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 spans="2:37" s="102" customFormat="1" ht="15.75" customHeight="1" x14ac:dyDescent="0.25">
      <c r="B607" s="31"/>
      <c r="C607" s="31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 spans="2:37" s="102" customFormat="1" ht="15.75" customHeight="1" x14ac:dyDescent="0.25">
      <c r="B608" s="31"/>
      <c r="C608" s="31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 spans="2:37" s="102" customFormat="1" ht="15.75" customHeight="1" x14ac:dyDescent="0.25">
      <c r="B609" s="31"/>
      <c r="C609" s="31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 spans="2:37" s="102" customFormat="1" ht="15.75" customHeight="1" x14ac:dyDescent="0.25">
      <c r="B610" s="31"/>
      <c r="C610" s="31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 spans="2:37" s="102" customFormat="1" ht="15.75" customHeight="1" x14ac:dyDescent="0.25">
      <c r="B611" s="31"/>
      <c r="C611" s="3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 spans="2:37" s="102" customFormat="1" ht="15.75" customHeight="1" x14ac:dyDescent="0.25">
      <c r="B612" s="31"/>
      <c r="C612" s="31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 spans="2:37" s="102" customFormat="1" ht="15.75" customHeight="1" x14ac:dyDescent="0.25">
      <c r="B613" s="31"/>
      <c r="C613" s="31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 spans="2:37" s="102" customFormat="1" ht="15.75" customHeight="1" x14ac:dyDescent="0.25">
      <c r="B614" s="31"/>
      <c r="C614" s="31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 spans="2:37" s="102" customFormat="1" ht="15.75" customHeight="1" x14ac:dyDescent="0.25">
      <c r="B615" s="31"/>
      <c r="C615" s="31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 spans="2:37" s="102" customFormat="1" ht="15.75" customHeight="1" x14ac:dyDescent="0.25">
      <c r="B616" s="31"/>
      <c r="C616" s="31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 spans="2:37" s="102" customFormat="1" ht="15.75" customHeight="1" x14ac:dyDescent="0.25">
      <c r="B617" s="31"/>
      <c r="C617" s="31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 spans="2:37" s="102" customFormat="1" ht="15.75" customHeight="1" x14ac:dyDescent="0.25">
      <c r="B618" s="31"/>
      <c r="C618" s="31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 spans="2:37" s="102" customFormat="1" ht="15.75" customHeight="1" x14ac:dyDescent="0.25">
      <c r="B619" s="31"/>
      <c r="C619" s="31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 spans="2:37" s="102" customFormat="1" ht="15.75" customHeight="1" x14ac:dyDescent="0.25">
      <c r="B620" s="31"/>
      <c r="C620" s="31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 spans="2:37" s="102" customFormat="1" ht="15.75" customHeight="1" x14ac:dyDescent="0.25">
      <c r="B621" s="31"/>
      <c r="C621" s="3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 spans="2:37" s="102" customFormat="1" ht="15.75" customHeight="1" x14ac:dyDescent="0.25">
      <c r="B622" s="31"/>
      <c r="C622" s="31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 spans="2:37" s="102" customFormat="1" ht="15.75" customHeight="1" x14ac:dyDescent="0.25">
      <c r="B623" s="31"/>
      <c r="C623" s="31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 spans="2:37" s="102" customFormat="1" ht="15.75" customHeight="1" x14ac:dyDescent="0.25">
      <c r="B624" s="31"/>
      <c r="C624" s="31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 spans="2:37" s="102" customFormat="1" ht="15.75" customHeight="1" x14ac:dyDescent="0.25">
      <c r="B625" s="31"/>
      <c r="C625" s="31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 spans="2:37" s="102" customFormat="1" ht="15.75" customHeight="1" x14ac:dyDescent="0.25">
      <c r="B626" s="31"/>
      <c r="C626" s="31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 spans="2:37" s="102" customFormat="1" ht="15.75" customHeight="1" x14ac:dyDescent="0.25">
      <c r="B627" s="31"/>
      <c r="C627" s="31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 spans="2:37" s="102" customFormat="1" ht="15.75" customHeight="1" x14ac:dyDescent="0.25">
      <c r="B628" s="31"/>
      <c r="C628" s="31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 spans="2:37" s="102" customFormat="1" ht="15.75" customHeight="1" x14ac:dyDescent="0.25">
      <c r="B629" s="31"/>
      <c r="C629" s="31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 spans="2:37" s="102" customFormat="1" ht="15.75" customHeight="1" x14ac:dyDescent="0.25">
      <c r="B630" s="31"/>
      <c r="C630" s="31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 spans="2:37" s="102" customFormat="1" ht="15.75" customHeight="1" x14ac:dyDescent="0.25">
      <c r="B631" s="31"/>
      <c r="C631" s="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 spans="2:37" s="102" customFormat="1" ht="15.75" customHeight="1" x14ac:dyDescent="0.25">
      <c r="B632" s="31"/>
      <c r="C632" s="31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 spans="2:37" s="102" customFormat="1" ht="15.75" customHeight="1" x14ac:dyDescent="0.25">
      <c r="B633" s="31"/>
      <c r="C633" s="31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 spans="2:37" s="102" customFormat="1" ht="15.75" customHeight="1" x14ac:dyDescent="0.25">
      <c r="B634" s="31"/>
      <c r="C634" s="31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 spans="2:37" s="102" customFormat="1" ht="15.75" customHeight="1" x14ac:dyDescent="0.25">
      <c r="B635" s="31"/>
      <c r="C635" s="31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 spans="2:37" s="102" customFormat="1" ht="15.75" customHeight="1" x14ac:dyDescent="0.25">
      <c r="B636" s="31"/>
      <c r="C636" s="31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 spans="2:37" s="102" customFormat="1" ht="15.75" customHeight="1" x14ac:dyDescent="0.25">
      <c r="B637" s="31"/>
      <c r="C637" s="31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 spans="2:37" s="102" customFormat="1" ht="15.75" customHeight="1" x14ac:dyDescent="0.25">
      <c r="B638" s="31"/>
      <c r="C638" s="31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 spans="2:37" s="102" customFormat="1" ht="15.75" customHeight="1" x14ac:dyDescent="0.25">
      <c r="B639" s="31"/>
      <c r="C639" s="31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 spans="2:37" s="102" customFormat="1" ht="15.75" customHeight="1" x14ac:dyDescent="0.25">
      <c r="B640" s="31"/>
      <c r="C640" s="31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 spans="2:37" s="102" customFormat="1" ht="15.75" customHeight="1" x14ac:dyDescent="0.25">
      <c r="B641" s="31"/>
      <c r="C641" s="3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 spans="2:37" s="102" customFormat="1" ht="15.75" customHeight="1" x14ac:dyDescent="0.25">
      <c r="B642" s="31"/>
      <c r="C642" s="31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 spans="2:37" s="102" customFormat="1" ht="15.75" customHeight="1" x14ac:dyDescent="0.25">
      <c r="B643" s="31"/>
      <c r="C643" s="31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 spans="2:37" s="102" customFormat="1" ht="15.75" customHeight="1" x14ac:dyDescent="0.25">
      <c r="B644" s="31"/>
      <c r="C644" s="31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 spans="2:37" s="102" customFormat="1" ht="15.75" customHeight="1" x14ac:dyDescent="0.25">
      <c r="B645" s="31"/>
      <c r="C645" s="31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 spans="2:37" s="102" customFormat="1" ht="15.75" customHeight="1" x14ac:dyDescent="0.25">
      <c r="B646" s="31"/>
      <c r="C646" s="31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 spans="2:37" s="102" customFormat="1" ht="15.75" customHeight="1" x14ac:dyDescent="0.25">
      <c r="B647" s="31"/>
      <c r="C647" s="31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 spans="2:37" s="102" customFormat="1" ht="15.75" customHeight="1" x14ac:dyDescent="0.25">
      <c r="B648" s="31"/>
      <c r="C648" s="31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 spans="2:37" s="102" customFormat="1" ht="15.75" customHeight="1" x14ac:dyDescent="0.25">
      <c r="B649" s="31"/>
      <c r="C649" s="31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 spans="2:37" s="102" customFormat="1" ht="15.75" customHeight="1" x14ac:dyDescent="0.25">
      <c r="B650" s="31"/>
      <c r="C650" s="31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 spans="2:37" s="102" customFormat="1" ht="15.75" customHeight="1" x14ac:dyDescent="0.25">
      <c r="B651" s="31"/>
      <c r="C651" s="3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 spans="2:37" s="102" customFormat="1" ht="15.75" customHeight="1" x14ac:dyDescent="0.25">
      <c r="B652" s="31"/>
      <c r="C652" s="31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 spans="2:37" s="102" customFormat="1" ht="15.75" customHeight="1" x14ac:dyDescent="0.25">
      <c r="B653" s="31"/>
      <c r="C653" s="31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 spans="2:37" s="102" customFormat="1" ht="15.75" customHeight="1" x14ac:dyDescent="0.25">
      <c r="B654" s="31"/>
      <c r="C654" s="31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 spans="2:37" s="102" customFormat="1" ht="15.75" customHeight="1" x14ac:dyDescent="0.25">
      <c r="B655" s="31"/>
      <c r="C655" s="31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 spans="2:37" s="102" customFormat="1" ht="15.75" customHeight="1" x14ac:dyDescent="0.25">
      <c r="B656" s="31"/>
      <c r="C656" s="31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 spans="2:37" s="102" customFormat="1" ht="15.75" customHeight="1" x14ac:dyDescent="0.25">
      <c r="B657" s="31"/>
      <c r="C657" s="31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 spans="2:37" s="102" customFormat="1" ht="15.75" customHeight="1" x14ac:dyDescent="0.25">
      <c r="B658" s="31"/>
      <c r="C658" s="31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 spans="2:37" s="102" customFormat="1" ht="15.75" customHeight="1" x14ac:dyDescent="0.25">
      <c r="B659" s="31"/>
      <c r="C659" s="31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 spans="2:37" s="102" customFormat="1" ht="15.75" customHeight="1" x14ac:dyDescent="0.25">
      <c r="B660" s="31"/>
      <c r="C660" s="31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 spans="2:37" s="102" customFormat="1" ht="15.75" customHeight="1" x14ac:dyDescent="0.25">
      <c r="B661" s="31"/>
      <c r="C661" s="3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 spans="2:37" s="102" customFormat="1" ht="15.75" customHeight="1" x14ac:dyDescent="0.25">
      <c r="B662" s="31"/>
      <c r="C662" s="31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 spans="2:37" s="102" customFormat="1" ht="15.75" customHeight="1" x14ac:dyDescent="0.25">
      <c r="B663" s="31"/>
      <c r="C663" s="31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 spans="2:37" s="102" customFormat="1" ht="15.75" customHeight="1" x14ac:dyDescent="0.25">
      <c r="B664" s="31"/>
      <c r="C664" s="31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 spans="2:37" s="102" customFormat="1" ht="15.75" customHeight="1" x14ac:dyDescent="0.25">
      <c r="B665" s="31"/>
      <c r="C665" s="31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 spans="2:37" s="102" customFormat="1" ht="15.75" customHeight="1" x14ac:dyDescent="0.25">
      <c r="B666" s="31"/>
      <c r="C666" s="31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 spans="2:37" s="102" customFormat="1" ht="15.75" customHeight="1" x14ac:dyDescent="0.25">
      <c r="B667" s="31"/>
      <c r="C667" s="31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 spans="2:37" s="102" customFormat="1" ht="15.75" customHeight="1" x14ac:dyDescent="0.25">
      <c r="B668" s="31"/>
      <c r="C668" s="31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 spans="2:37" s="102" customFormat="1" ht="15.75" customHeight="1" x14ac:dyDescent="0.25">
      <c r="B669" s="31"/>
      <c r="C669" s="31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 spans="2:37" s="102" customFormat="1" ht="15.75" customHeight="1" x14ac:dyDescent="0.25">
      <c r="B670" s="31"/>
      <c r="C670" s="31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 spans="2:37" s="102" customFormat="1" ht="15.75" customHeight="1" x14ac:dyDescent="0.25">
      <c r="B671" s="31"/>
      <c r="C671" s="3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 spans="2:37" s="102" customFormat="1" ht="15.75" customHeight="1" x14ac:dyDescent="0.25">
      <c r="B672" s="31"/>
      <c r="C672" s="31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 spans="2:37" s="102" customFormat="1" ht="15.75" customHeight="1" x14ac:dyDescent="0.25">
      <c r="B673" s="31"/>
      <c r="C673" s="31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 spans="2:37" s="102" customFormat="1" ht="15.75" customHeight="1" x14ac:dyDescent="0.25">
      <c r="B674" s="31"/>
      <c r="C674" s="31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 spans="2:37" s="102" customFormat="1" ht="15.75" customHeight="1" x14ac:dyDescent="0.25">
      <c r="B675" s="31"/>
      <c r="C675" s="31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 spans="2:37" s="102" customFormat="1" ht="15.75" customHeight="1" x14ac:dyDescent="0.25">
      <c r="B676" s="31"/>
      <c r="C676" s="31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 spans="2:37" s="102" customFormat="1" ht="15.75" customHeight="1" x14ac:dyDescent="0.25">
      <c r="B677" s="31"/>
      <c r="C677" s="31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 spans="2:37" s="102" customFormat="1" ht="15.75" customHeight="1" x14ac:dyDescent="0.25">
      <c r="B678" s="31"/>
      <c r="C678" s="31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 spans="2:37" s="102" customFormat="1" ht="15.75" customHeight="1" x14ac:dyDescent="0.25">
      <c r="B679" s="31"/>
      <c r="C679" s="31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 spans="2:37" s="102" customFormat="1" ht="15.75" customHeight="1" x14ac:dyDescent="0.25">
      <c r="B680" s="31"/>
      <c r="C680" s="31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 spans="2:37" s="102" customFormat="1" ht="15.75" customHeight="1" x14ac:dyDescent="0.25">
      <c r="B681" s="31"/>
      <c r="C681" s="3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 spans="2:37" s="102" customFormat="1" ht="15.75" customHeight="1" x14ac:dyDescent="0.25">
      <c r="B682" s="31"/>
      <c r="C682" s="31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 spans="2:37" s="102" customFormat="1" ht="15.75" customHeight="1" x14ac:dyDescent="0.25">
      <c r="B683" s="31"/>
      <c r="C683" s="31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 spans="2:37" s="102" customFormat="1" ht="15.75" customHeight="1" x14ac:dyDescent="0.25">
      <c r="B684" s="31"/>
      <c r="C684" s="31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 spans="2:37" s="102" customFormat="1" ht="15.75" customHeight="1" x14ac:dyDescent="0.25">
      <c r="B685" s="31"/>
      <c r="C685" s="31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 spans="2:37" s="102" customFormat="1" ht="15.75" customHeight="1" x14ac:dyDescent="0.25">
      <c r="B686" s="31"/>
      <c r="C686" s="31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 spans="2:37" s="102" customFormat="1" ht="15.75" customHeight="1" x14ac:dyDescent="0.25">
      <c r="B687" s="31"/>
      <c r="C687" s="31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 spans="2:37" s="102" customFormat="1" ht="15.75" customHeight="1" x14ac:dyDescent="0.25">
      <c r="B688" s="31"/>
      <c r="C688" s="31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 spans="2:37" s="102" customFormat="1" ht="15.75" customHeight="1" x14ac:dyDescent="0.25">
      <c r="B689" s="31"/>
      <c r="C689" s="31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 spans="2:37" s="102" customFormat="1" ht="15.75" customHeight="1" x14ac:dyDescent="0.25">
      <c r="B690" s="31"/>
      <c r="C690" s="31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 spans="2:37" s="102" customFormat="1" ht="15.75" customHeight="1" x14ac:dyDescent="0.25">
      <c r="B691" s="31"/>
      <c r="C691" s="3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 spans="2:37" s="102" customFormat="1" ht="15.75" customHeight="1" x14ac:dyDescent="0.25">
      <c r="B692" s="31"/>
      <c r="C692" s="31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 spans="2:37" s="102" customFormat="1" ht="15.75" customHeight="1" x14ac:dyDescent="0.25">
      <c r="B693" s="31"/>
      <c r="C693" s="31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 spans="2:37" s="102" customFormat="1" ht="15.75" customHeight="1" x14ac:dyDescent="0.25">
      <c r="B694" s="31"/>
      <c r="C694" s="31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 spans="2:37" s="102" customFormat="1" ht="15.75" customHeight="1" x14ac:dyDescent="0.25">
      <c r="B695" s="31"/>
      <c r="C695" s="31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 spans="2:37" s="102" customFormat="1" ht="15.75" customHeight="1" x14ac:dyDescent="0.25">
      <c r="B696" s="31"/>
      <c r="C696" s="31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 spans="2:37" s="102" customFormat="1" ht="15.75" customHeight="1" x14ac:dyDescent="0.25">
      <c r="B697" s="31"/>
      <c r="C697" s="31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 spans="2:37" s="102" customFormat="1" ht="15.75" customHeight="1" x14ac:dyDescent="0.25">
      <c r="B698" s="31"/>
      <c r="C698" s="31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 spans="2:37" s="102" customFormat="1" ht="15.75" customHeight="1" x14ac:dyDescent="0.25">
      <c r="B699" s="31"/>
      <c r="C699" s="31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 spans="2:37" s="102" customFormat="1" ht="15.75" customHeight="1" x14ac:dyDescent="0.25">
      <c r="B700" s="31"/>
      <c r="C700" s="31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 spans="2:37" s="102" customFormat="1" ht="15.75" customHeight="1" x14ac:dyDescent="0.25">
      <c r="B701" s="31"/>
      <c r="C701" s="3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 spans="2:37" s="102" customFormat="1" ht="15.75" customHeight="1" x14ac:dyDescent="0.25">
      <c r="B702" s="31"/>
      <c r="C702" s="31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 spans="2:37" s="102" customFormat="1" ht="15.75" customHeight="1" x14ac:dyDescent="0.25">
      <c r="B703" s="31"/>
      <c r="C703" s="31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 spans="2:37" s="102" customFormat="1" ht="15.75" customHeight="1" x14ac:dyDescent="0.25">
      <c r="B704" s="31"/>
      <c r="C704" s="31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 spans="2:37" s="102" customFormat="1" ht="15.75" customHeight="1" x14ac:dyDescent="0.25">
      <c r="B705" s="31"/>
      <c r="C705" s="31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 spans="2:37" s="102" customFormat="1" ht="15.75" customHeight="1" x14ac:dyDescent="0.25">
      <c r="B706" s="31"/>
      <c r="C706" s="31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 spans="2:37" s="102" customFormat="1" ht="15.75" customHeight="1" x14ac:dyDescent="0.25">
      <c r="B707" s="31"/>
      <c r="C707" s="31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 spans="2:37" s="102" customFormat="1" ht="15.75" customHeight="1" x14ac:dyDescent="0.25">
      <c r="B708" s="31"/>
      <c r="C708" s="31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 spans="2:37" s="102" customFormat="1" ht="15.75" customHeight="1" x14ac:dyDescent="0.25">
      <c r="B709" s="31"/>
      <c r="C709" s="31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 spans="2:37" s="102" customFormat="1" ht="15.75" customHeight="1" x14ac:dyDescent="0.25">
      <c r="B710" s="31"/>
      <c r="C710" s="31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 spans="2:37" s="102" customFormat="1" ht="15.75" customHeight="1" x14ac:dyDescent="0.25">
      <c r="B711" s="31"/>
      <c r="C711" s="3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 spans="2:37" s="102" customFormat="1" ht="15.75" customHeight="1" x14ac:dyDescent="0.25">
      <c r="B712" s="31"/>
      <c r="C712" s="31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 spans="2:37" s="102" customFormat="1" ht="15.75" customHeight="1" x14ac:dyDescent="0.25">
      <c r="B713" s="31"/>
      <c r="C713" s="31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 spans="2:37" s="102" customFormat="1" ht="15.75" customHeight="1" x14ac:dyDescent="0.25">
      <c r="B714" s="31"/>
      <c r="C714" s="31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 spans="2:37" s="102" customFormat="1" ht="15.75" customHeight="1" x14ac:dyDescent="0.25">
      <c r="B715" s="31"/>
      <c r="C715" s="31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 spans="2:37" s="102" customFormat="1" ht="15.75" customHeight="1" x14ac:dyDescent="0.25">
      <c r="B716" s="31"/>
      <c r="C716" s="31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 spans="2:37" s="102" customFormat="1" ht="15.75" customHeight="1" x14ac:dyDescent="0.25">
      <c r="B717" s="31"/>
      <c r="C717" s="31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 spans="2:37" s="102" customFormat="1" ht="15.75" customHeight="1" x14ac:dyDescent="0.25">
      <c r="B718" s="31"/>
      <c r="C718" s="31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 spans="2:37" s="102" customFormat="1" ht="15.75" customHeight="1" x14ac:dyDescent="0.25">
      <c r="B719" s="31"/>
      <c r="C719" s="31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 spans="2:37" s="102" customFormat="1" ht="15.75" customHeight="1" x14ac:dyDescent="0.25">
      <c r="B720" s="31"/>
      <c r="C720" s="31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 spans="2:37" s="102" customFormat="1" ht="15.75" customHeight="1" x14ac:dyDescent="0.25">
      <c r="B721" s="31"/>
      <c r="C721" s="3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 spans="2:37" s="102" customFormat="1" ht="15.75" customHeight="1" x14ac:dyDescent="0.25">
      <c r="B722" s="31"/>
      <c r="C722" s="31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 spans="2:37" s="102" customFormat="1" ht="15.75" customHeight="1" x14ac:dyDescent="0.25">
      <c r="B723" s="31"/>
      <c r="C723" s="31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 spans="2:37" s="102" customFormat="1" ht="15.75" customHeight="1" x14ac:dyDescent="0.25">
      <c r="B724" s="31"/>
      <c r="C724" s="31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 spans="2:37" s="102" customFormat="1" ht="15.75" customHeight="1" x14ac:dyDescent="0.25">
      <c r="B725" s="31"/>
      <c r="C725" s="31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 spans="2:37" s="102" customFormat="1" ht="15.75" customHeight="1" x14ac:dyDescent="0.25">
      <c r="B726" s="31"/>
      <c r="C726" s="31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 spans="2:37" s="102" customFormat="1" ht="15.75" customHeight="1" x14ac:dyDescent="0.25">
      <c r="B727" s="31"/>
      <c r="C727" s="31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 spans="2:37" s="102" customFormat="1" ht="15.75" customHeight="1" x14ac:dyDescent="0.25">
      <c r="B728" s="31"/>
      <c r="C728" s="31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 spans="2:37" s="102" customFormat="1" ht="15.75" customHeight="1" x14ac:dyDescent="0.25">
      <c r="B729" s="31"/>
      <c r="C729" s="31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 spans="2:37" s="102" customFormat="1" ht="15.75" customHeight="1" x14ac:dyDescent="0.25">
      <c r="B730" s="31"/>
      <c r="C730" s="31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 spans="2:37" s="102" customFormat="1" ht="15.75" customHeight="1" x14ac:dyDescent="0.25">
      <c r="B731" s="31"/>
      <c r="C731" s="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 spans="2:37" s="102" customFormat="1" ht="15.75" customHeight="1" x14ac:dyDescent="0.25">
      <c r="B732" s="31"/>
      <c r="C732" s="31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 spans="2:37" s="102" customFormat="1" ht="15.75" customHeight="1" x14ac:dyDescent="0.25">
      <c r="B733" s="31"/>
      <c r="C733" s="31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 spans="2:37" s="102" customFormat="1" ht="15.75" customHeight="1" x14ac:dyDescent="0.25">
      <c r="B734" s="31"/>
      <c r="C734" s="31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 spans="2:37" s="102" customFormat="1" ht="15.75" customHeight="1" x14ac:dyDescent="0.25">
      <c r="B735" s="31"/>
      <c r="C735" s="31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 spans="2:37" s="102" customFormat="1" ht="15.75" customHeight="1" x14ac:dyDescent="0.25">
      <c r="B736" s="31"/>
      <c r="C736" s="31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 spans="2:37" s="102" customFormat="1" ht="15.75" customHeight="1" x14ac:dyDescent="0.25">
      <c r="B737" s="31"/>
      <c r="C737" s="31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 spans="2:37" s="102" customFormat="1" ht="15.75" customHeight="1" x14ac:dyDescent="0.25">
      <c r="B738" s="31"/>
      <c r="C738" s="31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 spans="2:37" s="102" customFormat="1" ht="15.75" customHeight="1" x14ac:dyDescent="0.25">
      <c r="B739" s="31"/>
      <c r="C739" s="31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 spans="2:37" s="102" customFormat="1" ht="15.75" customHeight="1" x14ac:dyDescent="0.25">
      <c r="B740" s="31"/>
      <c r="C740" s="31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 spans="2:37" s="102" customFormat="1" ht="15.75" customHeight="1" x14ac:dyDescent="0.25">
      <c r="B741" s="31"/>
      <c r="C741" s="3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 spans="2:37" s="102" customFormat="1" ht="15.75" customHeight="1" x14ac:dyDescent="0.25">
      <c r="B742" s="31"/>
      <c r="C742" s="31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 spans="2:37" s="102" customFormat="1" ht="15.75" customHeight="1" x14ac:dyDescent="0.25">
      <c r="B743" s="31"/>
      <c r="C743" s="31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 spans="2:37" s="102" customFormat="1" ht="15.75" customHeight="1" x14ac:dyDescent="0.25">
      <c r="B744" s="31"/>
      <c r="C744" s="31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 spans="2:37" s="102" customFormat="1" ht="15.75" customHeight="1" x14ac:dyDescent="0.25">
      <c r="B745" s="31"/>
      <c r="C745" s="31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 spans="2:37" s="102" customFormat="1" ht="15.75" customHeight="1" x14ac:dyDescent="0.25">
      <c r="B746" s="31"/>
      <c r="C746" s="31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 spans="2:37" s="102" customFormat="1" ht="15.75" customHeight="1" x14ac:dyDescent="0.25">
      <c r="B747" s="31"/>
      <c r="C747" s="31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 spans="2:37" s="102" customFormat="1" ht="15.75" customHeight="1" x14ac:dyDescent="0.25">
      <c r="B748" s="31"/>
      <c r="C748" s="31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 spans="2:37" s="102" customFormat="1" ht="15.75" customHeight="1" x14ac:dyDescent="0.25">
      <c r="B749" s="31"/>
      <c r="C749" s="31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 spans="2:37" s="102" customFormat="1" ht="15.75" customHeight="1" x14ac:dyDescent="0.25">
      <c r="B750" s="31"/>
      <c r="C750" s="31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 spans="2:37" s="102" customFormat="1" ht="15.75" customHeight="1" x14ac:dyDescent="0.25">
      <c r="B751" s="31"/>
      <c r="C751" s="3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 spans="2:37" s="102" customFormat="1" ht="15.75" customHeight="1" x14ac:dyDescent="0.25">
      <c r="B752" s="31"/>
      <c r="C752" s="31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 spans="2:37" s="102" customFormat="1" ht="15.75" customHeight="1" x14ac:dyDescent="0.25">
      <c r="B753" s="31"/>
      <c r="C753" s="31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 spans="2:37" s="102" customFormat="1" ht="15.75" customHeight="1" x14ac:dyDescent="0.25">
      <c r="B754" s="31"/>
      <c r="C754" s="31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 spans="2:37" s="102" customFormat="1" ht="15.75" customHeight="1" x14ac:dyDescent="0.25">
      <c r="B755" s="31"/>
      <c r="C755" s="31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 spans="2:37" s="102" customFormat="1" ht="15.75" customHeight="1" x14ac:dyDescent="0.25">
      <c r="B756" s="31"/>
      <c r="C756" s="31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 spans="2:37" s="102" customFormat="1" ht="15.75" customHeight="1" x14ac:dyDescent="0.25">
      <c r="B757" s="31"/>
      <c r="C757" s="31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 spans="2:37" s="102" customFormat="1" ht="15.75" customHeight="1" x14ac:dyDescent="0.25">
      <c r="B758" s="31"/>
      <c r="C758" s="31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 spans="2:37" s="102" customFormat="1" ht="15.75" customHeight="1" x14ac:dyDescent="0.25">
      <c r="B759" s="31"/>
      <c r="C759" s="31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 spans="2:37" s="102" customFormat="1" ht="15.75" customHeight="1" x14ac:dyDescent="0.25">
      <c r="B760" s="31"/>
      <c r="C760" s="31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 spans="2:37" s="102" customFormat="1" ht="15.75" customHeight="1" x14ac:dyDescent="0.25">
      <c r="B761" s="31"/>
      <c r="C761" s="3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 spans="2:37" s="102" customFormat="1" ht="15.75" customHeight="1" x14ac:dyDescent="0.25">
      <c r="B762" s="31"/>
      <c r="C762" s="31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 spans="2:37" s="102" customFormat="1" ht="15.75" customHeight="1" x14ac:dyDescent="0.25">
      <c r="B763" s="31"/>
      <c r="C763" s="31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 spans="2:37" s="102" customFormat="1" ht="15.75" customHeight="1" x14ac:dyDescent="0.25">
      <c r="B764" s="31"/>
      <c r="C764" s="31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 spans="2:37" s="102" customFormat="1" ht="15.75" customHeight="1" x14ac:dyDescent="0.25">
      <c r="B765" s="31"/>
      <c r="C765" s="31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 spans="2:37" s="102" customFormat="1" ht="15.75" customHeight="1" x14ac:dyDescent="0.25">
      <c r="B766" s="31"/>
      <c r="C766" s="31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 spans="2:37" s="102" customFormat="1" ht="15.75" customHeight="1" x14ac:dyDescent="0.25">
      <c r="B767" s="31"/>
      <c r="C767" s="31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 spans="2:37" s="102" customFormat="1" ht="15.75" customHeight="1" x14ac:dyDescent="0.25">
      <c r="B768" s="31"/>
      <c r="C768" s="31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 spans="2:37" s="102" customFormat="1" ht="15.75" customHeight="1" x14ac:dyDescent="0.25">
      <c r="B769" s="31"/>
      <c r="C769" s="31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 spans="2:37" s="102" customFormat="1" ht="15.75" customHeight="1" x14ac:dyDescent="0.25">
      <c r="B770" s="31"/>
      <c r="C770" s="31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 spans="2:37" s="102" customFormat="1" ht="15.75" customHeight="1" x14ac:dyDescent="0.25">
      <c r="B771" s="31"/>
      <c r="C771" s="3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 spans="2:37" s="102" customFormat="1" ht="15.75" customHeight="1" x14ac:dyDescent="0.25">
      <c r="B772" s="31"/>
      <c r="C772" s="31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 spans="2:37" s="102" customFormat="1" ht="15.75" customHeight="1" x14ac:dyDescent="0.25">
      <c r="B773" s="31"/>
      <c r="C773" s="31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 spans="2:37" s="102" customFormat="1" ht="15.75" customHeight="1" x14ac:dyDescent="0.25">
      <c r="B774" s="31"/>
      <c r="C774" s="31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 spans="2:37" s="102" customFormat="1" ht="15.75" customHeight="1" x14ac:dyDescent="0.25">
      <c r="B775" s="31"/>
      <c r="C775" s="31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 spans="2:37" s="102" customFormat="1" ht="15.75" customHeight="1" x14ac:dyDescent="0.25">
      <c r="B776" s="31"/>
      <c r="C776" s="31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 spans="2:37" s="102" customFormat="1" ht="15.75" customHeight="1" x14ac:dyDescent="0.25">
      <c r="B777" s="31"/>
      <c r="C777" s="31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 spans="2:37" s="102" customFormat="1" ht="15.75" customHeight="1" x14ac:dyDescent="0.25">
      <c r="B778" s="31"/>
      <c r="C778" s="31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 spans="2:37" s="102" customFormat="1" ht="15.75" customHeight="1" x14ac:dyDescent="0.25">
      <c r="B779" s="31"/>
      <c r="C779" s="31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 spans="2:37" s="102" customFormat="1" ht="15.75" customHeight="1" x14ac:dyDescent="0.25">
      <c r="B780" s="31"/>
      <c r="C780" s="31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 spans="2:37" s="102" customFormat="1" ht="15.75" customHeight="1" x14ac:dyDescent="0.25">
      <c r="B781" s="31"/>
      <c r="C781" s="3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 spans="2:37" s="102" customFormat="1" ht="15.75" customHeight="1" x14ac:dyDescent="0.25">
      <c r="B782" s="31"/>
      <c r="C782" s="31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 spans="2:37" s="102" customFormat="1" ht="15.75" customHeight="1" x14ac:dyDescent="0.25">
      <c r="B783" s="31"/>
      <c r="C783" s="31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 spans="2:37" s="102" customFormat="1" ht="15.75" customHeight="1" x14ac:dyDescent="0.25">
      <c r="B784" s="31"/>
      <c r="C784" s="31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 spans="2:37" s="102" customFormat="1" ht="15.75" customHeight="1" x14ac:dyDescent="0.25">
      <c r="B785" s="31"/>
      <c r="C785" s="31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 spans="2:37" s="102" customFormat="1" ht="15.75" customHeight="1" x14ac:dyDescent="0.25">
      <c r="B786" s="31"/>
      <c r="C786" s="31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 spans="2:37" s="102" customFormat="1" ht="15.75" customHeight="1" x14ac:dyDescent="0.25">
      <c r="B787" s="31"/>
      <c r="C787" s="31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 spans="2:37" s="102" customFormat="1" ht="15.75" customHeight="1" x14ac:dyDescent="0.25">
      <c r="B788" s="31"/>
      <c r="C788" s="31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 spans="2:37" s="102" customFormat="1" ht="15.75" customHeight="1" x14ac:dyDescent="0.25">
      <c r="B789" s="31"/>
      <c r="C789" s="31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 spans="2:37" s="102" customFormat="1" ht="15.75" customHeight="1" x14ac:dyDescent="0.25">
      <c r="B790" s="31"/>
      <c r="C790" s="31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 spans="2:37" s="102" customFormat="1" ht="15.75" customHeight="1" x14ac:dyDescent="0.25">
      <c r="B791" s="31"/>
      <c r="C791" s="3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 spans="2:37" s="102" customFormat="1" ht="15.75" customHeight="1" x14ac:dyDescent="0.25">
      <c r="B792" s="31"/>
      <c r="C792" s="31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 spans="2:37" s="102" customFormat="1" ht="15.75" customHeight="1" x14ac:dyDescent="0.25">
      <c r="B793" s="31"/>
      <c r="C793" s="31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 spans="2:37" s="102" customFormat="1" ht="15.75" customHeight="1" x14ac:dyDescent="0.25">
      <c r="B794" s="31"/>
      <c r="C794" s="31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 spans="2:37" s="102" customFormat="1" ht="15.75" customHeight="1" x14ac:dyDescent="0.25">
      <c r="B795" s="31"/>
      <c r="C795" s="31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 spans="2:37" s="102" customFormat="1" ht="15.75" customHeight="1" x14ac:dyDescent="0.25">
      <c r="B796" s="31"/>
      <c r="C796" s="31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 spans="2:37" s="102" customFormat="1" ht="15.75" customHeight="1" x14ac:dyDescent="0.25">
      <c r="B797" s="31"/>
      <c r="C797" s="31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 spans="2:37" s="102" customFormat="1" ht="15.75" customHeight="1" x14ac:dyDescent="0.25">
      <c r="B798" s="31"/>
      <c r="C798" s="31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 spans="2:37" s="102" customFormat="1" ht="15.75" customHeight="1" x14ac:dyDescent="0.25">
      <c r="B799" s="31"/>
      <c r="C799" s="31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 spans="2:37" s="102" customFormat="1" ht="15.75" customHeight="1" x14ac:dyDescent="0.25">
      <c r="B800" s="31"/>
      <c r="C800" s="31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 spans="2:37" s="102" customFormat="1" ht="15.75" customHeight="1" x14ac:dyDescent="0.25">
      <c r="B801" s="31"/>
      <c r="C801" s="3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 spans="2:37" s="102" customFormat="1" ht="15.75" customHeight="1" x14ac:dyDescent="0.25">
      <c r="B802" s="31"/>
      <c r="C802" s="31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 spans="2:37" s="102" customFormat="1" ht="15.75" customHeight="1" x14ac:dyDescent="0.25">
      <c r="B803" s="31"/>
      <c r="C803" s="31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 spans="2:37" s="102" customFormat="1" ht="15.75" customHeight="1" x14ac:dyDescent="0.25">
      <c r="B804" s="31"/>
      <c r="C804" s="31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 spans="2:37" s="102" customFormat="1" ht="15.75" customHeight="1" x14ac:dyDescent="0.25">
      <c r="B805" s="31"/>
      <c r="C805" s="31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 spans="2:37" s="102" customFormat="1" ht="15.75" customHeight="1" x14ac:dyDescent="0.25">
      <c r="B806" s="31"/>
      <c r="C806" s="31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 spans="2:37" s="102" customFormat="1" ht="15.75" customHeight="1" x14ac:dyDescent="0.25">
      <c r="B807" s="31"/>
      <c r="C807" s="31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 spans="2:37" s="102" customFormat="1" ht="15.75" customHeight="1" x14ac:dyDescent="0.25">
      <c r="B808" s="31"/>
      <c r="C808" s="31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 spans="2:37" s="102" customFormat="1" ht="15.75" customHeight="1" x14ac:dyDescent="0.25">
      <c r="B809" s="31"/>
      <c r="C809" s="31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 spans="2:37" s="102" customFormat="1" ht="15.75" customHeight="1" x14ac:dyDescent="0.25">
      <c r="B810" s="31"/>
      <c r="C810" s="31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 spans="2:37" s="102" customFormat="1" ht="15.75" customHeight="1" x14ac:dyDescent="0.25">
      <c r="B811" s="31"/>
      <c r="C811" s="3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 spans="2:37" s="102" customFormat="1" ht="15.75" customHeight="1" x14ac:dyDescent="0.25">
      <c r="B812" s="31"/>
      <c r="C812" s="31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 spans="2:37" s="102" customFormat="1" ht="15.75" customHeight="1" x14ac:dyDescent="0.25">
      <c r="B813" s="31"/>
      <c r="C813" s="31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 spans="2:37" s="102" customFormat="1" ht="15.75" customHeight="1" x14ac:dyDescent="0.25">
      <c r="B814" s="31"/>
      <c r="C814" s="31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 spans="2:37" s="102" customFormat="1" ht="15.75" customHeight="1" x14ac:dyDescent="0.25">
      <c r="B815" s="31"/>
      <c r="C815" s="31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 spans="2:37" s="102" customFormat="1" ht="15.75" customHeight="1" x14ac:dyDescent="0.25">
      <c r="B816" s="31"/>
      <c r="C816" s="31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 spans="2:37" s="102" customFormat="1" ht="15.75" customHeight="1" x14ac:dyDescent="0.25">
      <c r="B817" s="31"/>
      <c r="C817" s="31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 spans="2:37" s="102" customFormat="1" ht="15.75" customHeight="1" x14ac:dyDescent="0.25">
      <c r="B818" s="31"/>
      <c r="C818" s="31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 spans="2:37" s="102" customFormat="1" ht="15.75" customHeight="1" x14ac:dyDescent="0.25">
      <c r="B819" s="31"/>
      <c r="C819" s="31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 spans="2:37" s="102" customFormat="1" ht="15.75" customHeight="1" x14ac:dyDescent="0.25">
      <c r="B820" s="31"/>
      <c r="C820" s="31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 spans="2:37" s="102" customFormat="1" ht="15.75" customHeight="1" x14ac:dyDescent="0.25">
      <c r="B821" s="31"/>
      <c r="C821" s="3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 spans="2:37" s="102" customFormat="1" ht="15.75" customHeight="1" x14ac:dyDescent="0.25">
      <c r="B822" s="31"/>
      <c r="C822" s="31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 spans="2:37" s="102" customFormat="1" ht="15.75" customHeight="1" x14ac:dyDescent="0.25">
      <c r="B823" s="31"/>
      <c r="C823" s="31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 spans="2:37" s="102" customFormat="1" ht="15.75" customHeight="1" x14ac:dyDescent="0.25">
      <c r="B824" s="31"/>
      <c r="C824" s="31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 spans="2:37" s="102" customFormat="1" ht="15.75" customHeight="1" x14ac:dyDescent="0.25">
      <c r="B825" s="31"/>
      <c r="C825" s="31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 spans="2:37" s="102" customFormat="1" ht="15.75" customHeight="1" x14ac:dyDescent="0.25">
      <c r="B826" s="31"/>
      <c r="C826" s="31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 spans="2:37" s="102" customFormat="1" ht="15.75" customHeight="1" x14ac:dyDescent="0.25">
      <c r="B827" s="31"/>
      <c r="C827" s="31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 spans="2:37" s="102" customFormat="1" ht="15.75" customHeight="1" x14ac:dyDescent="0.25">
      <c r="B828" s="31"/>
      <c r="C828" s="31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 spans="2:37" s="102" customFormat="1" ht="15.75" customHeight="1" x14ac:dyDescent="0.25">
      <c r="B829" s="31"/>
      <c r="C829" s="31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</row>
    <row r="830" spans="2:37" s="102" customFormat="1" ht="15.75" customHeight="1" x14ac:dyDescent="0.25">
      <c r="B830" s="31"/>
      <c r="C830" s="31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 spans="2:37" s="102" customFormat="1" ht="15.75" customHeight="1" x14ac:dyDescent="0.25">
      <c r="B831" s="31"/>
      <c r="C831" s="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 spans="2:37" s="102" customFormat="1" ht="15.75" customHeight="1" x14ac:dyDescent="0.25">
      <c r="B832" s="31"/>
      <c r="C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 spans="2:2" ht="15.75" customHeight="1" x14ac:dyDescent="0.25">
      <c r="B833" s="31"/>
    </row>
    <row r="834" spans="2:2" ht="15.75" customHeight="1" x14ac:dyDescent="0.25">
      <c r="B834" s="31"/>
    </row>
    <row r="835" spans="2:2" ht="15.75" customHeight="1" x14ac:dyDescent="0.25">
      <c r="B835" s="31"/>
    </row>
    <row r="836" spans="2:2" ht="15.75" customHeight="1" x14ac:dyDescent="0.25">
      <c r="B836" s="31"/>
    </row>
    <row r="837" spans="2:2" ht="15.75" customHeight="1" x14ac:dyDescent="0.25"/>
    <row r="838" spans="2:2" ht="15.75" customHeight="1" x14ac:dyDescent="0.25"/>
    <row r="839" spans="2:2" ht="15.75" customHeight="1" x14ac:dyDescent="0.25"/>
    <row r="840" spans="2:2" ht="15.75" customHeight="1" x14ac:dyDescent="0.25"/>
    <row r="841" spans="2:2" ht="15.75" customHeight="1" x14ac:dyDescent="0.25"/>
    <row r="842" spans="2:2" ht="15.75" customHeight="1" x14ac:dyDescent="0.25"/>
    <row r="843" spans="2:2" ht="15.75" customHeight="1" x14ac:dyDescent="0.25"/>
    <row r="844" spans="2:2" ht="15.75" customHeight="1" x14ac:dyDescent="0.25"/>
    <row r="845" spans="2:2" ht="15.75" customHeight="1" x14ac:dyDescent="0.25"/>
    <row r="846" spans="2:2" ht="15.75" customHeight="1" x14ac:dyDescent="0.25"/>
    <row r="847" spans="2:2" ht="15.75" customHeight="1" x14ac:dyDescent="0.25"/>
    <row r="848" spans="2:2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</sheetData>
  <autoFilter ref="B8:AL127" xr:uid="{4D894EE3-1E41-4C26-81A2-DF77E54C4A68}"/>
  <mergeCells count="6">
    <mergeCell ref="AJ7:AK7"/>
    <mergeCell ref="E2:E6"/>
    <mergeCell ref="C7:E7"/>
    <mergeCell ref="F7:K7"/>
    <mergeCell ref="M7:T7"/>
    <mergeCell ref="V7:AH7"/>
  </mergeCells>
  <dataValidations count="3">
    <dataValidation type="list" allowBlank="1" showInputMessage="1" showErrorMessage="1" sqref="D3" xr:uid="{A3824399-763C-4B90-B419-F9B2E67428EB}">
      <formula1>"PJ, CLT"</formula1>
    </dataValidation>
    <dataValidation type="list" allowBlank="1" showInputMessage="1" showErrorMessage="1" sqref="D4" xr:uid="{18DF4AA2-9856-4C64-8A35-8F6670121E80}">
      <formula1>"Sim, Não"</formula1>
    </dataValidation>
    <dataValidation type="list" allowBlank="1" showErrorMessage="1" sqref="E9:E159" xr:uid="{E41D2763-65AB-4EF7-A2A8-A2434D482C10}">
      <formula1>"Sim,Não"</formula1>
    </dataValidation>
  </dataValidations>
  <pageMargins left="0.511811024" right="0.511811024" top="0.63726821165609882" bottom="0.78740157499999996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6A55FCC-74BB-4DD7-8462-D1BA99E8180C}">
          <x14:formula1>
            <xm:f>'Lista Profissionais'!$C$11:$C$214</xm:f>
          </x14:formula1>
          <xm:sqref>B25:B84 B89:B127 B144:B836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0872-E4B9-48DC-B5D1-BEE25D463A7C}">
  <dimension ref="A1:J155"/>
  <sheetViews>
    <sheetView workbookViewId="0">
      <pane ySplit="4" topLeftCell="A5" activePane="bottomLeft" state="frozen"/>
      <selection pane="bottomLeft" activeCell="C158" sqref="C158"/>
    </sheetView>
  </sheetViews>
  <sheetFormatPr defaultRowHeight="15" x14ac:dyDescent="0.25"/>
  <cols>
    <col min="1" max="1" width="43.28515625" customWidth="1"/>
    <col min="2" max="2" width="10.5703125" style="140" bestFit="1" customWidth="1"/>
    <col min="3" max="3" width="13.28515625" bestFit="1" customWidth="1"/>
    <col min="4" max="5" width="13.28515625" customWidth="1"/>
    <col min="6" max="6" width="12.7109375" style="136" hidden="1" customWidth="1"/>
    <col min="7" max="7" width="9.140625" customWidth="1"/>
    <col min="8" max="8" width="13.28515625" customWidth="1"/>
    <col min="9" max="9" width="16.7109375" customWidth="1"/>
    <col min="10" max="10" width="9.140625" customWidth="1"/>
  </cols>
  <sheetData>
    <row r="1" spans="1:10" ht="26.25" x14ac:dyDescent="0.4">
      <c r="B1" s="245" t="s">
        <v>1454</v>
      </c>
      <c r="C1" s="246">
        <v>168</v>
      </c>
    </row>
    <row r="2" spans="1:10" ht="21" x14ac:dyDescent="0.35">
      <c r="A2" s="251" t="str">
        <f>"RATE CARD CLT"&amp; " - BASE " &amp;C1&amp; " HORAS"</f>
        <v>RATE CARD CLT - BASE 168 HORAS</v>
      </c>
      <c r="B2" s="251"/>
      <c r="C2" s="251"/>
      <c r="D2" s="233"/>
      <c r="E2" s="233"/>
      <c r="I2" s="140" t="s">
        <v>374</v>
      </c>
      <c r="J2" s="136">
        <v>0.1</v>
      </c>
    </row>
    <row r="3" spans="1:10" x14ac:dyDescent="0.25">
      <c r="B3" s="250" t="s">
        <v>372</v>
      </c>
      <c r="C3" s="250"/>
      <c r="D3" s="253" t="s">
        <v>371</v>
      </c>
      <c r="E3" s="253"/>
    </row>
    <row r="4" spans="1:10" ht="30" x14ac:dyDescent="0.25">
      <c r="A4" s="221" t="s">
        <v>107</v>
      </c>
      <c r="B4" s="221" t="s">
        <v>375</v>
      </c>
      <c r="C4" s="221" t="s">
        <v>376</v>
      </c>
      <c r="D4" s="221" t="s">
        <v>375</v>
      </c>
      <c r="E4" s="221" t="s">
        <v>376</v>
      </c>
      <c r="F4" s="231" t="s">
        <v>373</v>
      </c>
    </row>
    <row r="5" spans="1:10" x14ac:dyDescent="0.25">
      <c r="A5" s="222" t="str">
        <f>IF('Rate Card CLT'!B9&lt;&gt;"",'Rate Card CLT'!B9,"")</f>
        <v>Agilista Especialista</v>
      </c>
      <c r="B5" s="223">
        <f>IF(A5&lt;&gt;"",TRUNC('Rate Card CLT'!U9,2),"")</f>
        <v>251.97</v>
      </c>
      <c r="C5" s="247">
        <f t="shared" ref="C5:C36" si="0">IF(A5&lt;&gt;"",$C$1*B5,"")</f>
        <v>42330.96</v>
      </c>
      <c r="D5" s="223">
        <f>B5+(B5*$J$2)</f>
        <v>277.16700000000003</v>
      </c>
      <c r="E5" s="232">
        <f t="shared" ref="E5:E36" si="1">IF(A5&lt;&gt;"",$C$1*D5,"")</f>
        <v>46564.056000000004</v>
      </c>
      <c r="F5" s="227">
        <f t="shared" ref="F5:F36" si="2">IF(A5&lt;&gt;"",(E5-C5)/C5,"")</f>
        <v>0.10000000000000012</v>
      </c>
      <c r="H5" s="229"/>
      <c r="I5" s="136"/>
    </row>
    <row r="6" spans="1:10" x14ac:dyDescent="0.25">
      <c r="A6" s="222" t="str">
        <f>IF('Rate Card CLT'!B10&lt;&gt;"",'Rate Card CLT'!B10,"")</f>
        <v>Agilista - Junior Júnior</v>
      </c>
      <c r="B6" s="223">
        <f>IF(A6&lt;&gt;"",TRUNC('Rate Card CLT'!U10,2),"")</f>
        <v>99.38</v>
      </c>
      <c r="C6" s="247">
        <f t="shared" si="0"/>
        <v>16695.84</v>
      </c>
      <c r="D6" s="223">
        <f>B6+(B6*$J$2)</f>
        <v>109.318</v>
      </c>
      <c r="E6" s="232">
        <f t="shared" si="1"/>
        <v>18365.423999999999</v>
      </c>
      <c r="F6" s="227">
        <f t="shared" si="2"/>
        <v>9.9999999999999936E-2</v>
      </c>
      <c r="H6" s="229"/>
      <c r="I6" s="136"/>
    </row>
    <row r="7" spans="1:10" x14ac:dyDescent="0.25">
      <c r="A7" s="222" t="str">
        <f>IF('Rate Card CLT'!B11&lt;&gt;"",'Rate Card CLT'!B11,"")</f>
        <v>Agilista Pleno</v>
      </c>
      <c r="B7" s="223">
        <f>IF(A7&lt;&gt;"",TRUNC('Rate Card CLT'!U11,2),"")</f>
        <v>152.61000000000001</v>
      </c>
      <c r="C7" s="247">
        <f t="shared" si="0"/>
        <v>25638.480000000003</v>
      </c>
      <c r="D7" s="223">
        <f>B7+(B7*$J$2)</f>
        <v>167.87100000000001</v>
      </c>
      <c r="E7" s="232">
        <f t="shared" si="1"/>
        <v>28202.328000000001</v>
      </c>
      <c r="F7" s="227">
        <f t="shared" si="2"/>
        <v>9.9999999999999908E-2</v>
      </c>
      <c r="H7" s="229"/>
      <c r="I7" s="136"/>
    </row>
    <row r="8" spans="1:10" x14ac:dyDescent="0.25">
      <c r="A8" s="222" t="str">
        <f>IF('Rate Card CLT'!B12&lt;&gt;"",'Rate Card CLT'!B12,"")</f>
        <v>Agilista Sênior</v>
      </c>
      <c r="B8" s="223">
        <f>IF(A8&lt;&gt;"",TRUNC('Rate Card CLT'!U12,2),"")</f>
        <v>216.49</v>
      </c>
      <c r="C8" s="247">
        <f t="shared" si="0"/>
        <v>36370.32</v>
      </c>
      <c r="D8" s="223">
        <f t="shared" ref="D8:D71" si="3">B8+(B8*$J$2)</f>
        <v>238.13900000000001</v>
      </c>
      <c r="E8" s="232">
        <f t="shared" si="1"/>
        <v>40007.351999999999</v>
      </c>
      <c r="F8" s="227">
        <f t="shared" si="2"/>
        <v>9.9999999999999978E-2</v>
      </c>
      <c r="H8" s="229"/>
      <c r="I8" s="136"/>
    </row>
    <row r="9" spans="1:10" x14ac:dyDescent="0.25">
      <c r="A9" s="222" t="str">
        <f>IF('Rate Card CLT'!B13&lt;&gt;"",'Rate Card CLT'!B13,"")</f>
        <v>Analista de Dados/ BI Especialista</v>
      </c>
      <c r="B9" s="223">
        <f>IF(A9&lt;&gt;"",TRUNC('Rate Card CLT'!U13,2),"")</f>
        <v>207.61</v>
      </c>
      <c r="C9" s="247">
        <f t="shared" si="0"/>
        <v>34878.480000000003</v>
      </c>
      <c r="D9" s="223">
        <f t="shared" si="3"/>
        <v>228.37100000000001</v>
      </c>
      <c r="E9" s="232">
        <f t="shared" si="1"/>
        <v>38366.328000000001</v>
      </c>
      <c r="F9" s="227">
        <f t="shared" si="2"/>
        <v>9.9999999999999936E-2</v>
      </c>
      <c r="H9" s="229"/>
      <c r="I9" s="136"/>
    </row>
    <row r="10" spans="1:10" x14ac:dyDescent="0.25">
      <c r="A10" s="222" t="str">
        <f>IF('Rate Card CLT'!B14&lt;&gt;"",'Rate Card CLT'!B14,"")</f>
        <v>Analista de Dados/ BI Júnior</v>
      </c>
      <c r="B10" s="223">
        <f>IF(A10&lt;&gt;"",TRUNC('Rate Card CLT'!U14,2),"")</f>
        <v>86.96</v>
      </c>
      <c r="C10" s="247">
        <f t="shared" si="0"/>
        <v>14609.279999999999</v>
      </c>
      <c r="D10" s="223">
        <f t="shared" si="3"/>
        <v>95.655999999999992</v>
      </c>
      <c r="E10" s="232">
        <f t="shared" si="1"/>
        <v>16070.207999999999</v>
      </c>
      <c r="F10" s="227">
        <f t="shared" si="2"/>
        <v>0.1</v>
      </c>
      <c r="H10" s="229"/>
      <c r="I10" s="136"/>
    </row>
    <row r="11" spans="1:10" x14ac:dyDescent="0.25">
      <c r="A11" s="222" t="str">
        <f>IF('Rate Card CLT'!B15&lt;&gt;"",'Rate Card CLT'!B15,"")</f>
        <v>Analista de Dados/ BI Pleno</v>
      </c>
      <c r="B11" s="223">
        <f>IF(A11&lt;&gt;"",TRUNC('Rate Card CLT'!U15,2),"")</f>
        <v>145.51</v>
      </c>
      <c r="C11" s="247">
        <f t="shared" si="0"/>
        <v>24445.68</v>
      </c>
      <c r="D11" s="223">
        <f t="shared" si="3"/>
        <v>160.06099999999998</v>
      </c>
      <c r="E11" s="232">
        <f t="shared" si="1"/>
        <v>26890.247999999996</v>
      </c>
      <c r="F11" s="227">
        <f t="shared" si="2"/>
        <v>9.9999999999999825E-2</v>
      </c>
      <c r="H11" s="229"/>
      <c r="I11" s="136"/>
    </row>
    <row r="12" spans="1:10" x14ac:dyDescent="0.25">
      <c r="A12" s="222" t="str">
        <f>IF('Rate Card CLT'!B16&lt;&gt;"",'Rate Card CLT'!B16,"")</f>
        <v>Analista de Dados/ BI Sênior</v>
      </c>
      <c r="B12" s="223">
        <f>IF(A12&lt;&gt;"",TRUNC('Rate Card CLT'!U16,2),"")</f>
        <v>181</v>
      </c>
      <c r="C12" s="247">
        <f t="shared" si="0"/>
        <v>30408</v>
      </c>
      <c r="D12" s="223">
        <f t="shared" si="3"/>
        <v>199.1</v>
      </c>
      <c r="E12" s="232">
        <f t="shared" si="1"/>
        <v>33448.799999999996</v>
      </c>
      <c r="F12" s="227">
        <f t="shared" si="2"/>
        <v>9.9999999999999853E-2</v>
      </c>
      <c r="H12" s="229"/>
      <c r="I12" s="136"/>
    </row>
    <row r="13" spans="1:10" x14ac:dyDescent="0.25">
      <c r="A13" s="222" t="str">
        <f>IF('Rate Card CLT'!B17&lt;&gt;"",'Rate Card CLT'!B17,"")</f>
        <v>Analista de Inteligência Artificial Especialista</v>
      </c>
      <c r="B13" s="223">
        <f>IF(A13&lt;&gt;"",TRUNC('Rate Card CLT'!U17,2),"")</f>
        <v>251.97</v>
      </c>
      <c r="C13" s="247">
        <f t="shared" si="0"/>
        <v>42330.96</v>
      </c>
      <c r="D13" s="223">
        <f t="shared" si="3"/>
        <v>277.16700000000003</v>
      </c>
      <c r="E13" s="232">
        <f t="shared" si="1"/>
        <v>46564.056000000004</v>
      </c>
      <c r="F13" s="227">
        <f t="shared" si="2"/>
        <v>0.10000000000000012</v>
      </c>
      <c r="H13" s="229"/>
      <c r="I13" s="136"/>
    </row>
    <row r="14" spans="1:10" x14ac:dyDescent="0.25">
      <c r="A14" s="222" t="str">
        <f>IF('Rate Card CLT'!B18&lt;&gt;"",'Rate Card CLT'!B18,"")</f>
        <v>Analista de Inteligência Artificial Júnior</v>
      </c>
      <c r="B14" s="223">
        <f>IF(A14&lt;&gt;"",TRUNC('Rate Card CLT'!U18,2),"")</f>
        <v>99.38</v>
      </c>
      <c r="C14" s="247">
        <f t="shared" si="0"/>
        <v>16695.84</v>
      </c>
      <c r="D14" s="223">
        <f t="shared" si="3"/>
        <v>109.318</v>
      </c>
      <c r="E14" s="232">
        <f t="shared" si="1"/>
        <v>18365.423999999999</v>
      </c>
      <c r="F14" s="227">
        <f t="shared" si="2"/>
        <v>9.9999999999999936E-2</v>
      </c>
      <c r="H14" s="229"/>
      <c r="I14" s="136"/>
    </row>
    <row r="15" spans="1:10" x14ac:dyDescent="0.25">
      <c r="A15" s="222" t="str">
        <f>IF('Rate Card CLT'!B19&lt;&gt;"",'Rate Card CLT'!B19,"")</f>
        <v>Analista de Inteligência Artificial Pleno</v>
      </c>
      <c r="B15" s="223">
        <f>IF(A15&lt;&gt;"",TRUNC('Rate Card CLT'!U19,2),"")</f>
        <v>145.51</v>
      </c>
      <c r="C15" s="247">
        <f t="shared" si="0"/>
        <v>24445.68</v>
      </c>
      <c r="D15" s="223">
        <f t="shared" si="3"/>
        <v>160.06099999999998</v>
      </c>
      <c r="E15" s="232">
        <f t="shared" si="1"/>
        <v>26890.247999999996</v>
      </c>
      <c r="F15" s="227">
        <f t="shared" si="2"/>
        <v>9.9999999999999825E-2</v>
      </c>
      <c r="H15" s="229"/>
      <c r="I15" s="136"/>
    </row>
    <row r="16" spans="1:10" x14ac:dyDescent="0.25">
      <c r="A16" s="222" t="str">
        <f>IF('Rate Card CLT'!B20&lt;&gt;"",'Rate Card CLT'!B20,"")</f>
        <v>Analista de Inteligência Artificial Sênior</v>
      </c>
      <c r="B16" s="223">
        <f>IF(A16&lt;&gt;"",TRUNC('Rate Card CLT'!U20,2),"")</f>
        <v>207.61</v>
      </c>
      <c r="C16" s="247">
        <f t="shared" si="0"/>
        <v>34878.480000000003</v>
      </c>
      <c r="D16" s="223">
        <f t="shared" si="3"/>
        <v>228.37100000000001</v>
      </c>
      <c r="E16" s="232">
        <f t="shared" si="1"/>
        <v>38366.328000000001</v>
      </c>
      <c r="F16" s="227">
        <f t="shared" si="2"/>
        <v>9.9999999999999936E-2</v>
      </c>
      <c r="H16" s="229"/>
      <c r="I16" s="136"/>
    </row>
    <row r="17" spans="1:9" x14ac:dyDescent="0.25">
      <c r="A17" s="222" t="str">
        <f>IF('Rate Card CLT'!B21&lt;&gt;"",'Rate Card CLT'!B21,"")</f>
        <v>Analista de Processos Especialista</v>
      </c>
      <c r="B17" s="223">
        <f>IF(A17&lt;&gt;"",TRUNC('Rate Card CLT'!U21,2),"")</f>
        <v>207.61</v>
      </c>
      <c r="C17" s="247">
        <f t="shared" si="0"/>
        <v>34878.480000000003</v>
      </c>
      <c r="D17" s="223">
        <f t="shared" si="3"/>
        <v>228.37100000000001</v>
      </c>
      <c r="E17" s="232">
        <f t="shared" si="1"/>
        <v>38366.328000000001</v>
      </c>
      <c r="F17" s="227">
        <f t="shared" si="2"/>
        <v>9.9999999999999936E-2</v>
      </c>
      <c r="H17" s="229"/>
      <c r="I17" s="136"/>
    </row>
    <row r="18" spans="1:9" x14ac:dyDescent="0.25">
      <c r="A18" s="222" t="str">
        <f>IF('Rate Card CLT'!B22&lt;&gt;"",'Rate Card CLT'!B22,"")</f>
        <v>Analista de Processos Júnior</v>
      </c>
      <c r="B18" s="223">
        <f>IF(A18&lt;&gt;"",TRUNC('Rate Card CLT'!U22,2),"")</f>
        <v>86.96</v>
      </c>
      <c r="C18" s="247">
        <f t="shared" si="0"/>
        <v>14609.279999999999</v>
      </c>
      <c r="D18" s="223">
        <f t="shared" si="3"/>
        <v>95.655999999999992</v>
      </c>
      <c r="E18" s="232">
        <f t="shared" si="1"/>
        <v>16070.207999999999</v>
      </c>
      <c r="F18" s="227">
        <f t="shared" si="2"/>
        <v>0.1</v>
      </c>
      <c r="H18" s="229"/>
      <c r="I18" s="136"/>
    </row>
    <row r="19" spans="1:9" x14ac:dyDescent="0.25">
      <c r="A19" s="222" t="str">
        <f>IF('Rate Card CLT'!B23&lt;&gt;"",'Rate Card CLT'!B23,"")</f>
        <v>Analista de Processos Pleno</v>
      </c>
      <c r="B19" s="223">
        <f>IF(A19&lt;&gt;"",TRUNC('Rate Card CLT'!U23,2),"")</f>
        <v>136.63999999999999</v>
      </c>
      <c r="C19" s="247">
        <f t="shared" si="0"/>
        <v>22955.519999999997</v>
      </c>
      <c r="D19" s="223">
        <f t="shared" si="3"/>
        <v>150.30399999999997</v>
      </c>
      <c r="E19" s="232">
        <f t="shared" si="1"/>
        <v>25251.071999999996</v>
      </c>
      <c r="F19" s="227">
        <f t="shared" si="2"/>
        <v>0.1</v>
      </c>
      <c r="H19" s="229"/>
      <c r="I19" s="136"/>
    </row>
    <row r="20" spans="1:9" x14ac:dyDescent="0.25">
      <c r="A20" s="222" t="str">
        <f>IF('Rate Card CLT'!B24&lt;&gt;"",'Rate Card CLT'!B24,"")</f>
        <v>Analista de Processos Sênior</v>
      </c>
      <c r="B20" s="223">
        <f>IF(A20&lt;&gt;"",TRUNC('Rate Card CLT'!U24,2),"")</f>
        <v>189.87</v>
      </c>
      <c r="C20" s="247">
        <f t="shared" si="0"/>
        <v>31898.16</v>
      </c>
      <c r="D20" s="223">
        <f t="shared" si="3"/>
        <v>208.857</v>
      </c>
      <c r="E20" s="232">
        <f t="shared" si="1"/>
        <v>35087.976000000002</v>
      </c>
      <c r="F20" s="227">
        <f t="shared" si="2"/>
        <v>0.10000000000000007</v>
      </c>
      <c r="H20" s="229"/>
      <c r="I20" s="136"/>
    </row>
    <row r="21" spans="1:9" x14ac:dyDescent="0.25">
      <c r="A21" s="222" t="str">
        <f>IF('Rate Card CLT'!B25&lt;&gt;"",'Rate Card CLT'!B25,"")</f>
        <v>Analista de Qualidade Especialista</v>
      </c>
      <c r="B21" s="223">
        <f>IF(A21&lt;&gt;"",TRUNC('Rate Card CLT'!U25,2),"")</f>
        <v>189.87</v>
      </c>
      <c r="C21" s="247">
        <f t="shared" si="0"/>
        <v>31898.16</v>
      </c>
      <c r="D21" s="223">
        <f t="shared" si="3"/>
        <v>208.857</v>
      </c>
      <c r="E21" s="232">
        <f t="shared" si="1"/>
        <v>35087.976000000002</v>
      </c>
      <c r="F21" s="227">
        <f t="shared" si="2"/>
        <v>0.10000000000000007</v>
      </c>
      <c r="H21" s="229"/>
      <c r="I21" s="136"/>
    </row>
    <row r="22" spans="1:9" x14ac:dyDescent="0.25">
      <c r="A22" s="222" t="str">
        <f>IF('Rate Card CLT'!B26&lt;&gt;"",'Rate Card CLT'!B26,"")</f>
        <v>Analista de Qualidade Júnior</v>
      </c>
      <c r="B22" s="223">
        <f>IF(A22&lt;&gt;"",TRUNC('Rate Card CLT'!U26,2),"")</f>
        <v>74.540000000000006</v>
      </c>
      <c r="C22" s="247">
        <f t="shared" si="0"/>
        <v>12522.720000000001</v>
      </c>
      <c r="D22" s="223">
        <f t="shared" si="3"/>
        <v>81.994</v>
      </c>
      <c r="E22" s="232">
        <f t="shared" si="1"/>
        <v>13774.992</v>
      </c>
      <c r="F22" s="227">
        <f t="shared" si="2"/>
        <v>9.9999999999999908E-2</v>
      </c>
      <c r="H22" s="229"/>
      <c r="I22" s="136"/>
    </row>
    <row r="23" spans="1:9" x14ac:dyDescent="0.25">
      <c r="A23" s="222" t="str">
        <f>IF('Rate Card CLT'!B27&lt;&gt;"",'Rate Card CLT'!B27,"")</f>
        <v>Analista de Qualidade Pleno</v>
      </c>
      <c r="B23" s="223">
        <f>IF(A23&lt;&gt;"",TRUNC('Rate Card CLT'!U27,2),"")</f>
        <v>110.03</v>
      </c>
      <c r="C23" s="247">
        <f t="shared" si="0"/>
        <v>18485.04</v>
      </c>
      <c r="D23" s="223">
        <f t="shared" si="3"/>
        <v>121.033</v>
      </c>
      <c r="E23" s="232">
        <f t="shared" si="1"/>
        <v>20333.544000000002</v>
      </c>
      <c r="F23" s="227">
        <f t="shared" si="2"/>
        <v>0.10000000000000003</v>
      </c>
      <c r="H23" s="229"/>
      <c r="I23" s="136"/>
    </row>
    <row r="24" spans="1:9" x14ac:dyDescent="0.25">
      <c r="A24" s="222" t="str">
        <f>IF('Rate Card CLT'!B28&lt;&gt;"",'Rate Card CLT'!B28,"")</f>
        <v>Analista de Qualidade Sênior</v>
      </c>
      <c r="B24" s="223">
        <f>IF(A24&lt;&gt;"",TRUNC('Rate Card CLT'!U28,2),"")</f>
        <v>132.56</v>
      </c>
      <c r="C24" s="247">
        <f t="shared" si="0"/>
        <v>22270.080000000002</v>
      </c>
      <c r="D24" s="223">
        <f t="shared" si="3"/>
        <v>145.816</v>
      </c>
      <c r="E24" s="232">
        <f t="shared" si="1"/>
        <v>24497.088</v>
      </c>
      <c r="F24" s="227">
        <f t="shared" si="2"/>
        <v>9.9999999999999908E-2</v>
      </c>
      <c r="H24" s="229"/>
      <c r="I24" s="136"/>
    </row>
    <row r="25" spans="1:9" x14ac:dyDescent="0.25">
      <c r="A25" s="222" t="str">
        <f>IF('Rate Card CLT'!B29&lt;&gt;"",'Rate Card CLT'!B29,"")</f>
        <v>Analista de Negócios Especialista</v>
      </c>
      <c r="B25" s="223">
        <f>IF(A25&lt;&gt;"",TRUNC('Rate Card CLT'!U29,2),"")</f>
        <v>198.74</v>
      </c>
      <c r="C25" s="247">
        <f t="shared" si="0"/>
        <v>33388.32</v>
      </c>
      <c r="D25" s="223">
        <f t="shared" si="3"/>
        <v>218.614</v>
      </c>
      <c r="E25" s="232">
        <f t="shared" si="1"/>
        <v>36727.152000000002</v>
      </c>
      <c r="F25" s="227">
        <f t="shared" si="2"/>
        <v>0.10000000000000006</v>
      </c>
      <c r="H25" s="229"/>
      <c r="I25" s="136"/>
    </row>
    <row r="26" spans="1:9" x14ac:dyDescent="0.25">
      <c r="A26" s="222" t="str">
        <f>IF('Rate Card CLT'!B30&lt;&gt;"",'Rate Card CLT'!B30,"")</f>
        <v>Analista de Negócios Júnior</v>
      </c>
      <c r="B26" s="223">
        <f>IF(A26&lt;&gt;"",TRUNC('Rate Card CLT'!U30,2),"")</f>
        <v>97.61</v>
      </c>
      <c r="C26" s="247">
        <f t="shared" si="0"/>
        <v>16398.48</v>
      </c>
      <c r="D26" s="223">
        <f t="shared" si="3"/>
        <v>107.371</v>
      </c>
      <c r="E26" s="232">
        <f t="shared" si="1"/>
        <v>18038.327999999998</v>
      </c>
      <c r="F26" s="227">
        <f t="shared" si="2"/>
        <v>9.9999999999999895E-2</v>
      </c>
      <c r="H26" s="229"/>
      <c r="I26" s="136"/>
    </row>
    <row r="27" spans="1:9" x14ac:dyDescent="0.25">
      <c r="A27" s="222" t="str">
        <f>IF('Rate Card CLT'!B31&lt;&gt;"",'Rate Card CLT'!B31,"")</f>
        <v>Analista de Negócios Pleno</v>
      </c>
      <c r="B27" s="223">
        <f>IF(A27&lt;&gt;"",TRUNC('Rate Card CLT'!U31,2),"")</f>
        <v>145.51</v>
      </c>
      <c r="C27" s="247">
        <f t="shared" si="0"/>
        <v>24445.68</v>
      </c>
      <c r="D27" s="223">
        <f t="shared" si="3"/>
        <v>160.06099999999998</v>
      </c>
      <c r="E27" s="232">
        <f t="shared" si="1"/>
        <v>26890.247999999996</v>
      </c>
      <c r="F27" s="227">
        <f t="shared" si="2"/>
        <v>9.9999999999999825E-2</v>
      </c>
      <c r="H27" s="229"/>
      <c r="I27" s="136"/>
    </row>
    <row r="28" spans="1:9" x14ac:dyDescent="0.25">
      <c r="A28" s="222" t="str">
        <f>IF('Rate Card CLT'!B32&lt;&gt;"",'Rate Card CLT'!B32,"")</f>
        <v>Analista de Negócios Sênior</v>
      </c>
      <c r="B28" s="223">
        <f>IF(A28&lt;&gt;"",TRUNC('Rate Card CLT'!U32,2),"")</f>
        <v>198.74</v>
      </c>
      <c r="C28" s="247">
        <f t="shared" si="0"/>
        <v>33388.32</v>
      </c>
      <c r="D28" s="223">
        <f t="shared" si="3"/>
        <v>218.614</v>
      </c>
      <c r="E28" s="232">
        <f t="shared" si="1"/>
        <v>36727.152000000002</v>
      </c>
      <c r="F28" s="227">
        <f t="shared" si="2"/>
        <v>0.10000000000000006</v>
      </c>
      <c r="H28" s="229"/>
      <c r="I28" s="136"/>
    </row>
    <row r="29" spans="1:9" x14ac:dyDescent="0.25">
      <c r="A29" s="222" t="str">
        <f>IF('Rate Card CLT'!B33&lt;&gt;"",'Rate Card CLT'!B33,"")</f>
        <v>Analista de redes/infraestrutura Especialista</v>
      </c>
      <c r="B29" s="223">
        <f>IF(A29&lt;&gt;"",TRUNC('Rate Card CLT'!U33,2),"")</f>
        <v>207.61</v>
      </c>
      <c r="C29" s="247">
        <f t="shared" si="0"/>
        <v>34878.480000000003</v>
      </c>
      <c r="D29" s="223">
        <f t="shared" si="3"/>
        <v>228.37100000000001</v>
      </c>
      <c r="E29" s="232">
        <f t="shared" si="1"/>
        <v>38366.328000000001</v>
      </c>
      <c r="F29" s="227">
        <f t="shared" si="2"/>
        <v>9.9999999999999936E-2</v>
      </c>
      <c r="H29" s="229"/>
      <c r="I29" s="136"/>
    </row>
    <row r="30" spans="1:9" x14ac:dyDescent="0.25">
      <c r="A30" s="222" t="str">
        <f>IF('Rate Card CLT'!B34&lt;&gt;"",'Rate Card CLT'!B34,"")</f>
        <v>Analista de redes/infraestrutura Júnior</v>
      </c>
      <c r="B30" s="223">
        <f>IF(A30&lt;&gt;"",TRUNC('Rate Card CLT'!U34,2),"")</f>
        <v>83.42</v>
      </c>
      <c r="C30" s="247">
        <f t="shared" si="0"/>
        <v>14014.56</v>
      </c>
      <c r="D30" s="223">
        <f t="shared" si="3"/>
        <v>91.762</v>
      </c>
      <c r="E30" s="232">
        <f t="shared" si="1"/>
        <v>15416.016</v>
      </c>
      <c r="F30" s="227">
        <f t="shared" si="2"/>
        <v>0.10000000000000002</v>
      </c>
      <c r="H30" s="229"/>
      <c r="I30" s="136"/>
    </row>
    <row r="31" spans="1:9" x14ac:dyDescent="0.25">
      <c r="A31" s="222" t="str">
        <f>IF('Rate Card CLT'!B35&lt;&gt;"",'Rate Card CLT'!B35,"")</f>
        <v>Analista de redes/infraestrutura Pleno</v>
      </c>
      <c r="B31" s="223">
        <f>IF(A31&lt;&gt;"",TRUNC('Rate Card CLT'!U35,2),"")</f>
        <v>118.9</v>
      </c>
      <c r="C31" s="247">
        <f t="shared" si="0"/>
        <v>19975.2</v>
      </c>
      <c r="D31" s="223">
        <f t="shared" si="3"/>
        <v>130.79000000000002</v>
      </c>
      <c r="E31" s="232">
        <f t="shared" si="1"/>
        <v>21972.720000000005</v>
      </c>
      <c r="F31" s="227">
        <f t="shared" si="2"/>
        <v>0.1000000000000002</v>
      </c>
      <c r="H31" s="229"/>
      <c r="I31" s="136"/>
    </row>
    <row r="32" spans="1:9" x14ac:dyDescent="0.25">
      <c r="A32" s="222" t="str">
        <f>IF('Rate Card CLT'!B36&lt;&gt;"",'Rate Card CLT'!B36,"")</f>
        <v>Analista de redes/infraestrutura Sênior</v>
      </c>
      <c r="B32" s="223">
        <f>IF(A32&lt;&gt;"",TRUNC('Rate Card CLT'!U36,2),"")</f>
        <v>154.38999999999999</v>
      </c>
      <c r="C32" s="247">
        <f t="shared" si="0"/>
        <v>25937.519999999997</v>
      </c>
      <c r="D32" s="223">
        <f t="shared" si="3"/>
        <v>169.82899999999998</v>
      </c>
      <c r="E32" s="232">
        <f t="shared" si="1"/>
        <v>28531.271999999997</v>
      </c>
      <c r="F32" s="227">
        <f t="shared" si="2"/>
        <v>0.10000000000000003</v>
      </c>
      <c r="H32" s="229"/>
      <c r="I32" s="136"/>
    </row>
    <row r="33" spans="1:9" x14ac:dyDescent="0.25">
      <c r="A33" s="222" t="str">
        <f>IF('Rate Card CLT'!B37&lt;&gt;"",'Rate Card CLT'!B37,"")</f>
        <v>Analista de Suporte (N1) Júnior</v>
      </c>
      <c r="B33" s="223">
        <f>IF(A33&lt;&gt;"",TRUNC('Rate Card CLT'!U37,2),"")</f>
        <v>53.25</v>
      </c>
      <c r="C33" s="247">
        <f t="shared" si="0"/>
        <v>8946</v>
      </c>
      <c r="D33" s="223">
        <f t="shared" si="3"/>
        <v>58.575000000000003</v>
      </c>
      <c r="E33" s="232">
        <f t="shared" si="1"/>
        <v>9840.6</v>
      </c>
      <c r="F33" s="227">
        <f t="shared" si="2"/>
        <v>0.10000000000000005</v>
      </c>
      <c r="H33" s="229"/>
      <c r="I33" s="136"/>
    </row>
    <row r="34" spans="1:9" x14ac:dyDescent="0.25">
      <c r="A34" s="222" t="str">
        <f>IF('Rate Card CLT'!B38&lt;&gt;"",'Rate Card CLT'!B38,"")</f>
        <v>Analista de Suporte (N1) Pleno</v>
      </c>
      <c r="B34" s="223">
        <f>IF(A34&lt;&gt;"",TRUNC('Rate Card CLT'!U38,2),"")</f>
        <v>72.77</v>
      </c>
      <c r="C34" s="247">
        <f t="shared" si="0"/>
        <v>12225.359999999999</v>
      </c>
      <c r="D34" s="223">
        <f t="shared" si="3"/>
        <v>80.046999999999997</v>
      </c>
      <c r="E34" s="232">
        <f t="shared" si="1"/>
        <v>13447.895999999999</v>
      </c>
      <c r="F34" s="227">
        <f t="shared" si="2"/>
        <v>0.10000000000000002</v>
      </c>
      <c r="H34" s="229"/>
      <c r="I34" s="136"/>
    </row>
    <row r="35" spans="1:9" x14ac:dyDescent="0.25">
      <c r="A35" s="222" t="str">
        <f>IF('Rate Card CLT'!B39&lt;&gt;"",'Rate Card CLT'!B39,"")</f>
        <v>Analista de Suporte (N1) Sênior</v>
      </c>
      <c r="B35" s="223">
        <f>IF(A35&lt;&gt;"",TRUNC('Rate Card CLT'!U39,2),"")</f>
        <v>105.59</v>
      </c>
      <c r="C35" s="247">
        <f t="shared" si="0"/>
        <v>17739.12</v>
      </c>
      <c r="D35" s="223">
        <f t="shared" si="3"/>
        <v>116.149</v>
      </c>
      <c r="E35" s="232">
        <f t="shared" si="1"/>
        <v>19513.031999999999</v>
      </c>
      <c r="F35" s="227">
        <f t="shared" si="2"/>
        <v>0.10000000000000002</v>
      </c>
      <c r="H35" s="229"/>
      <c r="I35" s="136"/>
    </row>
    <row r="36" spans="1:9" x14ac:dyDescent="0.25">
      <c r="A36" s="222" t="str">
        <f>IF('Rate Card CLT'!B40&lt;&gt;"",'Rate Card CLT'!B40,"")</f>
        <v>Analista de Suporte (N2) Júnior</v>
      </c>
      <c r="B36" s="223">
        <f>IF(A36&lt;&gt;"",TRUNC('Rate Card CLT'!U40,2),"")</f>
        <v>65.67</v>
      </c>
      <c r="C36" s="247">
        <f t="shared" si="0"/>
        <v>11032.56</v>
      </c>
      <c r="D36" s="223">
        <f t="shared" si="3"/>
        <v>72.236999999999995</v>
      </c>
      <c r="E36" s="232">
        <f t="shared" si="1"/>
        <v>12135.815999999999</v>
      </c>
      <c r="F36" s="227">
        <f t="shared" si="2"/>
        <v>9.999999999999995E-2</v>
      </c>
      <c r="H36" s="229"/>
      <c r="I36" s="136"/>
    </row>
    <row r="37" spans="1:9" x14ac:dyDescent="0.25">
      <c r="A37" s="222" t="str">
        <f>IF('Rate Card CLT'!B41&lt;&gt;"",'Rate Card CLT'!B41,"")</f>
        <v>Analista de Suporte (N2) Pleno</v>
      </c>
      <c r="B37" s="223">
        <f>IF(A37&lt;&gt;"",TRUNC('Rate Card CLT'!U41,2),"")</f>
        <v>83.42</v>
      </c>
      <c r="C37" s="247">
        <f t="shared" ref="C37:C68" si="4">IF(A37&lt;&gt;"",$C$1*B37,"")</f>
        <v>14014.56</v>
      </c>
      <c r="D37" s="223">
        <f t="shared" si="3"/>
        <v>91.762</v>
      </c>
      <c r="E37" s="232">
        <f t="shared" ref="E37:E68" si="5">IF(A37&lt;&gt;"",$C$1*D37,"")</f>
        <v>15416.016</v>
      </c>
      <c r="F37" s="227">
        <f t="shared" ref="F37:F68" si="6">IF(A37&lt;&gt;"",(E37-C37)/C37,"")</f>
        <v>0.10000000000000002</v>
      </c>
      <c r="H37" s="229"/>
      <c r="I37" s="136"/>
    </row>
    <row r="38" spans="1:9" x14ac:dyDescent="0.25">
      <c r="A38" s="222" t="str">
        <f>IF('Rate Card CLT'!B42&lt;&gt;"",'Rate Card CLT'!B42,"")</f>
        <v>Analista de Suporte (N2) Sênior</v>
      </c>
      <c r="B38" s="223">
        <f>IF(A38&lt;&gt;"",TRUNC('Rate Card CLT'!U42,2),"")</f>
        <v>110.03</v>
      </c>
      <c r="C38" s="247">
        <f t="shared" si="4"/>
        <v>18485.04</v>
      </c>
      <c r="D38" s="223">
        <f t="shared" si="3"/>
        <v>121.033</v>
      </c>
      <c r="E38" s="232">
        <f t="shared" si="5"/>
        <v>20333.544000000002</v>
      </c>
      <c r="F38" s="227">
        <f t="shared" si="6"/>
        <v>0.10000000000000003</v>
      </c>
      <c r="H38" s="229"/>
      <c r="I38" s="136"/>
    </row>
    <row r="39" spans="1:9" x14ac:dyDescent="0.25">
      <c r="A39" s="222" t="str">
        <f>IF('Rate Card CLT'!B43&lt;&gt;"",'Rate Card CLT'!B43,"")</f>
        <v>Analista UX Especialista</v>
      </c>
      <c r="B39" s="223">
        <f>IF(A39&lt;&gt;"",TRUNC('Rate Card CLT'!U43,2),"")</f>
        <v>181</v>
      </c>
      <c r="C39" s="247">
        <f t="shared" si="4"/>
        <v>30408</v>
      </c>
      <c r="D39" s="223">
        <f t="shared" si="3"/>
        <v>199.1</v>
      </c>
      <c r="E39" s="232">
        <f t="shared" si="5"/>
        <v>33448.799999999996</v>
      </c>
      <c r="F39" s="227">
        <f t="shared" si="6"/>
        <v>9.9999999999999853E-2</v>
      </c>
      <c r="H39" s="229"/>
      <c r="I39" s="136"/>
    </row>
    <row r="40" spans="1:9" x14ac:dyDescent="0.25">
      <c r="A40" s="222" t="str">
        <f>IF('Rate Card CLT'!B44&lt;&gt;"",'Rate Card CLT'!B44,"")</f>
        <v>Analista UX Júnior</v>
      </c>
      <c r="B40" s="223">
        <f>IF(A40&lt;&gt;"",TRUNC('Rate Card CLT'!U44,2),"")</f>
        <v>83.42</v>
      </c>
      <c r="C40" s="247">
        <f t="shared" si="4"/>
        <v>14014.56</v>
      </c>
      <c r="D40" s="223">
        <f t="shared" si="3"/>
        <v>91.762</v>
      </c>
      <c r="E40" s="232">
        <f t="shared" si="5"/>
        <v>15416.016</v>
      </c>
      <c r="F40" s="227">
        <f t="shared" si="6"/>
        <v>0.10000000000000002</v>
      </c>
      <c r="H40" s="229"/>
      <c r="I40" s="136"/>
    </row>
    <row r="41" spans="1:9" x14ac:dyDescent="0.25">
      <c r="A41" s="222" t="str">
        <f>IF('Rate Card CLT'!B45&lt;&gt;"",'Rate Card CLT'!B45,"")</f>
        <v>Analista UX Pleno</v>
      </c>
      <c r="B41" s="223">
        <f>IF(A41&lt;&gt;"",TRUNC('Rate Card CLT'!U45,2),"")</f>
        <v>110.03</v>
      </c>
      <c r="C41" s="247">
        <f t="shared" si="4"/>
        <v>18485.04</v>
      </c>
      <c r="D41" s="223">
        <f t="shared" si="3"/>
        <v>121.033</v>
      </c>
      <c r="E41" s="232">
        <f t="shared" si="5"/>
        <v>20333.544000000002</v>
      </c>
      <c r="F41" s="227">
        <f t="shared" si="6"/>
        <v>0.10000000000000003</v>
      </c>
      <c r="H41" s="229"/>
      <c r="I41" s="136"/>
    </row>
    <row r="42" spans="1:9" x14ac:dyDescent="0.25">
      <c r="A42" s="222" t="str">
        <f>IF('Rate Card CLT'!B46&lt;&gt;"",'Rate Card CLT'!B46,"")</f>
        <v>Analista UX Sênior</v>
      </c>
      <c r="B42" s="223">
        <f>IF(A42&lt;&gt;"",TRUNC('Rate Card CLT'!U46,2),"")</f>
        <v>140.19</v>
      </c>
      <c r="C42" s="247">
        <f t="shared" si="4"/>
        <v>23551.919999999998</v>
      </c>
      <c r="D42" s="223">
        <f t="shared" si="3"/>
        <v>154.209</v>
      </c>
      <c r="E42" s="232">
        <f t="shared" si="5"/>
        <v>25907.112000000001</v>
      </c>
      <c r="F42" s="227">
        <f t="shared" si="6"/>
        <v>0.10000000000000013</v>
      </c>
      <c r="H42" s="229"/>
      <c r="I42" s="136"/>
    </row>
    <row r="43" spans="1:9" x14ac:dyDescent="0.25">
      <c r="A43" s="222" t="str">
        <f>IF('Rate Card CLT'!B47&lt;&gt;"",'Rate Card CLT'!B47,"")</f>
        <v>Arquiteto de infraestrutura Especialista</v>
      </c>
      <c r="B43" s="223">
        <f>IF(A43&lt;&gt;"",TRUNC('Rate Card CLT'!U47,2),"")</f>
        <v>269.70999999999998</v>
      </c>
      <c r="C43" s="247">
        <f t="shared" si="4"/>
        <v>45311.28</v>
      </c>
      <c r="D43" s="223">
        <f t="shared" si="3"/>
        <v>296.68099999999998</v>
      </c>
      <c r="E43" s="232">
        <f t="shared" si="5"/>
        <v>49842.407999999996</v>
      </c>
      <c r="F43" s="227">
        <f t="shared" si="6"/>
        <v>9.9999999999999936E-2</v>
      </c>
      <c r="H43" s="229"/>
      <c r="I43" s="136"/>
    </row>
    <row r="44" spans="1:9" x14ac:dyDescent="0.25">
      <c r="A44" s="222" t="str">
        <f>IF('Rate Card CLT'!B48&lt;&gt;"",'Rate Card CLT'!B48,"")</f>
        <v>Arquiteto de infraestrutura Pleno</v>
      </c>
      <c r="B44" s="223">
        <f>IF(A44&lt;&gt;"",TRUNC('Rate Card CLT'!U48,2),"")</f>
        <v>172.13</v>
      </c>
      <c r="C44" s="247">
        <f t="shared" si="4"/>
        <v>28917.84</v>
      </c>
      <c r="D44" s="223">
        <f t="shared" si="3"/>
        <v>189.34299999999999</v>
      </c>
      <c r="E44" s="232">
        <f t="shared" si="5"/>
        <v>31809.624</v>
      </c>
      <c r="F44" s="227">
        <f t="shared" si="6"/>
        <v>9.9999999999999992E-2</v>
      </c>
      <c r="H44" s="229"/>
      <c r="I44" s="136"/>
    </row>
    <row r="45" spans="1:9" x14ac:dyDescent="0.25">
      <c r="A45" s="222" t="str">
        <f>IF('Rate Card CLT'!B49&lt;&gt;"",'Rate Card CLT'!B49,"")</f>
        <v>Arquiteto de infraestrutura Sênior</v>
      </c>
      <c r="B45" s="223">
        <f>IF(A45&lt;&gt;"",TRUNC('Rate Card CLT'!U49,2),"")</f>
        <v>236</v>
      </c>
      <c r="C45" s="247">
        <f t="shared" si="4"/>
        <v>39648</v>
      </c>
      <c r="D45" s="223">
        <f t="shared" si="3"/>
        <v>259.60000000000002</v>
      </c>
      <c r="E45" s="232">
        <f t="shared" si="5"/>
        <v>43612.800000000003</v>
      </c>
      <c r="F45" s="227">
        <f t="shared" si="6"/>
        <v>0.10000000000000007</v>
      </c>
      <c r="G45" s="224"/>
      <c r="H45" s="229"/>
      <c r="I45" s="136"/>
    </row>
    <row r="46" spans="1:9" x14ac:dyDescent="0.25">
      <c r="A46" s="222" t="str">
        <f>IF('Rate Card CLT'!B50&lt;&gt;"",'Rate Card CLT'!B50,"")</f>
        <v>Arquiteto de Soluções Especialista</v>
      </c>
      <c r="B46" s="223">
        <f>IF(A46&lt;&gt;"",TRUNC('Rate Card CLT'!U50,2),"")</f>
        <v>269.70999999999998</v>
      </c>
      <c r="C46" s="247">
        <f t="shared" si="4"/>
        <v>45311.28</v>
      </c>
      <c r="D46" s="223">
        <f t="shared" si="3"/>
        <v>296.68099999999998</v>
      </c>
      <c r="E46" s="232">
        <f>IF(A46&lt;&gt;"",$C$1*D46,"")</f>
        <v>49842.407999999996</v>
      </c>
      <c r="F46" s="227">
        <f t="shared" si="6"/>
        <v>9.9999999999999936E-2</v>
      </c>
      <c r="G46" s="224"/>
      <c r="H46" s="229"/>
      <c r="I46" s="136"/>
    </row>
    <row r="47" spans="1:9" x14ac:dyDescent="0.25">
      <c r="A47" s="222" t="str">
        <f>IF('Rate Card CLT'!B51&lt;&gt;"",'Rate Card CLT'!B51,"")</f>
        <v>Arquiteto de Soluções Pleno</v>
      </c>
      <c r="B47" s="223">
        <f>IF(A47&lt;&gt;"",TRUNC('Rate Card CLT'!U51,2),"")</f>
        <v>172.13</v>
      </c>
      <c r="C47" s="247">
        <f t="shared" si="4"/>
        <v>28917.84</v>
      </c>
      <c r="D47" s="223">
        <f t="shared" si="3"/>
        <v>189.34299999999999</v>
      </c>
      <c r="E47" s="232">
        <f t="shared" si="5"/>
        <v>31809.624</v>
      </c>
      <c r="F47" s="227">
        <f t="shared" si="6"/>
        <v>9.9999999999999992E-2</v>
      </c>
      <c r="G47" s="224"/>
      <c r="H47" s="229"/>
      <c r="I47" s="136"/>
    </row>
    <row r="48" spans="1:9" x14ac:dyDescent="0.25">
      <c r="A48" s="222" t="str">
        <f>IF('Rate Card CLT'!B52&lt;&gt;"",'Rate Card CLT'!B52,"")</f>
        <v>Arquiteto de Soluções Sênior</v>
      </c>
      <c r="B48" s="223">
        <f>IF(A48&lt;&gt;"",TRUNC('Rate Card CLT'!U52,2),"")</f>
        <v>236</v>
      </c>
      <c r="C48" s="247">
        <f t="shared" si="4"/>
        <v>39648</v>
      </c>
      <c r="D48" s="223">
        <f t="shared" si="3"/>
        <v>259.60000000000002</v>
      </c>
      <c r="E48" s="232">
        <f t="shared" si="5"/>
        <v>43612.800000000003</v>
      </c>
      <c r="F48" s="227">
        <f t="shared" si="6"/>
        <v>0.10000000000000007</v>
      </c>
      <c r="G48" s="224"/>
      <c r="H48" s="229"/>
      <c r="I48" s="136"/>
    </row>
    <row r="49" spans="1:9" x14ac:dyDescent="0.25">
      <c r="A49" s="222" t="str">
        <f>IF('Rate Card CLT'!B53&lt;&gt;"",'Rate Card CLT'!B53,"")</f>
        <v>Cientista de Dados Especialista</v>
      </c>
      <c r="B49" s="223">
        <f>IF(A49&lt;&gt;"",TRUNC('Rate Card CLT'!U53,2),"")</f>
        <v>264.39</v>
      </c>
      <c r="C49" s="247">
        <f t="shared" si="4"/>
        <v>44417.52</v>
      </c>
      <c r="D49" s="223">
        <f t="shared" si="3"/>
        <v>290.82900000000001</v>
      </c>
      <c r="E49" s="232">
        <f t="shared" si="5"/>
        <v>48859.272000000004</v>
      </c>
      <c r="F49" s="227">
        <f t="shared" si="6"/>
        <v>0.10000000000000019</v>
      </c>
      <c r="G49" s="224"/>
      <c r="H49" s="229"/>
      <c r="I49" s="136"/>
    </row>
    <row r="50" spans="1:9" x14ac:dyDescent="0.25">
      <c r="A50" s="222" t="str">
        <f>IF('Rate Card CLT'!B54&lt;&gt;"",'Rate Card CLT'!B54,"")</f>
        <v>Cientista de Dados Júnior</v>
      </c>
      <c r="B50" s="223">
        <f>IF(A50&lt;&gt;"",TRUNC('Rate Card CLT'!U54,2),"")</f>
        <v>104.71</v>
      </c>
      <c r="C50" s="247">
        <f t="shared" si="4"/>
        <v>17591.28</v>
      </c>
      <c r="D50" s="223">
        <f t="shared" si="3"/>
        <v>115.181</v>
      </c>
      <c r="E50" s="232">
        <f t="shared" si="5"/>
        <v>19350.407999999999</v>
      </c>
      <c r="F50" s="227">
        <f t="shared" si="6"/>
        <v>0.10000000000000005</v>
      </c>
      <c r="G50" s="224"/>
      <c r="H50" s="229"/>
      <c r="I50" s="136"/>
    </row>
    <row r="51" spans="1:9" x14ac:dyDescent="0.25">
      <c r="A51" s="222" t="str">
        <f>IF('Rate Card CLT'!B55&lt;&gt;"",'Rate Card CLT'!B55,"")</f>
        <v>Cientista de Dados Pleno</v>
      </c>
      <c r="B51" s="223">
        <f>IF(A51&lt;&gt;"",TRUNC('Rate Card CLT'!U55,2),"")</f>
        <v>157.93</v>
      </c>
      <c r="C51" s="247">
        <f t="shared" si="4"/>
        <v>26532.240000000002</v>
      </c>
      <c r="D51" s="223">
        <f t="shared" si="3"/>
        <v>173.72300000000001</v>
      </c>
      <c r="E51" s="232">
        <f t="shared" si="5"/>
        <v>29185.464000000004</v>
      </c>
      <c r="F51" s="227">
        <f t="shared" si="6"/>
        <v>0.10000000000000007</v>
      </c>
      <c r="G51" s="224"/>
      <c r="H51" s="229"/>
      <c r="I51" s="136"/>
    </row>
    <row r="52" spans="1:9" x14ac:dyDescent="0.25">
      <c r="A52" s="222" t="str">
        <f>IF('Rate Card CLT'!B56&lt;&gt;"",'Rate Card CLT'!B56,"")</f>
        <v>Cientista de Dados Sênior</v>
      </c>
      <c r="B52" s="223">
        <f>IF(A52&lt;&gt;"",TRUNC('Rate Card CLT'!U56,2),"")</f>
        <v>234.23</v>
      </c>
      <c r="C52" s="247">
        <f t="shared" si="4"/>
        <v>39350.639999999999</v>
      </c>
      <c r="D52" s="223">
        <f t="shared" si="3"/>
        <v>257.65300000000002</v>
      </c>
      <c r="E52" s="232">
        <f t="shared" si="5"/>
        <v>43285.704000000005</v>
      </c>
      <c r="F52" s="227">
        <f t="shared" si="6"/>
        <v>0.10000000000000014</v>
      </c>
      <c r="G52" s="136"/>
      <c r="H52" s="229"/>
      <c r="I52" s="136"/>
    </row>
    <row r="53" spans="1:9" x14ac:dyDescent="0.25">
      <c r="A53" s="222" t="str">
        <f>IF('Rate Card CLT'!B57&lt;&gt;"",'Rate Card CLT'!B57,"")</f>
        <v>DBA - Administrador de Banco de Dados Especialista</v>
      </c>
      <c r="B53" s="223">
        <f>IF(A53&lt;&gt;"",TRUNC('Rate Card CLT'!U57,2),"")</f>
        <v>260.83999999999997</v>
      </c>
      <c r="C53" s="247">
        <f t="shared" si="4"/>
        <v>43821.119999999995</v>
      </c>
      <c r="D53" s="223">
        <f t="shared" si="3"/>
        <v>286.92399999999998</v>
      </c>
      <c r="E53" s="232">
        <f t="shared" si="5"/>
        <v>48203.231999999996</v>
      </c>
      <c r="F53" s="227">
        <f t="shared" si="6"/>
        <v>0.10000000000000003</v>
      </c>
      <c r="G53" s="224"/>
      <c r="H53" s="229"/>
      <c r="I53" s="136"/>
    </row>
    <row r="54" spans="1:9" x14ac:dyDescent="0.25">
      <c r="A54" s="222" t="str">
        <f>IF('Rate Card CLT'!B58&lt;&gt;"",'Rate Card CLT'!B58,"")</f>
        <v>DBA - Administrador de Banco de Dados Júnior</v>
      </c>
      <c r="B54" s="223">
        <f>IF(A54&lt;&gt;"",TRUNC('Rate Card CLT'!U58,2),"")</f>
        <v>83.42</v>
      </c>
      <c r="C54" s="247">
        <f t="shared" si="4"/>
        <v>14014.56</v>
      </c>
      <c r="D54" s="223">
        <f t="shared" si="3"/>
        <v>91.762</v>
      </c>
      <c r="E54" s="232">
        <f t="shared" si="5"/>
        <v>15416.016</v>
      </c>
      <c r="F54" s="227">
        <f t="shared" si="6"/>
        <v>0.10000000000000002</v>
      </c>
      <c r="G54" s="224"/>
      <c r="H54" s="229"/>
      <c r="I54" s="136"/>
    </row>
    <row r="55" spans="1:9" x14ac:dyDescent="0.25">
      <c r="A55" s="222" t="str">
        <f>IF('Rate Card CLT'!B59&lt;&gt;"",'Rate Card CLT'!B59,"")</f>
        <v>DBA - Administrador de Banco de Dados Pleno</v>
      </c>
      <c r="B55" s="223">
        <f>IF(A55&lt;&gt;"",TRUNC('Rate Card CLT'!U59,2),"")</f>
        <v>127.77</v>
      </c>
      <c r="C55" s="247">
        <f t="shared" si="4"/>
        <v>21465.360000000001</v>
      </c>
      <c r="D55" s="223">
        <f t="shared" si="3"/>
        <v>140.547</v>
      </c>
      <c r="E55" s="232">
        <f t="shared" si="5"/>
        <v>23611.896000000001</v>
      </c>
      <c r="F55" s="227">
        <f t="shared" si="6"/>
        <v>0.1</v>
      </c>
      <c r="G55" s="224"/>
      <c r="H55" s="229"/>
      <c r="I55" s="136"/>
    </row>
    <row r="56" spans="1:9" x14ac:dyDescent="0.25">
      <c r="A56" s="222" t="str">
        <f>IF('Rate Card CLT'!B60&lt;&gt;"",'Rate Card CLT'!B60,"")</f>
        <v>DBA - Administrador de Banco de Dados Sênior</v>
      </c>
      <c r="B56" s="223">
        <f>IF(A56&lt;&gt;"",TRUNC('Rate Card CLT'!U60,2),"")</f>
        <v>172.13</v>
      </c>
      <c r="C56" s="247">
        <f t="shared" si="4"/>
        <v>28917.84</v>
      </c>
      <c r="D56" s="223">
        <f t="shared" si="3"/>
        <v>189.34299999999999</v>
      </c>
      <c r="E56" s="232">
        <f t="shared" si="5"/>
        <v>31809.624</v>
      </c>
      <c r="F56" s="227">
        <f t="shared" si="6"/>
        <v>9.9999999999999992E-2</v>
      </c>
      <c r="G56" s="224"/>
      <c r="H56" s="229"/>
      <c r="I56" s="136"/>
    </row>
    <row r="57" spans="1:9" x14ac:dyDescent="0.25">
      <c r="A57" s="222" t="str">
        <f>IF('Rate Card CLT'!B61&lt;&gt;"",'Rate Card CLT'!B61,"")</f>
        <v>Desenvolvedor BackEnd Especialista</v>
      </c>
      <c r="B57" s="223">
        <f>IF(A57&lt;&gt;"",TRUNC('Rate Card CLT'!U61,2),"")</f>
        <v>243.1</v>
      </c>
      <c r="C57" s="247">
        <f t="shared" si="4"/>
        <v>40840.799999999996</v>
      </c>
      <c r="D57" s="223">
        <f t="shared" si="3"/>
        <v>267.40999999999997</v>
      </c>
      <c r="E57" s="232">
        <f t="shared" si="5"/>
        <v>44924.88</v>
      </c>
      <c r="F57" s="227">
        <f t="shared" si="6"/>
        <v>0.10000000000000005</v>
      </c>
      <c r="G57" s="224"/>
      <c r="H57" s="229"/>
      <c r="I57" s="136"/>
    </row>
    <row r="58" spans="1:9" x14ac:dyDescent="0.25">
      <c r="A58" s="222" t="str">
        <f>IF('Rate Card CLT'!B62&lt;&gt;"",'Rate Card CLT'!B62,"")</f>
        <v>Desenvolvedor BackEnd Júnior</v>
      </c>
      <c r="B58" s="223">
        <f>IF(A58&lt;&gt;"",TRUNC('Rate Card CLT'!U62,2),"")</f>
        <v>99.38</v>
      </c>
      <c r="C58" s="247">
        <f t="shared" si="4"/>
        <v>16695.84</v>
      </c>
      <c r="D58" s="223">
        <f t="shared" si="3"/>
        <v>109.318</v>
      </c>
      <c r="E58" s="232">
        <f t="shared" si="5"/>
        <v>18365.423999999999</v>
      </c>
      <c r="F58" s="227">
        <f t="shared" si="6"/>
        <v>9.9999999999999936E-2</v>
      </c>
      <c r="H58" s="229"/>
      <c r="I58" s="136"/>
    </row>
    <row r="59" spans="1:9" x14ac:dyDescent="0.25">
      <c r="A59" s="222" t="str">
        <f>IF('Rate Card CLT'!B63&lt;&gt;"",'Rate Card CLT'!B63,"")</f>
        <v>Desenvolvedor BackEnd Pleno</v>
      </c>
      <c r="B59" s="223">
        <f>IF(A59&lt;&gt;"",TRUNC('Rate Card CLT'!U63,2),"")</f>
        <v>172.13</v>
      </c>
      <c r="C59" s="247">
        <f t="shared" si="4"/>
        <v>28917.84</v>
      </c>
      <c r="D59" s="223">
        <f t="shared" si="3"/>
        <v>189.34299999999999</v>
      </c>
      <c r="E59" s="232">
        <f t="shared" si="5"/>
        <v>31809.624</v>
      </c>
      <c r="F59" s="227">
        <f t="shared" si="6"/>
        <v>9.9999999999999992E-2</v>
      </c>
      <c r="H59" s="229"/>
      <c r="I59" s="136"/>
    </row>
    <row r="60" spans="1:9" x14ac:dyDescent="0.25">
      <c r="A60" s="222" t="str">
        <f>IF('Rate Card CLT'!B64&lt;&gt;"",'Rate Card CLT'!B64,"")</f>
        <v>Desenvolvedor BackEnd Sênior</v>
      </c>
      <c r="B60" s="223">
        <f>IF(A60&lt;&gt;"",TRUNC('Rate Card CLT'!U64,2),"")</f>
        <v>207.61</v>
      </c>
      <c r="C60" s="247">
        <f t="shared" si="4"/>
        <v>34878.480000000003</v>
      </c>
      <c r="D60" s="223">
        <f t="shared" si="3"/>
        <v>228.37100000000001</v>
      </c>
      <c r="E60" s="232">
        <f t="shared" si="5"/>
        <v>38366.328000000001</v>
      </c>
      <c r="F60" s="227">
        <f t="shared" si="6"/>
        <v>9.9999999999999936E-2</v>
      </c>
      <c r="H60" s="229"/>
      <c r="I60" s="136"/>
    </row>
    <row r="61" spans="1:9" x14ac:dyDescent="0.25">
      <c r="A61" s="222" t="str">
        <f>IF('Rate Card CLT'!B65&lt;&gt;"",'Rate Card CLT'!B65,"")</f>
        <v>Desenvolvedor FrontEnd Especialista</v>
      </c>
      <c r="B61" s="223">
        <f>IF(A61&lt;&gt;"",TRUNC('Rate Card CLT'!U65,2),"")</f>
        <v>243.1</v>
      </c>
      <c r="C61" s="247">
        <f t="shared" si="4"/>
        <v>40840.799999999996</v>
      </c>
      <c r="D61" s="223">
        <f t="shared" si="3"/>
        <v>267.40999999999997</v>
      </c>
      <c r="E61" s="232">
        <f t="shared" si="5"/>
        <v>44924.88</v>
      </c>
      <c r="F61" s="227">
        <f t="shared" si="6"/>
        <v>0.10000000000000005</v>
      </c>
      <c r="H61" s="229"/>
      <c r="I61" s="136"/>
    </row>
    <row r="62" spans="1:9" x14ac:dyDescent="0.25">
      <c r="A62" s="222" t="str">
        <f>IF('Rate Card CLT'!B66&lt;&gt;"",'Rate Card CLT'!B66,"")</f>
        <v>Desenvolvedor FrontEnd Júnior</v>
      </c>
      <c r="B62" s="223">
        <f>IF(A62&lt;&gt;"",TRUNC('Rate Card CLT'!U66,2),"")</f>
        <v>99.38</v>
      </c>
      <c r="C62" s="247">
        <f t="shared" si="4"/>
        <v>16695.84</v>
      </c>
      <c r="D62" s="223">
        <f t="shared" si="3"/>
        <v>109.318</v>
      </c>
      <c r="E62" s="232">
        <f t="shared" si="5"/>
        <v>18365.423999999999</v>
      </c>
      <c r="F62" s="227">
        <f t="shared" si="6"/>
        <v>9.9999999999999936E-2</v>
      </c>
      <c r="H62" s="229"/>
      <c r="I62" s="136"/>
    </row>
    <row r="63" spans="1:9" x14ac:dyDescent="0.25">
      <c r="A63" s="222" t="str">
        <f>IF('Rate Card CLT'!B67&lt;&gt;"",'Rate Card CLT'!B67,"")</f>
        <v>Desenvolvedor FrontEnd Pleno</v>
      </c>
      <c r="B63" s="223">
        <f>IF(A63&lt;&gt;"",TRUNC('Rate Card CLT'!U67,2),"")</f>
        <v>172.13</v>
      </c>
      <c r="C63" s="247">
        <f t="shared" si="4"/>
        <v>28917.84</v>
      </c>
      <c r="D63" s="223">
        <f t="shared" si="3"/>
        <v>189.34299999999999</v>
      </c>
      <c r="E63" s="232">
        <f t="shared" si="5"/>
        <v>31809.624</v>
      </c>
      <c r="F63" s="227">
        <f t="shared" si="6"/>
        <v>9.9999999999999992E-2</v>
      </c>
      <c r="H63" s="229"/>
      <c r="I63" s="136"/>
    </row>
    <row r="64" spans="1:9" x14ac:dyDescent="0.25">
      <c r="A64" s="222" t="str">
        <f>IF('Rate Card CLT'!B68&lt;&gt;"",'Rate Card CLT'!B68,"")</f>
        <v>Desenvolvedor FrontEnd Sênior</v>
      </c>
      <c r="B64" s="223">
        <f>IF(A64&lt;&gt;"",TRUNC('Rate Card CLT'!U68,2),"")</f>
        <v>207.61</v>
      </c>
      <c r="C64" s="247">
        <f t="shared" si="4"/>
        <v>34878.480000000003</v>
      </c>
      <c r="D64" s="223">
        <f t="shared" si="3"/>
        <v>228.37100000000001</v>
      </c>
      <c r="E64" s="232">
        <f t="shared" si="5"/>
        <v>38366.328000000001</v>
      </c>
      <c r="F64" s="227">
        <f t="shared" si="6"/>
        <v>9.9999999999999936E-2</v>
      </c>
      <c r="H64" s="229"/>
      <c r="I64" s="136"/>
    </row>
    <row r="65" spans="1:9" x14ac:dyDescent="0.25">
      <c r="A65" s="222" t="str">
        <f>IF('Rate Card CLT'!B69&lt;&gt;"",'Rate Card CLT'!B69,"")</f>
        <v>Desenvolvedor FullStack Especialista</v>
      </c>
      <c r="B65" s="223">
        <f>IF(A65&lt;&gt;"",TRUNC('Rate Card CLT'!U69,2),"")</f>
        <v>253.74</v>
      </c>
      <c r="C65" s="247">
        <f t="shared" si="4"/>
        <v>42628.32</v>
      </c>
      <c r="D65" s="223">
        <f t="shared" si="3"/>
        <v>279.11400000000003</v>
      </c>
      <c r="E65" s="232">
        <f t="shared" si="5"/>
        <v>46891.152000000002</v>
      </c>
      <c r="F65" s="227">
        <f t="shared" si="6"/>
        <v>0.10000000000000005</v>
      </c>
      <c r="H65" s="229"/>
      <c r="I65" s="136"/>
    </row>
    <row r="66" spans="1:9" x14ac:dyDescent="0.25">
      <c r="A66" s="222" t="str">
        <f>IF('Rate Card CLT'!B70&lt;&gt;"",'Rate Card CLT'!B70,"")</f>
        <v>Desenvolvedor FullStack Júnior</v>
      </c>
      <c r="B66" s="223">
        <f>IF(A66&lt;&gt;"",TRUNC('Rate Card CLT'!U70,2),"")</f>
        <v>99.38</v>
      </c>
      <c r="C66" s="247">
        <f t="shared" si="4"/>
        <v>16695.84</v>
      </c>
      <c r="D66" s="223">
        <f t="shared" si="3"/>
        <v>109.318</v>
      </c>
      <c r="E66" s="232">
        <f t="shared" si="5"/>
        <v>18365.423999999999</v>
      </c>
      <c r="F66" s="227">
        <f t="shared" si="6"/>
        <v>9.9999999999999936E-2</v>
      </c>
      <c r="H66" s="229"/>
      <c r="I66" s="136"/>
    </row>
    <row r="67" spans="1:9" x14ac:dyDescent="0.25">
      <c r="A67" s="222" t="str">
        <f>IF('Rate Card CLT'!B71&lt;&gt;"",'Rate Card CLT'!B71,"")</f>
        <v>Desenvolvedor FullStack Pleno</v>
      </c>
      <c r="B67" s="223">
        <f>IF(A67&lt;&gt;"",TRUNC('Rate Card CLT'!U71,2),"")</f>
        <v>179.23</v>
      </c>
      <c r="C67" s="247">
        <f t="shared" si="4"/>
        <v>30110.639999999999</v>
      </c>
      <c r="D67" s="223">
        <f t="shared" si="3"/>
        <v>197.15299999999999</v>
      </c>
      <c r="E67" s="232">
        <f t="shared" si="5"/>
        <v>33121.703999999998</v>
      </c>
      <c r="F67" s="227">
        <f t="shared" si="6"/>
        <v>9.999999999999995E-2</v>
      </c>
      <c r="H67" s="229"/>
      <c r="I67" s="136"/>
    </row>
    <row r="68" spans="1:9" x14ac:dyDescent="0.25">
      <c r="A68" s="222" t="str">
        <f>IF('Rate Card CLT'!B72&lt;&gt;"",'Rate Card CLT'!B72,"")</f>
        <v>Desenvolvedor FullStack Sênior</v>
      </c>
      <c r="B68" s="223">
        <f>IF(A68&lt;&gt;"",TRUNC('Rate Card CLT'!U72,2),"")</f>
        <v>216.49</v>
      </c>
      <c r="C68" s="247">
        <f t="shared" si="4"/>
        <v>36370.32</v>
      </c>
      <c r="D68" s="223">
        <f t="shared" si="3"/>
        <v>238.13900000000001</v>
      </c>
      <c r="E68" s="232">
        <f t="shared" si="5"/>
        <v>40007.351999999999</v>
      </c>
      <c r="F68" s="227">
        <f t="shared" si="6"/>
        <v>9.9999999999999978E-2</v>
      </c>
      <c r="H68" s="229"/>
      <c r="I68" s="136"/>
    </row>
    <row r="69" spans="1:9" x14ac:dyDescent="0.25">
      <c r="A69" s="222" t="str">
        <f>IF('Rate Card CLT'!B73&lt;&gt;"",'Rate Card CLT'!B73,"")</f>
        <v>Desenvolvedor Mobile Especialista</v>
      </c>
      <c r="B69" s="223">
        <f>IF(A69&lt;&gt;"",TRUNC('Rate Card CLT'!U73,2),"")</f>
        <v>253.74</v>
      </c>
      <c r="C69" s="247">
        <f t="shared" ref="C69:C100" si="7">IF(A69&lt;&gt;"",$C$1*B69,"")</f>
        <v>42628.32</v>
      </c>
      <c r="D69" s="223">
        <f t="shared" si="3"/>
        <v>279.11400000000003</v>
      </c>
      <c r="E69" s="232">
        <f t="shared" ref="E69:E100" si="8">IF(A69&lt;&gt;"",$C$1*D69,"")</f>
        <v>46891.152000000002</v>
      </c>
      <c r="F69" s="227">
        <f t="shared" ref="F69:F100" si="9">IF(A69&lt;&gt;"",(E69-C69)/C69,"")</f>
        <v>0.10000000000000005</v>
      </c>
      <c r="H69" s="229"/>
      <c r="I69" s="136"/>
    </row>
    <row r="70" spans="1:9" x14ac:dyDescent="0.25">
      <c r="A70" s="222" t="str">
        <f>IF('Rate Card CLT'!B74&lt;&gt;"",'Rate Card CLT'!B74,"")</f>
        <v>Desenvolvedor Mobile Júnior</v>
      </c>
      <c r="B70" s="223">
        <f>IF(A70&lt;&gt;"",TRUNC('Rate Card CLT'!U74,2),"")</f>
        <v>99.38</v>
      </c>
      <c r="C70" s="247">
        <f t="shared" si="7"/>
        <v>16695.84</v>
      </c>
      <c r="D70" s="223">
        <f t="shared" si="3"/>
        <v>109.318</v>
      </c>
      <c r="E70" s="232">
        <f t="shared" si="8"/>
        <v>18365.423999999999</v>
      </c>
      <c r="F70" s="227">
        <f t="shared" si="9"/>
        <v>9.9999999999999936E-2</v>
      </c>
      <c r="H70" s="229"/>
      <c r="I70" s="136"/>
    </row>
    <row r="71" spans="1:9" x14ac:dyDescent="0.25">
      <c r="A71" s="222" t="str">
        <f>IF('Rate Card CLT'!B75&lt;&gt;"",'Rate Card CLT'!B75,"")</f>
        <v>Desenvolvedor Mobile Pleno</v>
      </c>
      <c r="B71" s="223">
        <f>IF(A71&lt;&gt;"",TRUNC('Rate Card CLT'!U75,2),"")</f>
        <v>179.23</v>
      </c>
      <c r="C71" s="247">
        <f t="shared" si="7"/>
        <v>30110.639999999999</v>
      </c>
      <c r="D71" s="223">
        <f t="shared" si="3"/>
        <v>197.15299999999999</v>
      </c>
      <c r="E71" s="232">
        <f t="shared" si="8"/>
        <v>33121.703999999998</v>
      </c>
      <c r="F71" s="227">
        <f t="shared" si="9"/>
        <v>9.999999999999995E-2</v>
      </c>
      <c r="H71" s="229"/>
      <c r="I71" s="136"/>
    </row>
    <row r="72" spans="1:9" x14ac:dyDescent="0.25">
      <c r="A72" s="222" t="str">
        <f>IF('Rate Card CLT'!B76&lt;&gt;"",'Rate Card CLT'!B76,"")</f>
        <v>Desenvolvedor Mobile Sênior</v>
      </c>
      <c r="B72" s="223">
        <f>IF(A72&lt;&gt;"",TRUNC('Rate Card CLT'!U76,2),"")</f>
        <v>216.49</v>
      </c>
      <c r="C72" s="247">
        <f t="shared" si="7"/>
        <v>36370.32</v>
      </c>
      <c r="D72" s="223">
        <f t="shared" ref="D72:D135" si="10">B72+(B72*$J$2)</f>
        <v>238.13900000000001</v>
      </c>
      <c r="E72" s="232">
        <f t="shared" si="8"/>
        <v>40007.351999999999</v>
      </c>
      <c r="F72" s="227">
        <f t="shared" si="9"/>
        <v>9.9999999999999978E-2</v>
      </c>
      <c r="H72" s="229"/>
      <c r="I72" s="136"/>
    </row>
    <row r="73" spans="1:9" x14ac:dyDescent="0.25">
      <c r="A73" s="222" t="str">
        <f>IF('Rate Card CLT'!B77&lt;&gt;"",'Rate Card CLT'!B77,"")</f>
        <v>Desenvolvedor Salesforce Especialista</v>
      </c>
      <c r="B73" s="223">
        <f>IF(A73&lt;&gt;"",TRUNC('Rate Card CLT'!U77,2),"")</f>
        <v>207.61</v>
      </c>
      <c r="C73" s="247">
        <f t="shared" si="7"/>
        <v>34878.480000000003</v>
      </c>
      <c r="D73" s="223">
        <f t="shared" si="10"/>
        <v>228.37100000000001</v>
      </c>
      <c r="E73" s="232">
        <f t="shared" si="8"/>
        <v>38366.328000000001</v>
      </c>
      <c r="F73" s="227">
        <f t="shared" si="9"/>
        <v>9.9999999999999936E-2</v>
      </c>
      <c r="H73" s="229"/>
      <c r="I73" s="136"/>
    </row>
    <row r="74" spans="1:9" x14ac:dyDescent="0.25">
      <c r="A74" s="222" t="str">
        <f>IF('Rate Card CLT'!B78&lt;&gt;"",'Rate Card CLT'!B78,"")</f>
        <v>Desenvolvedor Salesforce Júnior</v>
      </c>
      <c r="B74" s="223">
        <f>IF(A74&lt;&gt;"",TRUNC('Rate Card CLT'!U78,2),"")</f>
        <v>92.29</v>
      </c>
      <c r="C74" s="247">
        <f t="shared" si="7"/>
        <v>15504.720000000001</v>
      </c>
      <c r="D74" s="223">
        <f t="shared" si="10"/>
        <v>101.51900000000001</v>
      </c>
      <c r="E74" s="232">
        <f t="shared" si="8"/>
        <v>17055.192000000003</v>
      </c>
      <c r="F74" s="227">
        <f t="shared" si="9"/>
        <v>0.10000000000000009</v>
      </c>
      <c r="H74" s="229"/>
      <c r="I74" s="136"/>
    </row>
    <row r="75" spans="1:9" x14ac:dyDescent="0.25">
      <c r="A75" s="222" t="str">
        <f>IF('Rate Card CLT'!B79&lt;&gt;"",'Rate Card CLT'!B79,"")</f>
        <v>Desenvolvedor Salesforce Pleno</v>
      </c>
      <c r="B75" s="223">
        <f>IF(A75&lt;&gt;"",TRUNC('Rate Card CLT'!U79,2),"")</f>
        <v>136.63999999999999</v>
      </c>
      <c r="C75" s="247">
        <f t="shared" si="7"/>
        <v>22955.519999999997</v>
      </c>
      <c r="D75" s="223">
        <f t="shared" si="10"/>
        <v>150.30399999999997</v>
      </c>
      <c r="E75" s="232">
        <f t="shared" si="8"/>
        <v>25251.071999999996</v>
      </c>
      <c r="F75" s="227">
        <f t="shared" si="9"/>
        <v>0.1</v>
      </c>
      <c r="H75" s="229"/>
      <c r="I75" s="136"/>
    </row>
    <row r="76" spans="1:9" x14ac:dyDescent="0.25">
      <c r="A76" s="222" t="str">
        <f>IF('Rate Card CLT'!B80&lt;&gt;"",'Rate Card CLT'!B80,"")</f>
        <v>Desenvolvedor Salesforce Sênior</v>
      </c>
      <c r="B76" s="223">
        <f>IF(A76&lt;&gt;"",TRUNC('Rate Card CLT'!U80,2),"")</f>
        <v>172.13</v>
      </c>
      <c r="C76" s="247">
        <f t="shared" si="7"/>
        <v>28917.84</v>
      </c>
      <c r="D76" s="223">
        <f t="shared" si="10"/>
        <v>189.34299999999999</v>
      </c>
      <c r="E76" s="232">
        <f t="shared" si="8"/>
        <v>31809.624</v>
      </c>
      <c r="F76" s="227">
        <f t="shared" si="9"/>
        <v>9.9999999999999992E-2</v>
      </c>
      <c r="H76" s="229"/>
      <c r="I76" s="136"/>
    </row>
    <row r="77" spans="1:9" x14ac:dyDescent="0.25">
      <c r="A77" s="222" t="str">
        <f>IF('Rate Card CLT'!B81&lt;&gt;"",'Rate Card CLT'!B81,"")</f>
        <v>DevSecOps Especialista</v>
      </c>
      <c r="B77" s="223">
        <f>IF(A77&lt;&gt;"",TRUNC('Rate Card CLT'!U81,2),"")</f>
        <v>225.36</v>
      </c>
      <c r="C77" s="247">
        <f t="shared" si="7"/>
        <v>37860.480000000003</v>
      </c>
      <c r="D77" s="223">
        <f t="shared" si="10"/>
        <v>247.89600000000002</v>
      </c>
      <c r="E77" s="232">
        <f t="shared" si="8"/>
        <v>41646.528000000006</v>
      </c>
      <c r="F77" s="227">
        <f t="shared" si="9"/>
        <v>0.10000000000000006</v>
      </c>
      <c r="H77" s="229"/>
      <c r="I77" s="136"/>
    </row>
    <row r="78" spans="1:9" x14ac:dyDescent="0.25">
      <c r="A78" s="222" t="str">
        <f>IF('Rate Card CLT'!B82&lt;&gt;"",'Rate Card CLT'!B82,"")</f>
        <v>DevSecOps Júnior</v>
      </c>
      <c r="B78" s="223">
        <f>IF(A78&lt;&gt;"",TRUNC('Rate Card CLT'!U82,2),"")</f>
        <v>99.38</v>
      </c>
      <c r="C78" s="247">
        <f t="shared" si="7"/>
        <v>16695.84</v>
      </c>
      <c r="D78" s="223">
        <f t="shared" si="10"/>
        <v>109.318</v>
      </c>
      <c r="E78" s="232">
        <f t="shared" si="8"/>
        <v>18365.423999999999</v>
      </c>
      <c r="F78" s="227">
        <f t="shared" si="9"/>
        <v>9.9999999999999936E-2</v>
      </c>
      <c r="H78" s="229"/>
      <c r="I78" s="136"/>
    </row>
    <row r="79" spans="1:9" x14ac:dyDescent="0.25">
      <c r="A79" s="222" t="str">
        <f>IF('Rate Card CLT'!B83&lt;&gt;"",'Rate Card CLT'!B83,"")</f>
        <v>DevSecOps Pleno</v>
      </c>
      <c r="B79" s="223">
        <f>IF(A79&lt;&gt;"",TRUNC('Rate Card CLT'!U83,2),"")</f>
        <v>172.13</v>
      </c>
      <c r="C79" s="247">
        <f t="shared" si="7"/>
        <v>28917.84</v>
      </c>
      <c r="D79" s="223">
        <f t="shared" si="10"/>
        <v>189.34299999999999</v>
      </c>
      <c r="E79" s="232">
        <f t="shared" si="8"/>
        <v>31809.624</v>
      </c>
      <c r="F79" s="227">
        <f t="shared" si="9"/>
        <v>9.9999999999999992E-2</v>
      </c>
      <c r="H79" s="229"/>
      <c r="I79" s="136"/>
    </row>
    <row r="80" spans="1:9" x14ac:dyDescent="0.25">
      <c r="A80" s="222" t="str">
        <f>IF('Rate Card CLT'!B84&lt;&gt;"",'Rate Card CLT'!B84,"")</f>
        <v>DevSecOps Sênior</v>
      </c>
      <c r="B80" s="223">
        <f>IF(A80&lt;&gt;"",TRUNC('Rate Card CLT'!U84,2),"")</f>
        <v>207.61</v>
      </c>
      <c r="C80" s="247">
        <f t="shared" si="7"/>
        <v>34878.480000000003</v>
      </c>
      <c r="D80" s="223">
        <f t="shared" si="10"/>
        <v>228.37100000000001</v>
      </c>
      <c r="E80" s="232">
        <f t="shared" si="8"/>
        <v>38366.328000000001</v>
      </c>
      <c r="F80" s="227">
        <f t="shared" si="9"/>
        <v>9.9999999999999936E-2</v>
      </c>
      <c r="H80" s="229"/>
      <c r="I80" s="136"/>
    </row>
    <row r="81" spans="1:9" x14ac:dyDescent="0.25">
      <c r="A81" s="222" t="str">
        <f>IF('Rate Card CLT'!B85&lt;&gt;"",'Rate Card CLT'!B85,"")</f>
        <v>Engenheiro de Cloud (AWS / Azure / GCP) Especialista</v>
      </c>
      <c r="B81" s="223">
        <f>IF(A81&lt;&gt;"",TRUNC('Rate Card CLT'!U85,2),"")</f>
        <v>260.83999999999997</v>
      </c>
      <c r="C81" s="247">
        <f t="shared" si="7"/>
        <v>43821.119999999995</v>
      </c>
      <c r="D81" s="223">
        <f t="shared" si="10"/>
        <v>286.92399999999998</v>
      </c>
      <c r="E81" s="232">
        <f t="shared" si="8"/>
        <v>48203.231999999996</v>
      </c>
      <c r="F81" s="227">
        <f t="shared" si="9"/>
        <v>0.10000000000000003</v>
      </c>
      <c r="H81" s="229"/>
      <c r="I81" s="136"/>
    </row>
    <row r="82" spans="1:9" x14ac:dyDescent="0.25">
      <c r="A82" s="222" t="str">
        <f>IF('Rate Card CLT'!B86&lt;&gt;"",'Rate Card CLT'!B86,"")</f>
        <v>Engenheiro de Cloud (AWS / Azure / GCP) Júnior</v>
      </c>
      <c r="B82" s="223">
        <f>IF(A82&lt;&gt;"",TRUNC('Rate Card CLT'!U86,2),"")</f>
        <v>101.16</v>
      </c>
      <c r="C82" s="247">
        <f t="shared" si="7"/>
        <v>16994.88</v>
      </c>
      <c r="D82" s="223">
        <f t="shared" si="10"/>
        <v>111.276</v>
      </c>
      <c r="E82" s="232">
        <f t="shared" si="8"/>
        <v>18694.367999999999</v>
      </c>
      <c r="F82" s="227">
        <f t="shared" si="9"/>
        <v>9.9999999999999853E-2</v>
      </c>
      <c r="H82" s="229"/>
      <c r="I82" s="136"/>
    </row>
    <row r="83" spans="1:9" x14ac:dyDescent="0.25">
      <c r="A83" s="222" t="str">
        <f>IF('Rate Card CLT'!B87&lt;&gt;"",'Rate Card CLT'!B87,"")</f>
        <v>Engenheiro de Cloud (AWS / Azure / GCP) Pleno</v>
      </c>
      <c r="B83" s="223">
        <f>IF(A83&lt;&gt;"",TRUNC('Rate Card CLT'!U87,2),"")</f>
        <v>154.38999999999999</v>
      </c>
      <c r="C83" s="247">
        <f t="shared" si="7"/>
        <v>25937.519999999997</v>
      </c>
      <c r="D83" s="223">
        <f t="shared" si="10"/>
        <v>169.82899999999998</v>
      </c>
      <c r="E83" s="232">
        <f t="shared" si="8"/>
        <v>28531.271999999997</v>
      </c>
      <c r="F83" s="227">
        <f t="shared" si="9"/>
        <v>0.10000000000000003</v>
      </c>
      <c r="H83" s="229"/>
      <c r="I83" s="136"/>
    </row>
    <row r="84" spans="1:9" x14ac:dyDescent="0.25">
      <c r="A84" s="222" t="str">
        <f>IF('Rate Card CLT'!B88&lt;&gt;"",'Rate Card CLT'!B88,"")</f>
        <v>Engenheiro de Cloud (AWS / Azure / GCP) Sênior</v>
      </c>
      <c r="B84" s="223">
        <f>IF(A84&lt;&gt;"",TRUNC('Rate Card CLT'!U88,2),"")</f>
        <v>207.61</v>
      </c>
      <c r="C84" s="247">
        <f t="shared" si="7"/>
        <v>34878.480000000003</v>
      </c>
      <c r="D84" s="223">
        <f t="shared" si="10"/>
        <v>228.37100000000001</v>
      </c>
      <c r="E84" s="232">
        <f t="shared" si="8"/>
        <v>38366.328000000001</v>
      </c>
      <c r="F84" s="227">
        <f t="shared" si="9"/>
        <v>9.9999999999999936E-2</v>
      </c>
      <c r="H84" s="229"/>
      <c r="I84" s="136"/>
    </row>
    <row r="85" spans="1:9" x14ac:dyDescent="0.25">
      <c r="A85" s="222" t="str">
        <f>IF('Rate Card CLT'!B89&lt;&gt;"",'Rate Card CLT'!B89,"")</f>
        <v>Engenheiro de Dados Especialista</v>
      </c>
      <c r="B85" s="223">
        <f>IF(A85&lt;&gt;"",TRUNC('Rate Card CLT'!U89,2),"")</f>
        <v>216.49</v>
      </c>
      <c r="C85" s="247">
        <f t="shared" si="7"/>
        <v>36370.32</v>
      </c>
      <c r="D85" s="223">
        <f t="shared" si="10"/>
        <v>238.13900000000001</v>
      </c>
      <c r="E85" s="232">
        <f t="shared" si="8"/>
        <v>40007.351999999999</v>
      </c>
      <c r="F85" s="227">
        <f t="shared" si="9"/>
        <v>9.9999999999999978E-2</v>
      </c>
      <c r="H85" s="229"/>
      <c r="I85" s="136"/>
    </row>
    <row r="86" spans="1:9" x14ac:dyDescent="0.25">
      <c r="A86" s="222" t="str">
        <f>IF('Rate Card CLT'!B90&lt;&gt;"",'Rate Card CLT'!B90,"")</f>
        <v>Engenheiro de Dados Júnior</v>
      </c>
      <c r="B86" s="223">
        <f>IF(A86&lt;&gt;"",TRUNC('Rate Card CLT'!U90,2),"")</f>
        <v>92.29</v>
      </c>
      <c r="C86" s="247">
        <f t="shared" si="7"/>
        <v>15504.720000000001</v>
      </c>
      <c r="D86" s="223">
        <f t="shared" si="10"/>
        <v>101.51900000000001</v>
      </c>
      <c r="E86" s="232">
        <f t="shared" si="8"/>
        <v>17055.192000000003</v>
      </c>
      <c r="F86" s="227">
        <f t="shared" si="9"/>
        <v>0.10000000000000009</v>
      </c>
      <c r="H86" s="229"/>
      <c r="I86" s="136"/>
    </row>
    <row r="87" spans="1:9" x14ac:dyDescent="0.25">
      <c r="A87" s="222" t="str">
        <f>IF('Rate Card CLT'!B91&lt;&gt;"",'Rate Card CLT'!B91,"")</f>
        <v>Engenheiro de Dados Pleno</v>
      </c>
      <c r="B87" s="223">
        <f>IF(A87&lt;&gt;"",TRUNC('Rate Card CLT'!U91,2),"")</f>
        <v>145.51</v>
      </c>
      <c r="C87" s="247">
        <f t="shared" si="7"/>
        <v>24445.68</v>
      </c>
      <c r="D87" s="223">
        <f t="shared" si="10"/>
        <v>160.06099999999998</v>
      </c>
      <c r="E87" s="232">
        <f t="shared" si="8"/>
        <v>26890.247999999996</v>
      </c>
      <c r="F87" s="227">
        <f t="shared" si="9"/>
        <v>9.9999999999999825E-2</v>
      </c>
      <c r="H87" s="229"/>
      <c r="I87" s="136"/>
    </row>
    <row r="88" spans="1:9" x14ac:dyDescent="0.25">
      <c r="A88" s="225" t="str">
        <f>IF('Rate Card CLT'!B92&lt;&gt;"",'Rate Card CLT'!B92,"")</f>
        <v>Engenheiro de Dados Sênior</v>
      </c>
      <c r="B88" s="226">
        <f>IF(A88&lt;&gt;"",TRUNC('Rate Card CLT'!U92,2),"")</f>
        <v>189.87</v>
      </c>
      <c r="C88" s="247">
        <f t="shared" si="7"/>
        <v>31898.16</v>
      </c>
      <c r="D88" s="223">
        <f t="shared" si="10"/>
        <v>208.857</v>
      </c>
      <c r="E88" s="232">
        <f t="shared" si="8"/>
        <v>35087.976000000002</v>
      </c>
      <c r="F88" s="227">
        <f t="shared" si="9"/>
        <v>0.10000000000000007</v>
      </c>
      <c r="H88" s="229"/>
      <c r="I88" s="136"/>
    </row>
    <row r="89" spans="1:9" x14ac:dyDescent="0.25">
      <c r="A89" s="222" t="str">
        <f>IF('Rate Card CLT'!B93&lt;&gt;"",'Rate Card CLT'!B93,"")</f>
        <v>Gerente de Projetos Júnior</v>
      </c>
      <c r="B89" s="223">
        <f>IF(A89&lt;&gt;"",TRUNC('Rate Card CLT'!U93,2),"")</f>
        <v>118.9</v>
      </c>
      <c r="C89" s="247">
        <f t="shared" si="7"/>
        <v>19975.2</v>
      </c>
      <c r="D89" s="223">
        <f t="shared" si="10"/>
        <v>130.79000000000002</v>
      </c>
      <c r="E89" s="232">
        <f t="shared" si="8"/>
        <v>21972.720000000005</v>
      </c>
      <c r="F89" s="227">
        <f t="shared" si="9"/>
        <v>0.1000000000000002</v>
      </c>
      <c r="H89" s="229"/>
      <c r="I89" s="136"/>
    </row>
    <row r="90" spans="1:9" x14ac:dyDescent="0.25">
      <c r="A90" s="222" t="str">
        <f>IF('Rate Card CLT'!B94&lt;&gt;"",'Rate Card CLT'!B94,"")</f>
        <v>Gerente de Projetos Pleno</v>
      </c>
      <c r="B90" s="223">
        <f>IF(A90&lt;&gt;"",TRUNC('Rate Card CLT'!U94,2),"")</f>
        <v>145.51</v>
      </c>
      <c r="C90" s="247">
        <f t="shared" si="7"/>
        <v>24445.68</v>
      </c>
      <c r="D90" s="223">
        <f t="shared" si="10"/>
        <v>160.06099999999998</v>
      </c>
      <c r="E90" s="232">
        <f t="shared" si="8"/>
        <v>26890.247999999996</v>
      </c>
      <c r="F90" s="227">
        <f t="shared" si="9"/>
        <v>9.9999999999999825E-2</v>
      </c>
      <c r="H90" s="229"/>
      <c r="I90" s="136"/>
    </row>
    <row r="91" spans="1:9" x14ac:dyDescent="0.25">
      <c r="A91" s="222" t="str">
        <f>IF('Rate Card CLT'!B95&lt;&gt;"",'Rate Card CLT'!B95,"")</f>
        <v>Gerente de Projetos Sênior</v>
      </c>
      <c r="B91" s="223">
        <f>IF(A91&lt;&gt;"",TRUNC('Rate Card CLT'!U95,2),"")</f>
        <v>198.74</v>
      </c>
      <c r="C91" s="247">
        <f t="shared" si="7"/>
        <v>33388.32</v>
      </c>
      <c r="D91" s="223">
        <f t="shared" si="10"/>
        <v>218.614</v>
      </c>
      <c r="E91" s="232">
        <f t="shared" si="8"/>
        <v>36727.152000000002</v>
      </c>
      <c r="F91" s="227">
        <f t="shared" si="9"/>
        <v>0.10000000000000006</v>
      </c>
      <c r="H91" s="229"/>
      <c r="I91" s="136"/>
    </row>
    <row r="92" spans="1:9" x14ac:dyDescent="0.25">
      <c r="A92" s="222" t="str">
        <f>IF('Rate Card CLT'!B96&lt;&gt;"",'Rate Card CLT'!B96,"")</f>
        <v>Machine Learning Engineer Especialista</v>
      </c>
      <c r="B92" s="223">
        <f>IF(A92&lt;&gt;"",TRUNC('Rate Card CLT'!U96,2),"")</f>
        <v>278.58</v>
      </c>
      <c r="C92" s="247">
        <f t="shared" si="7"/>
        <v>46801.439999999995</v>
      </c>
      <c r="D92" s="223">
        <f t="shared" si="10"/>
        <v>306.43799999999999</v>
      </c>
      <c r="E92" s="232">
        <f t="shared" si="8"/>
        <v>51481.583999999995</v>
      </c>
      <c r="F92" s="227">
        <f t="shared" si="9"/>
        <v>0.10000000000000002</v>
      </c>
      <c r="H92" s="229"/>
      <c r="I92" s="136"/>
    </row>
    <row r="93" spans="1:9" x14ac:dyDescent="0.25">
      <c r="A93" s="222" t="str">
        <f>IF('Rate Card CLT'!B97&lt;&gt;"",'Rate Card CLT'!B97,"")</f>
        <v>Machine Learning Engineer Júnior</v>
      </c>
      <c r="B93" s="223">
        <f>IF(A93&lt;&gt;"",TRUNC('Rate Card CLT'!U97,2),"")</f>
        <v>122.45</v>
      </c>
      <c r="C93" s="247">
        <f t="shared" si="7"/>
        <v>20571.600000000002</v>
      </c>
      <c r="D93" s="223">
        <f t="shared" si="10"/>
        <v>134.69499999999999</v>
      </c>
      <c r="E93" s="232">
        <f t="shared" si="8"/>
        <v>22628.76</v>
      </c>
      <c r="F93" s="227">
        <f t="shared" si="9"/>
        <v>9.9999999999999811E-2</v>
      </c>
      <c r="H93" s="229"/>
      <c r="I93" s="136"/>
    </row>
    <row r="94" spans="1:9" x14ac:dyDescent="0.25">
      <c r="A94" s="222" t="str">
        <f>IF('Rate Card CLT'!B98&lt;&gt;"",'Rate Card CLT'!B98,"")</f>
        <v>Machine Learning Engineer Pleno</v>
      </c>
      <c r="B94" s="223">
        <f>IF(A94&lt;&gt;"",TRUNC('Rate Card CLT'!U98,2),"")</f>
        <v>172.13</v>
      </c>
      <c r="C94" s="247">
        <f t="shared" si="7"/>
        <v>28917.84</v>
      </c>
      <c r="D94" s="223">
        <f t="shared" si="10"/>
        <v>189.34299999999999</v>
      </c>
      <c r="E94" s="232">
        <f t="shared" si="8"/>
        <v>31809.624</v>
      </c>
      <c r="F94" s="227">
        <f t="shared" si="9"/>
        <v>9.9999999999999992E-2</v>
      </c>
      <c r="H94" s="229"/>
      <c r="I94" s="136"/>
    </row>
    <row r="95" spans="1:9" x14ac:dyDescent="0.25">
      <c r="A95" s="222" t="str">
        <f>IF('Rate Card CLT'!B99&lt;&gt;"",'Rate Card CLT'!B99,"")</f>
        <v>Machine Learning Engineer Sênior</v>
      </c>
      <c r="B95" s="223">
        <f>IF(A95&lt;&gt;"",TRUNC('Rate Card CLT'!U99,2),"")</f>
        <v>243.1</v>
      </c>
      <c r="C95" s="247">
        <f t="shared" si="7"/>
        <v>40840.799999999996</v>
      </c>
      <c r="D95" s="223">
        <f t="shared" si="10"/>
        <v>267.40999999999997</v>
      </c>
      <c r="E95" s="232">
        <f t="shared" si="8"/>
        <v>44924.88</v>
      </c>
      <c r="F95" s="227">
        <f t="shared" si="9"/>
        <v>0.10000000000000005</v>
      </c>
      <c r="H95" s="229"/>
      <c r="I95" s="136"/>
    </row>
    <row r="96" spans="1:9" x14ac:dyDescent="0.25">
      <c r="A96" s="222" t="str">
        <f>IF('Rate Card CLT'!B100&lt;&gt;"",'Rate Card CLT'!B100,"")</f>
        <v>Product Owner Júnior</v>
      </c>
      <c r="B96" s="223">
        <f>IF(A96&lt;&gt;"",TRUNC('Rate Card CLT'!U100,2),"")</f>
        <v>92.29</v>
      </c>
      <c r="C96" s="247">
        <f t="shared" si="7"/>
        <v>15504.720000000001</v>
      </c>
      <c r="D96" s="223">
        <f t="shared" si="10"/>
        <v>101.51900000000001</v>
      </c>
      <c r="E96" s="232">
        <f t="shared" si="8"/>
        <v>17055.192000000003</v>
      </c>
      <c r="F96" s="227">
        <f t="shared" si="9"/>
        <v>0.10000000000000009</v>
      </c>
      <c r="H96" s="229"/>
      <c r="I96" s="136"/>
    </row>
    <row r="97" spans="1:9" x14ac:dyDescent="0.25">
      <c r="A97" s="222" t="str">
        <f>IF('Rate Card CLT'!B101&lt;&gt;"",'Rate Card CLT'!B101,"")</f>
        <v>Product Owner Pleno</v>
      </c>
      <c r="B97" s="223">
        <f>IF(A97&lt;&gt;"",TRUNC('Rate Card CLT'!U101,2),"")</f>
        <v>181</v>
      </c>
      <c r="C97" s="247">
        <f t="shared" si="7"/>
        <v>30408</v>
      </c>
      <c r="D97" s="223">
        <f t="shared" si="10"/>
        <v>199.1</v>
      </c>
      <c r="E97" s="232">
        <f t="shared" si="8"/>
        <v>33448.799999999996</v>
      </c>
      <c r="F97" s="227">
        <f t="shared" si="9"/>
        <v>9.9999999999999853E-2</v>
      </c>
      <c r="H97" s="229"/>
      <c r="I97" s="136"/>
    </row>
    <row r="98" spans="1:9" x14ac:dyDescent="0.25">
      <c r="A98" s="222" t="str">
        <f>IF('Rate Card CLT'!B102&lt;&gt;"",'Rate Card CLT'!B102,"")</f>
        <v>Product Owner Sênior</v>
      </c>
      <c r="B98" s="223">
        <f>IF(A98&lt;&gt;"",TRUNC('Rate Card CLT'!U102,2),"")</f>
        <v>207.61</v>
      </c>
      <c r="C98" s="247">
        <f t="shared" si="7"/>
        <v>34878.480000000003</v>
      </c>
      <c r="D98" s="223">
        <f t="shared" si="10"/>
        <v>228.37100000000001</v>
      </c>
      <c r="E98" s="232">
        <f t="shared" si="8"/>
        <v>38366.328000000001</v>
      </c>
      <c r="F98" s="227">
        <f t="shared" si="9"/>
        <v>9.9999999999999936E-2</v>
      </c>
      <c r="H98" s="229"/>
      <c r="I98" s="136"/>
    </row>
    <row r="99" spans="1:9" x14ac:dyDescent="0.25">
      <c r="A99" s="222" t="str">
        <f>IF('Rate Card CLT'!B103&lt;&gt;"",'Rate Card CLT'!B103,"")</f>
        <v>RPA Especialista</v>
      </c>
      <c r="B99" s="223">
        <f>IF(A99&lt;&gt;"",TRUNC('Rate Card CLT'!U103,2),"")</f>
        <v>216.49</v>
      </c>
      <c r="C99" s="247">
        <f t="shared" si="7"/>
        <v>36370.32</v>
      </c>
      <c r="D99" s="223">
        <f t="shared" si="10"/>
        <v>238.13900000000001</v>
      </c>
      <c r="E99" s="232">
        <f t="shared" si="8"/>
        <v>40007.351999999999</v>
      </c>
      <c r="F99" s="227">
        <f t="shared" si="9"/>
        <v>9.9999999999999978E-2</v>
      </c>
      <c r="H99" s="229"/>
      <c r="I99" s="136"/>
    </row>
    <row r="100" spans="1:9" x14ac:dyDescent="0.25">
      <c r="A100" s="222" t="str">
        <f>IF('Rate Card CLT'!B104&lt;&gt;"",'Rate Card CLT'!B104,"")</f>
        <v>RPA Júnior</v>
      </c>
      <c r="B100" s="223">
        <f>IF(A100&lt;&gt;"",TRUNC('Rate Card CLT'!U104,2),"")</f>
        <v>79.87</v>
      </c>
      <c r="C100" s="247">
        <f t="shared" si="7"/>
        <v>13418.16</v>
      </c>
      <c r="D100" s="223">
        <f t="shared" si="10"/>
        <v>87.856999999999999</v>
      </c>
      <c r="E100" s="232">
        <f t="shared" si="8"/>
        <v>14759.976000000001</v>
      </c>
      <c r="F100" s="227">
        <f t="shared" si="9"/>
        <v>0.10000000000000006</v>
      </c>
      <c r="H100" s="229"/>
      <c r="I100" s="136"/>
    </row>
    <row r="101" spans="1:9" x14ac:dyDescent="0.25">
      <c r="A101" s="222" t="str">
        <f>IF('Rate Card CLT'!B105&lt;&gt;"",'Rate Card CLT'!B105,"")</f>
        <v>RPA Pleno</v>
      </c>
      <c r="B101" s="223">
        <f>IF(A101&lt;&gt;"",TRUNC('Rate Card CLT'!U105,2),"")</f>
        <v>145.51</v>
      </c>
      <c r="C101" s="247">
        <f t="shared" ref="C101:C132" si="11">IF(A101&lt;&gt;"",$C$1*B101,"")</f>
        <v>24445.68</v>
      </c>
      <c r="D101" s="223">
        <f t="shared" si="10"/>
        <v>160.06099999999998</v>
      </c>
      <c r="E101" s="232">
        <f t="shared" ref="E101:E132" si="12">IF(A101&lt;&gt;"",$C$1*D101,"")</f>
        <v>26890.247999999996</v>
      </c>
      <c r="F101" s="227">
        <f t="shared" ref="F101:F132" si="13">IF(A101&lt;&gt;"",(E101-C101)/C101,"")</f>
        <v>9.9999999999999825E-2</v>
      </c>
      <c r="H101" s="229"/>
      <c r="I101" s="136"/>
    </row>
    <row r="102" spans="1:9" x14ac:dyDescent="0.25">
      <c r="A102" s="222" t="str">
        <f>IF('Rate Card CLT'!B106&lt;&gt;"",'Rate Card CLT'!B106,"")</f>
        <v>RPA Sênior</v>
      </c>
      <c r="B102" s="223">
        <f>IF(A102&lt;&gt;"",TRUNC('Rate Card CLT'!U106,2),"")</f>
        <v>189.87</v>
      </c>
      <c r="C102" s="247">
        <f t="shared" si="11"/>
        <v>31898.16</v>
      </c>
      <c r="D102" s="223">
        <f t="shared" si="10"/>
        <v>208.857</v>
      </c>
      <c r="E102" s="232">
        <f t="shared" si="12"/>
        <v>35087.976000000002</v>
      </c>
      <c r="F102" s="227">
        <f t="shared" si="13"/>
        <v>0.10000000000000007</v>
      </c>
      <c r="H102" s="229"/>
      <c r="I102" s="136"/>
    </row>
    <row r="103" spans="1:9" x14ac:dyDescent="0.25">
      <c r="A103" s="222" t="str">
        <f>IF('Rate Card CLT'!B107&lt;&gt;"",'Rate Card CLT'!B107,"")</f>
        <v>Analista SAP Funcional Júnior</v>
      </c>
      <c r="B103" s="223">
        <f>IF(A103&lt;&gt;"",TRUNC('Rate Card CLT'!U107,2),"")</f>
        <v>104.71</v>
      </c>
      <c r="C103" s="247">
        <f t="shared" si="11"/>
        <v>17591.28</v>
      </c>
      <c r="D103" s="223">
        <f t="shared" si="10"/>
        <v>115.181</v>
      </c>
      <c r="E103" s="232">
        <f t="shared" si="12"/>
        <v>19350.407999999999</v>
      </c>
      <c r="F103" s="227">
        <f t="shared" si="13"/>
        <v>0.10000000000000005</v>
      </c>
      <c r="H103" s="229"/>
      <c r="I103" s="136"/>
    </row>
    <row r="104" spans="1:9" x14ac:dyDescent="0.25">
      <c r="A104" s="222" t="str">
        <f>IF('Rate Card CLT'!B108&lt;&gt;"",'Rate Card CLT'!B108,"")</f>
        <v>Analista SAP Funcional Pleno</v>
      </c>
      <c r="B104" s="223">
        <f>IF(A104&lt;&gt;"",TRUNC('Rate Card CLT'!U108,2),"")</f>
        <v>173.9</v>
      </c>
      <c r="C104" s="247">
        <f t="shared" si="11"/>
        <v>29215.200000000001</v>
      </c>
      <c r="D104" s="223">
        <f t="shared" si="10"/>
        <v>191.29000000000002</v>
      </c>
      <c r="E104" s="232">
        <f t="shared" si="12"/>
        <v>32136.720000000005</v>
      </c>
      <c r="F104" s="227">
        <f t="shared" si="13"/>
        <v>0.10000000000000013</v>
      </c>
      <c r="H104" s="229"/>
      <c r="I104" s="136"/>
    </row>
    <row r="105" spans="1:9" x14ac:dyDescent="0.25">
      <c r="A105" s="222" t="str">
        <f>IF('Rate Card CLT'!B109&lt;&gt;"",'Rate Card CLT'!B109,"")</f>
        <v>Analista SAP Funcional Sênior</v>
      </c>
      <c r="B105" s="223">
        <f>IF(A105&lt;&gt;"",TRUNC('Rate Card CLT'!U109,2),"")</f>
        <v>225.36</v>
      </c>
      <c r="C105" s="247">
        <f t="shared" si="11"/>
        <v>37860.480000000003</v>
      </c>
      <c r="D105" s="223">
        <f t="shared" si="10"/>
        <v>247.89600000000002</v>
      </c>
      <c r="E105" s="232">
        <f t="shared" si="12"/>
        <v>41646.528000000006</v>
      </c>
      <c r="F105" s="227">
        <f t="shared" si="13"/>
        <v>0.10000000000000006</v>
      </c>
      <c r="H105" s="229"/>
      <c r="I105" s="136"/>
    </row>
    <row r="106" spans="1:9" x14ac:dyDescent="0.25">
      <c r="A106" s="222" t="str">
        <f>IF('Rate Card CLT'!B110&lt;&gt;"",'Rate Card CLT'!B110,"")</f>
        <v>Scrum Master Júnior</v>
      </c>
      <c r="B106" s="223">
        <f>IF(A106&lt;&gt;"",TRUNC('Rate Card CLT'!U110,2),"")</f>
        <v>92.29</v>
      </c>
      <c r="C106" s="247">
        <f t="shared" si="11"/>
        <v>15504.720000000001</v>
      </c>
      <c r="D106" s="223">
        <f t="shared" si="10"/>
        <v>101.51900000000001</v>
      </c>
      <c r="E106" s="232">
        <f t="shared" si="12"/>
        <v>17055.192000000003</v>
      </c>
      <c r="F106" s="227">
        <f t="shared" si="13"/>
        <v>0.10000000000000009</v>
      </c>
      <c r="H106" s="229"/>
      <c r="I106" s="136"/>
    </row>
    <row r="107" spans="1:9" x14ac:dyDescent="0.25">
      <c r="A107" s="222" t="str">
        <f>IF('Rate Card CLT'!B111&lt;&gt;"",'Rate Card CLT'!B111,"")</f>
        <v>Scrum Master Pleno</v>
      </c>
      <c r="B107" s="223">
        <f>IF(A107&lt;&gt;"",TRUNC('Rate Card CLT'!U111,2),"")</f>
        <v>154.38999999999999</v>
      </c>
      <c r="C107" s="247">
        <f t="shared" si="11"/>
        <v>25937.519999999997</v>
      </c>
      <c r="D107" s="223">
        <f t="shared" si="10"/>
        <v>169.82899999999998</v>
      </c>
      <c r="E107" s="232">
        <f t="shared" si="12"/>
        <v>28531.271999999997</v>
      </c>
      <c r="F107" s="227">
        <f t="shared" si="13"/>
        <v>0.10000000000000003</v>
      </c>
      <c r="H107" s="229"/>
      <c r="I107" s="136"/>
    </row>
    <row r="108" spans="1:9" x14ac:dyDescent="0.25">
      <c r="A108" s="222" t="str">
        <f>IF('Rate Card CLT'!B112&lt;&gt;"",'Rate Card CLT'!B112,"")</f>
        <v>Scrum Master Sênior</v>
      </c>
      <c r="B108" s="223">
        <f>IF(A108&lt;&gt;"",TRUNC('Rate Card CLT'!U112,2),"")</f>
        <v>198.74</v>
      </c>
      <c r="C108" s="247">
        <f t="shared" si="11"/>
        <v>33388.32</v>
      </c>
      <c r="D108" s="223">
        <f t="shared" si="10"/>
        <v>218.614</v>
      </c>
      <c r="E108" s="232">
        <f t="shared" si="12"/>
        <v>36727.152000000002</v>
      </c>
      <c r="F108" s="227">
        <f t="shared" si="13"/>
        <v>0.10000000000000006</v>
      </c>
      <c r="H108" s="229"/>
      <c r="I108" s="136"/>
    </row>
    <row r="109" spans="1:9" x14ac:dyDescent="0.25">
      <c r="A109" s="222" t="str">
        <f>IF('Rate Card CLT'!B113&lt;&gt;"",'Rate Card CLT'!B113,"")</f>
        <v>SRE - Site Reliability Engenier Especialista</v>
      </c>
      <c r="B109" s="223">
        <f>IF(A109&lt;&gt;"",TRUNC('Rate Card CLT'!U113,2),"")</f>
        <v>296.33</v>
      </c>
      <c r="C109" s="247">
        <f t="shared" si="11"/>
        <v>49783.439999999995</v>
      </c>
      <c r="D109" s="223">
        <f t="shared" si="10"/>
        <v>325.96299999999997</v>
      </c>
      <c r="E109" s="232">
        <f t="shared" si="12"/>
        <v>54761.783999999992</v>
      </c>
      <c r="F109" s="227">
        <f t="shared" si="13"/>
        <v>9.999999999999995E-2</v>
      </c>
      <c r="H109" s="229"/>
      <c r="I109" s="136"/>
    </row>
    <row r="110" spans="1:9" x14ac:dyDescent="0.25">
      <c r="A110" s="222" t="str">
        <f>IF('Rate Card CLT'!B114&lt;&gt;"",'Rate Card CLT'!B114,"")</f>
        <v>SRE - Site Reliability Engenier Júnior</v>
      </c>
      <c r="B110" s="223">
        <f>IF(A110&lt;&gt;"",TRUNC('Rate Card CLT'!U114,2),"")</f>
        <v>118.9</v>
      </c>
      <c r="C110" s="247">
        <f t="shared" si="11"/>
        <v>19975.2</v>
      </c>
      <c r="D110" s="223">
        <f t="shared" si="10"/>
        <v>130.79000000000002</v>
      </c>
      <c r="E110" s="232">
        <f t="shared" si="12"/>
        <v>21972.720000000005</v>
      </c>
      <c r="F110" s="227">
        <f t="shared" si="13"/>
        <v>0.1000000000000002</v>
      </c>
      <c r="H110" s="229"/>
      <c r="I110" s="136"/>
    </row>
    <row r="111" spans="1:9" x14ac:dyDescent="0.25">
      <c r="A111" s="222" t="str">
        <f>IF('Rate Card CLT'!B115&lt;&gt;"",'Rate Card CLT'!B115,"")</f>
        <v>SRE - Site Reliability Engenier Pleno</v>
      </c>
      <c r="B111" s="223">
        <f>IF(A111&lt;&gt;"",TRUNC('Rate Card CLT'!U115,2),"")</f>
        <v>163.26</v>
      </c>
      <c r="C111" s="247">
        <f t="shared" si="11"/>
        <v>27427.68</v>
      </c>
      <c r="D111" s="223">
        <f t="shared" si="10"/>
        <v>179.58599999999998</v>
      </c>
      <c r="E111" s="232">
        <f t="shared" si="12"/>
        <v>30170.447999999997</v>
      </c>
      <c r="F111" s="227">
        <f t="shared" si="13"/>
        <v>9.9999999999999867E-2</v>
      </c>
      <c r="H111" s="229"/>
      <c r="I111" s="136"/>
    </row>
    <row r="112" spans="1:9" x14ac:dyDescent="0.25">
      <c r="A112" s="222" t="str">
        <f>IF('Rate Card CLT'!B116&lt;&gt;"",'Rate Card CLT'!B116,"")</f>
        <v>SRE - Site Reliability Engenier Sênior</v>
      </c>
      <c r="B112" s="223">
        <f>IF(A112&lt;&gt;"",TRUNC('Rate Card CLT'!U116,2),"")</f>
        <v>225.36</v>
      </c>
      <c r="C112" s="247">
        <f t="shared" si="11"/>
        <v>37860.480000000003</v>
      </c>
      <c r="D112" s="223">
        <f t="shared" si="10"/>
        <v>247.89600000000002</v>
      </c>
      <c r="E112" s="232">
        <f t="shared" si="12"/>
        <v>41646.528000000006</v>
      </c>
      <c r="F112" s="227">
        <f t="shared" si="13"/>
        <v>0.10000000000000006</v>
      </c>
      <c r="H112" s="229"/>
      <c r="I112" s="136"/>
    </row>
    <row r="113" spans="1:9" x14ac:dyDescent="0.25">
      <c r="A113" s="222" t="str">
        <f>IF('Rate Card CLT'!B117&lt;&gt;"",'Rate Card CLT'!B117,"")</f>
        <v>Tech Lead Especialista</v>
      </c>
      <c r="B113" s="223">
        <f>IF(A113&lt;&gt;"",TRUNC('Rate Card CLT'!U117,2),"")</f>
        <v>269.70999999999998</v>
      </c>
      <c r="C113" s="247">
        <f t="shared" si="11"/>
        <v>45311.28</v>
      </c>
      <c r="D113" s="223">
        <f t="shared" si="10"/>
        <v>296.68099999999998</v>
      </c>
      <c r="E113" s="232">
        <f t="shared" si="12"/>
        <v>49842.407999999996</v>
      </c>
      <c r="F113" s="227">
        <f t="shared" si="13"/>
        <v>9.9999999999999936E-2</v>
      </c>
      <c r="H113" s="229"/>
      <c r="I113" s="136"/>
    </row>
    <row r="114" spans="1:9" x14ac:dyDescent="0.25">
      <c r="A114" s="222" t="str">
        <f>IF('Rate Card CLT'!B118&lt;&gt;"",'Rate Card CLT'!B118,"")</f>
        <v>Tech Lead Pleno</v>
      </c>
      <c r="B114" s="223">
        <f>IF(A114&lt;&gt;"",TRUNC('Rate Card CLT'!U118,2),"")</f>
        <v>198.74</v>
      </c>
      <c r="C114" s="247">
        <f t="shared" si="11"/>
        <v>33388.32</v>
      </c>
      <c r="D114" s="223">
        <f t="shared" si="10"/>
        <v>218.614</v>
      </c>
      <c r="E114" s="232">
        <f t="shared" si="12"/>
        <v>36727.152000000002</v>
      </c>
      <c r="F114" s="227">
        <f t="shared" si="13"/>
        <v>0.10000000000000006</v>
      </c>
      <c r="H114" s="229"/>
      <c r="I114" s="136"/>
    </row>
    <row r="115" spans="1:9" x14ac:dyDescent="0.25">
      <c r="A115" s="222" t="str">
        <f>IF('Rate Card CLT'!B119&lt;&gt;"",'Rate Card CLT'!B119,"")</f>
        <v>Tech Lead Sênior</v>
      </c>
      <c r="B115" s="223">
        <f>IF(A115&lt;&gt;"",TRUNC('Rate Card CLT'!U119,2),"")</f>
        <v>243.1</v>
      </c>
      <c r="C115" s="247">
        <f t="shared" si="11"/>
        <v>40840.799999999996</v>
      </c>
      <c r="D115" s="223">
        <f t="shared" si="10"/>
        <v>267.40999999999997</v>
      </c>
      <c r="E115" s="232">
        <f t="shared" si="12"/>
        <v>44924.88</v>
      </c>
      <c r="F115" s="227">
        <f t="shared" si="13"/>
        <v>0.10000000000000005</v>
      </c>
      <c r="H115" s="229"/>
      <c r="I115" s="136"/>
    </row>
    <row r="116" spans="1:9" x14ac:dyDescent="0.25">
      <c r="A116" s="222" t="str">
        <f>IF('Rate Card CLT'!B120&lt;&gt;"",'Rate Card CLT'!B120,"")</f>
        <v>Analista de SI – Gestão de Acessos/ Identidade Júnior</v>
      </c>
      <c r="B116" s="223">
        <f>IF(A116&lt;&gt;"",TRUNC('Rate Card CLT'!U120,2),"")</f>
        <v>74.540000000000006</v>
      </c>
      <c r="C116" s="247">
        <f t="shared" si="11"/>
        <v>12522.720000000001</v>
      </c>
      <c r="D116" s="223">
        <f t="shared" si="10"/>
        <v>81.994</v>
      </c>
      <c r="E116" s="232">
        <f t="shared" si="12"/>
        <v>13774.992</v>
      </c>
      <c r="F116" s="227">
        <f t="shared" si="13"/>
        <v>9.9999999999999908E-2</v>
      </c>
      <c r="H116" s="229"/>
      <c r="I116" s="136"/>
    </row>
    <row r="117" spans="1:9" x14ac:dyDescent="0.25">
      <c r="A117" s="222" t="str">
        <f>IF('Rate Card CLT'!B121&lt;&gt;"",'Rate Card CLT'!B121,"")</f>
        <v>Analista de SI – Gestão de Acessos/ Identidade Pleno</v>
      </c>
      <c r="B117" s="223">
        <f>IF(A117&lt;&gt;"",TRUNC('Rate Card CLT'!U121,2),"")</f>
        <v>97.61</v>
      </c>
      <c r="C117" s="247">
        <f t="shared" si="11"/>
        <v>16398.48</v>
      </c>
      <c r="D117" s="223">
        <f t="shared" si="10"/>
        <v>107.371</v>
      </c>
      <c r="E117" s="232">
        <f t="shared" si="12"/>
        <v>18038.327999999998</v>
      </c>
      <c r="F117" s="227">
        <f t="shared" si="13"/>
        <v>9.9999999999999895E-2</v>
      </c>
      <c r="H117" s="229"/>
      <c r="I117" s="136"/>
    </row>
    <row r="118" spans="1:9" x14ac:dyDescent="0.25">
      <c r="A118" s="222" t="str">
        <f>IF('Rate Card CLT'!B122&lt;&gt;"",'Rate Card CLT'!B122,"")</f>
        <v>Analista de SI – Gestão de Acessos/ Identidade Sênior</v>
      </c>
      <c r="B118" s="223">
        <f>IF(A118&lt;&gt;"",TRUNC('Rate Card CLT'!U122,2),"")</f>
        <v>154.38999999999999</v>
      </c>
      <c r="C118" s="247">
        <f t="shared" si="11"/>
        <v>25937.519999999997</v>
      </c>
      <c r="D118" s="223">
        <f t="shared" si="10"/>
        <v>169.82899999999998</v>
      </c>
      <c r="E118" s="232">
        <f t="shared" si="12"/>
        <v>28531.271999999997</v>
      </c>
      <c r="F118" s="227">
        <f t="shared" si="13"/>
        <v>0.10000000000000003</v>
      </c>
      <c r="H118" s="229"/>
      <c r="I118" s="136"/>
    </row>
    <row r="119" spans="1:9" x14ac:dyDescent="0.25">
      <c r="A119" s="222" t="str">
        <f>IF('Rate Card CLT'!B123&lt;&gt;"",'Rate Card CLT'!B123,"")</f>
        <v>Analista de Segurança da Informação Especialista</v>
      </c>
      <c r="B119" s="223">
        <f>IF(A119&lt;&gt;"",TRUNC('Rate Card CLT'!U123,2),"")</f>
        <v>269.70999999999998</v>
      </c>
      <c r="C119" s="247">
        <f t="shared" si="11"/>
        <v>45311.28</v>
      </c>
      <c r="D119" s="223">
        <f t="shared" si="10"/>
        <v>296.68099999999998</v>
      </c>
      <c r="E119" s="232">
        <f t="shared" si="12"/>
        <v>49842.407999999996</v>
      </c>
      <c r="F119" s="227">
        <f t="shared" si="13"/>
        <v>9.9999999999999936E-2</v>
      </c>
      <c r="H119" s="229"/>
      <c r="I119" s="136"/>
    </row>
    <row r="120" spans="1:9" x14ac:dyDescent="0.25">
      <c r="A120" s="222" t="str">
        <f>IF('Rate Card CLT'!B124&lt;&gt;"",'Rate Card CLT'!B124,"")</f>
        <v>Analista de Segurança da Informação Júnior</v>
      </c>
      <c r="B120" s="223">
        <f>IF(A120&lt;&gt;"",TRUNC('Rate Card CLT'!U124,2),"")</f>
        <v>110.03</v>
      </c>
      <c r="C120" s="247">
        <f t="shared" si="11"/>
        <v>18485.04</v>
      </c>
      <c r="D120" s="223">
        <f t="shared" si="10"/>
        <v>121.033</v>
      </c>
      <c r="E120" s="232">
        <f t="shared" si="12"/>
        <v>20333.544000000002</v>
      </c>
      <c r="F120" s="227">
        <f t="shared" si="13"/>
        <v>0.10000000000000003</v>
      </c>
      <c r="H120" s="229"/>
      <c r="I120" s="136"/>
    </row>
    <row r="121" spans="1:9" x14ac:dyDescent="0.25">
      <c r="A121" s="222" t="str">
        <f>IF('Rate Card CLT'!B125&lt;&gt;"",'Rate Card CLT'!B125,"")</f>
        <v>Analista de Segurança da Informação Pleno</v>
      </c>
      <c r="B121" s="223">
        <f>IF(A121&lt;&gt;"",TRUNC('Rate Card CLT'!U125,2),"")</f>
        <v>163.26</v>
      </c>
      <c r="C121" s="247">
        <f t="shared" si="11"/>
        <v>27427.68</v>
      </c>
      <c r="D121" s="223">
        <f t="shared" si="10"/>
        <v>179.58599999999998</v>
      </c>
      <c r="E121" s="232">
        <f t="shared" si="12"/>
        <v>30170.447999999997</v>
      </c>
      <c r="F121" s="227">
        <f t="shared" si="13"/>
        <v>9.9999999999999867E-2</v>
      </c>
      <c r="H121" s="229"/>
      <c r="I121" s="136"/>
    </row>
    <row r="122" spans="1:9" x14ac:dyDescent="0.25">
      <c r="A122" s="222" t="str">
        <f>IF('Rate Card CLT'!B126&lt;&gt;"",'Rate Card CLT'!B126,"")</f>
        <v>Analista de Segurança da Informação Sênior</v>
      </c>
      <c r="B122" s="223">
        <f>IF(A122&lt;&gt;"",TRUNC('Rate Card CLT'!U126,2),"")</f>
        <v>243.1</v>
      </c>
      <c r="C122" s="247">
        <f t="shared" si="11"/>
        <v>40840.799999999996</v>
      </c>
      <c r="D122" s="223">
        <f t="shared" si="10"/>
        <v>267.40999999999997</v>
      </c>
      <c r="E122" s="232">
        <f t="shared" si="12"/>
        <v>44924.88</v>
      </c>
      <c r="F122" s="227">
        <f t="shared" si="13"/>
        <v>0.10000000000000005</v>
      </c>
      <c r="H122" s="229"/>
      <c r="I122" s="136"/>
    </row>
    <row r="123" spans="1:9" x14ac:dyDescent="0.25">
      <c r="A123" s="222" t="str">
        <f>IF('Rate Card CLT'!B127&lt;&gt;"",'Rate Card CLT'!B127,"")</f>
        <v>Coordenador de T.I. Sênior</v>
      </c>
      <c r="B123" s="223">
        <f>IF(A123&lt;&gt;"",TRUNC('Rate Card CLT'!U127,2),"")</f>
        <v>278.58</v>
      </c>
      <c r="C123" s="247">
        <f t="shared" si="11"/>
        <v>46801.439999999995</v>
      </c>
      <c r="D123" s="223">
        <f t="shared" si="10"/>
        <v>306.43799999999999</v>
      </c>
      <c r="E123" s="232">
        <f t="shared" si="12"/>
        <v>51481.583999999995</v>
      </c>
      <c r="F123" s="227">
        <f t="shared" si="13"/>
        <v>0.10000000000000002</v>
      </c>
      <c r="H123" s="229"/>
      <c r="I123" s="136"/>
    </row>
    <row r="124" spans="1:9" x14ac:dyDescent="0.25">
      <c r="A124" s="222" t="str">
        <f>IF('Rate Card CLT'!B128&lt;&gt;"",'Rate Card CLT'!B128,"")</f>
        <v>Consultor SAP SuccessFactors / Ariba Especialista</v>
      </c>
      <c r="B124" s="223">
        <f>IF(A124&lt;&gt;"",TRUNC('Rate Card CLT'!U128,2),"")</f>
        <v>456.01</v>
      </c>
      <c r="C124" s="247">
        <f t="shared" si="11"/>
        <v>76609.679999999993</v>
      </c>
      <c r="D124" s="223">
        <f t="shared" si="10"/>
        <v>501.61099999999999</v>
      </c>
      <c r="E124" s="232">
        <f t="shared" si="12"/>
        <v>84270.648000000001</v>
      </c>
      <c r="F124" s="227">
        <f t="shared" si="13"/>
        <v>0.10000000000000012</v>
      </c>
      <c r="H124" s="229"/>
      <c r="I124" s="136"/>
    </row>
    <row r="125" spans="1:9" x14ac:dyDescent="0.25">
      <c r="A125" s="222" t="str">
        <f>IF('Rate Card CLT'!B129&lt;&gt;"",'Rate Card CLT'!B129,"")</f>
        <v>Consultor SAP SuccessFactors / Ariba Júnior</v>
      </c>
      <c r="B125" s="223">
        <f>IF(A125&lt;&gt;"",TRUNC('Rate Card CLT'!U129,2),"")</f>
        <v>154.38999999999999</v>
      </c>
      <c r="C125" s="247">
        <f t="shared" si="11"/>
        <v>25937.519999999997</v>
      </c>
      <c r="D125" s="223">
        <f t="shared" si="10"/>
        <v>169.82899999999998</v>
      </c>
      <c r="E125" s="232">
        <f t="shared" si="12"/>
        <v>28531.271999999997</v>
      </c>
      <c r="F125" s="227">
        <f t="shared" si="13"/>
        <v>0.10000000000000003</v>
      </c>
      <c r="H125" s="229"/>
      <c r="I125" s="136"/>
    </row>
    <row r="126" spans="1:9" x14ac:dyDescent="0.25">
      <c r="A126" s="222" t="str">
        <f>IF('Rate Card CLT'!B130&lt;&gt;"",'Rate Card CLT'!B130,"")</f>
        <v>Consultor SAP SuccessFactors / Ariba Pleno</v>
      </c>
      <c r="B126" s="223">
        <f>IF(A126&lt;&gt;"",TRUNC('Rate Card CLT'!U130,2),"")</f>
        <v>260.83999999999997</v>
      </c>
      <c r="C126" s="247">
        <f t="shared" si="11"/>
        <v>43821.119999999995</v>
      </c>
      <c r="D126" s="223">
        <f t="shared" si="10"/>
        <v>286.92399999999998</v>
      </c>
      <c r="E126" s="232">
        <f t="shared" si="12"/>
        <v>48203.231999999996</v>
      </c>
      <c r="F126" s="227">
        <f t="shared" si="13"/>
        <v>0.10000000000000003</v>
      </c>
      <c r="H126" s="229"/>
      <c r="I126" s="136"/>
    </row>
    <row r="127" spans="1:9" x14ac:dyDescent="0.25">
      <c r="A127" s="222" t="str">
        <f>IF('Rate Card CLT'!B131&lt;&gt;"",'Rate Card CLT'!B131,"")</f>
        <v>Consultor SAP SuccessFactors / Ariba Sênior</v>
      </c>
      <c r="B127" s="223">
        <f>IF(A127&lt;&gt;"",TRUNC('Rate Card CLT'!U131,2),"")</f>
        <v>376.17</v>
      </c>
      <c r="C127" s="247">
        <f t="shared" si="11"/>
        <v>63196.560000000005</v>
      </c>
      <c r="D127" s="223">
        <f t="shared" si="10"/>
        <v>413.78700000000003</v>
      </c>
      <c r="E127" s="232">
        <f t="shared" si="12"/>
        <v>69516.216</v>
      </c>
      <c r="F127" s="227">
        <f t="shared" si="13"/>
        <v>9.9999999999999922E-2</v>
      </c>
      <c r="H127" s="229"/>
      <c r="I127" s="136"/>
    </row>
    <row r="128" spans="1:9" x14ac:dyDescent="0.25">
      <c r="A128" s="222" t="str">
        <f>IF('Rate Card CLT'!B132&lt;&gt;"",'Rate Card CLT'!B132,"")</f>
        <v>Consultor SAP MM/SD Especialista</v>
      </c>
      <c r="B128" s="223">
        <f>IF(A128&lt;&gt;"",TRUNC('Rate Card CLT'!U132,2),"")</f>
        <v>456.01</v>
      </c>
      <c r="C128" s="247">
        <f t="shared" si="11"/>
        <v>76609.679999999993</v>
      </c>
      <c r="D128" s="223">
        <f t="shared" si="10"/>
        <v>501.61099999999999</v>
      </c>
      <c r="E128" s="232">
        <f t="shared" si="12"/>
        <v>84270.648000000001</v>
      </c>
      <c r="F128" s="227">
        <f t="shared" si="13"/>
        <v>0.10000000000000012</v>
      </c>
      <c r="H128" s="229"/>
      <c r="I128" s="136"/>
    </row>
    <row r="129" spans="1:9" x14ac:dyDescent="0.25">
      <c r="A129" s="222" t="str">
        <f>IF('Rate Card CLT'!B133&lt;&gt;"",'Rate Card CLT'!B133,"")</f>
        <v>Consultor SAP MM/SD Júnior</v>
      </c>
      <c r="B129" s="223">
        <f>IF(A129&lt;&gt;"",TRUNC('Rate Card CLT'!U133,2),"")</f>
        <v>157.93</v>
      </c>
      <c r="C129" s="247">
        <f t="shared" si="11"/>
        <v>26532.240000000002</v>
      </c>
      <c r="D129" s="223">
        <f t="shared" si="10"/>
        <v>173.72300000000001</v>
      </c>
      <c r="E129" s="232">
        <f t="shared" si="12"/>
        <v>29185.464000000004</v>
      </c>
      <c r="F129" s="227">
        <f t="shared" si="13"/>
        <v>0.10000000000000007</v>
      </c>
      <c r="H129" s="229"/>
      <c r="I129" s="136"/>
    </row>
    <row r="130" spans="1:9" x14ac:dyDescent="0.25">
      <c r="A130" s="222" t="str">
        <f>IF('Rate Card CLT'!B134&lt;&gt;"",'Rate Card CLT'!B134,"")</f>
        <v>Consultor SAP MM/SD Pleno</v>
      </c>
      <c r="B130" s="223">
        <f>IF(A130&lt;&gt;"",TRUNC('Rate Card CLT'!U134,2),"")</f>
        <v>260.83999999999997</v>
      </c>
      <c r="C130" s="247">
        <f t="shared" si="11"/>
        <v>43821.119999999995</v>
      </c>
      <c r="D130" s="223">
        <f t="shared" si="10"/>
        <v>286.92399999999998</v>
      </c>
      <c r="E130" s="232">
        <f t="shared" si="12"/>
        <v>48203.231999999996</v>
      </c>
      <c r="F130" s="227">
        <f t="shared" si="13"/>
        <v>0.10000000000000003</v>
      </c>
      <c r="H130" s="229"/>
      <c r="I130" s="136"/>
    </row>
    <row r="131" spans="1:9" x14ac:dyDescent="0.25">
      <c r="A131" s="222" t="str">
        <f>IF('Rate Card CLT'!B135&lt;&gt;"",'Rate Card CLT'!B135,"")</f>
        <v>Consultor SAP MM/SD Sênior</v>
      </c>
      <c r="B131" s="223">
        <f>IF(A131&lt;&gt;"",TRUNC('Rate Card CLT'!U135,2),"")</f>
        <v>376.17</v>
      </c>
      <c r="C131" s="247">
        <f t="shared" si="11"/>
        <v>63196.560000000005</v>
      </c>
      <c r="D131" s="223">
        <f t="shared" si="10"/>
        <v>413.78700000000003</v>
      </c>
      <c r="E131" s="232">
        <f t="shared" si="12"/>
        <v>69516.216</v>
      </c>
      <c r="F131" s="227">
        <f t="shared" si="13"/>
        <v>9.9999999999999922E-2</v>
      </c>
      <c r="H131" s="229"/>
      <c r="I131" s="136"/>
    </row>
    <row r="132" spans="1:9" x14ac:dyDescent="0.25">
      <c r="A132" s="222" t="str">
        <f>IF('Rate Card CLT'!B136&lt;&gt;"",'Rate Card CLT'!B136,"")</f>
        <v>Consultor SAP FI/CO Especialista</v>
      </c>
      <c r="B132" s="223">
        <f>IF(A132&lt;&gt;"",TRUNC('Rate Card CLT'!U136,2),"")</f>
        <v>526.98</v>
      </c>
      <c r="C132" s="247">
        <f t="shared" si="11"/>
        <v>88532.64</v>
      </c>
      <c r="D132" s="223">
        <f t="shared" si="10"/>
        <v>579.678</v>
      </c>
      <c r="E132" s="232">
        <f t="shared" si="12"/>
        <v>97385.903999999995</v>
      </c>
      <c r="F132" s="227">
        <f t="shared" si="13"/>
        <v>9.999999999999995E-2</v>
      </c>
      <c r="H132" s="229"/>
      <c r="I132" s="136"/>
    </row>
    <row r="133" spans="1:9" x14ac:dyDescent="0.25">
      <c r="A133" s="222" t="str">
        <f>IF('Rate Card CLT'!B137&lt;&gt;"",'Rate Card CLT'!B137,"")</f>
        <v>Consultor SAP FI/CO Júnior</v>
      </c>
      <c r="B133" s="223">
        <f>IF(A133&lt;&gt;"",TRUNC('Rate Card CLT'!U137,2),"")</f>
        <v>168.58</v>
      </c>
      <c r="C133" s="247">
        <f t="shared" ref="C133:C155" si="14">IF(A133&lt;&gt;"",$C$1*B133,"")</f>
        <v>28321.440000000002</v>
      </c>
      <c r="D133" s="223">
        <f t="shared" si="10"/>
        <v>185.43800000000002</v>
      </c>
      <c r="E133" s="232">
        <f t="shared" ref="E133:E155" si="15">IF(A133&lt;&gt;"",$C$1*D133,"")</f>
        <v>31153.584000000003</v>
      </c>
      <c r="F133" s="227">
        <f t="shared" ref="F133:F151" si="16">IF(A133&lt;&gt;"",(E133-C133)/C133,"")</f>
        <v>0.1</v>
      </c>
      <c r="H133" s="229"/>
      <c r="I133" s="136"/>
    </row>
    <row r="134" spans="1:9" x14ac:dyDescent="0.25">
      <c r="A134" s="222" t="str">
        <f>IF('Rate Card CLT'!B138&lt;&gt;"",'Rate Card CLT'!B138,"")</f>
        <v>Consultor SAP FI/CO Pleno</v>
      </c>
      <c r="B134" s="223">
        <f>IF(A134&lt;&gt;"",TRUNC('Rate Card CLT'!U138,2),"")</f>
        <v>287.45999999999998</v>
      </c>
      <c r="C134" s="247">
        <f t="shared" si="14"/>
        <v>48293.279999999999</v>
      </c>
      <c r="D134" s="223">
        <f t="shared" si="10"/>
        <v>316.20599999999996</v>
      </c>
      <c r="E134" s="232">
        <f t="shared" si="15"/>
        <v>53122.607999999993</v>
      </c>
      <c r="F134" s="227">
        <f t="shared" si="16"/>
        <v>9.9999999999999881E-2</v>
      </c>
      <c r="H134" s="229"/>
      <c r="I134" s="136"/>
    </row>
    <row r="135" spans="1:9" x14ac:dyDescent="0.25">
      <c r="A135" s="222" t="str">
        <f>IF('Rate Card CLT'!B139&lt;&gt;"",'Rate Card CLT'!B139,"")</f>
        <v>Consultor SAP FI/CO Sênior</v>
      </c>
      <c r="B135" s="223">
        <f>IF(A135&lt;&gt;"",TRUNC('Rate Card CLT'!U139,2),"")</f>
        <v>385.04</v>
      </c>
      <c r="C135" s="247">
        <f t="shared" si="14"/>
        <v>64686.720000000001</v>
      </c>
      <c r="D135" s="223">
        <f t="shared" si="10"/>
        <v>423.54400000000004</v>
      </c>
      <c r="E135" s="232">
        <f t="shared" si="15"/>
        <v>71155.392000000007</v>
      </c>
      <c r="F135" s="227">
        <f t="shared" si="16"/>
        <v>0.10000000000000009</v>
      </c>
      <c r="H135" s="229"/>
      <c r="I135" s="136"/>
    </row>
    <row r="136" spans="1:9" x14ac:dyDescent="0.25">
      <c r="A136" s="222" t="str">
        <f>IF('Rate Card CLT'!B140&lt;&gt;"",'Rate Card CLT'!B140,"")</f>
        <v>Consultor SAP ABAP Especialista</v>
      </c>
      <c r="B136" s="223">
        <f>IF(A136&lt;&gt;"",TRUNC('Rate Card CLT'!U140,2),"")</f>
        <v>509.24</v>
      </c>
      <c r="C136" s="247">
        <f t="shared" si="14"/>
        <v>85552.320000000007</v>
      </c>
      <c r="D136" s="223">
        <f t="shared" ref="D136:D155" si="17">B136+(B136*$J$2)</f>
        <v>560.16399999999999</v>
      </c>
      <c r="E136" s="232">
        <f t="shared" si="15"/>
        <v>94107.551999999996</v>
      </c>
      <c r="F136" s="227">
        <f t="shared" si="16"/>
        <v>9.9999999999999867E-2</v>
      </c>
      <c r="H136" s="229"/>
      <c r="I136" s="136"/>
    </row>
    <row r="137" spans="1:9" x14ac:dyDescent="0.25">
      <c r="A137" s="222" t="str">
        <f>IF('Rate Card CLT'!B141&lt;&gt;"",'Rate Card CLT'!B141,"")</f>
        <v>Consultor SAP ABAP Júnior</v>
      </c>
      <c r="B137" s="223">
        <f>IF(A137&lt;&gt;"",TRUNC('Rate Card CLT'!U141,2),"")</f>
        <v>163.26</v>
      </c>
      <c r="C137" s="247">
        <f t="shared" si="14"/>
        <v>27427.68</v>
      </c>
      <c r="D137" s="223">
        <f t="shared" si="17"/>
        <v>179.58599999999998</v>
      </c>
      <c r="E137" s="232">
        <f t="shared" si="15"/>
        <v>30170.447999999997</v>
      </c>
      <c r="F137" s="227">
        <f t="shared" si="16"/>
        <v>9.9999999999999867E-2</v>
      </c>
      <c r="H137" s="229"/>
      <c r="I137" s="136"/>
    </row>
    <row r="138" spans="1:9" x14ac:dyDescent="0.25">
      <c r="A138" s="222" t="str">
        <f>IF('Rate Card CLT'!B142&lt;&gt;"",'Rate Card CLT'!B142,"")</f>
        <v>Consultor SAP ABAP Pleno</v>
      </c>
      <c r="B138" s="223">
        <f>IF(A138&lt;&gt;"",TRUNC('Rate Card CLT'!U142,2),"")</f>
        <v>278.58</v>
      </c>
      <c r="C138" s="247">
        <f t="shared" si="14"/>
        <v>46801.439999999995</v>
      </c>
      <c r="D138" s="223">
        <f t="shared" si="17"/>
        <v>306.43799999999999</v>
      </c>
      <c r="E138" s="232">
        <f t="shared" si="15"/>
        <v>51481.583999999995</v>
      </c>
      <c r="F138" s="227">
        <f t="shared" si="16"/>
        <v>0.10000000000000002</v>
      </c>
      <c r="H138" s="229"/>
      <c r="I138" s="136"/>
    </row>
    <row r="139" spans="1:9" x14ac:dyDescent="0.25">
      <c r="A139" s="222" t="str">
        <f>IF('Rate Card CLT'!B143&lt;&gt;"",'Rate Card CLT'!B143,"")</f>
        <v>Consultor SAP ABAP Sênior</v>
      </c>
      <c r="B139" s="223">
        <f>IF(A139&lt;&gt;"",TRUNC('Rate Card CLT'!U143,2),"")</f>
        <v>385.04</v>
      </c>
      <c r="C139" s="247">
        <f t="shared" si="14"/>
        <v>64686.720000000001</v>
      </c>
      <c r="D139" s="223">
        <f t="shared" si="17"/>
        <v>423.54400000000004</v>
      </c>
      <c r="E139" s="232">
        <f t="shared" si="15"/>
        <v>71155.392000000007</v>
      </c>
      <c r="F139" s="227">
        <f t="shared" si="16"/>
        <v>0.10000000000000009</v>
      </c>
      <c r="H139" s="229"/>
      <c r="I139" s="136"/>
    </row>
    <row r="140" spans="1:9" x14ac:dyDescent="0.25">
      <c r="A140" s="222" t="str">
        <f>IF('Rate Card CLT'!B144&lt;&gt;"",'Rate Card CLT'!B144,"")</f>
        <v>Consultor SAP EWM Especialista</v>
      </c>
      <c r="B140" s="223">
        <f>IF(A140&lt;&gt;"",TRUNC('Rate Card CLT'!U144,2),"")</f>
        <v>509.24</v>
      </c>
      <c r="C140" s="247">
        <f t="shared" si="14"/>
        <v>85552.320000000007</v>
      </c>
      <c r="D140" s="223">
        <f t="shared" si="17"/>
        <v>560.16399999999999</v>
      </c>
      <c r="E140" s="232">
        <f t="shared" si="15"/>
        <v>94107.551999999996</v>
      </c>
      <c r="F140" s="227">
        <f t="shared" si="16"/>
        <v>9.9999999999999867E-2</v>
      </c>
      <c r="H140" s="229"/>
      <c r="I140" s="136"/>
    </row>
    <row r="141" spans="1:9" x14ac:dyDescent="0.25">
      <c r="A141" s="222" t="str">
        <f>IF('Rate Card CLT'!B145&lt;&gt;"",'Rate Card CLT'!B145,"")</f>
        <v>Consultor SAP EWM Júnior</v>
      </c>
      <c r="B141" s="223">
        <f>IF(A141&lt;&gt;"",TRUNC('Rate Card CLT'!U145,2),"")</f>
        <v>172.13</v>
      </c>
      <c r="C141" s="247">
        <f t="shared" si="14"/>
        <v>28917.84</v>
      </c>
      <c r="D141" s="223">
        <f t="shared" si="17"/>
        <v>189.34299999999999</v>
      </c>
      <c r="E141" s="232">
        <f t="shared" si="15"/>
        <v>31809.624</v>
      </c>
      <c r="F141" s="227">
        <f t="shared" si="16"/>
        <v>9.9999999999999992E-2</v>
      </c>
      <c r="H141" s="229"/>
      <c r="I141" s="136"/>
    </row>
    <row r="142" spans="1:9" x14ac:dyDescent="0.25">
      <c r="A142" s="222" t="str">
        <f>IF('Rate Card CLT'!B146&lt;&gt;"",'Rate Card CLT'!B146,"")</f>
        <v>Consultor SAP EWM Pleno</v>
      </c>
      <c r="B142" s="223">
        <f>IF(A142&lt;&gt;"",TRUNC('Rate Card CLT'!U146,2),"")</f>
        <v>306.97000000000003</v>
      </c>
      <c r="C142" s="247">
        <f t="shared" si="14"/>
        <v>51570.960000000006</v>
      </c>
      <c r="D142" s="223">
        <f t="shared" si="17"/>
        <v>337.66700000000003</v>
      </c>
      <c r="E142" s="232">
        <f t="shared" si="15"/>
        <v>56728.056000000004</v>
      </c>
      <c r="F142" s="227">
        <f t="shared" si="16"/>
        <v>9.999999999999995E-2</v>
      </c>
      <c r="H142" s="229"/>
      <c r="I142" s="136"/>
    </row>
    <row r="143" spans="1:9" x14ac:dyDescent="0.25">
      <c r="A143" s="222" t="str">
        <f>IF('Rate Card CLT'!B147&lt;&gt;"",'Rate Card CLT'!B147,"")</f>
        <v>Consultor SAP EWM Sênior</v>
      </c>
      <c r="B143" s="223">
        <f>IF(A143&lt;&gt;"",TRUNC('Rate Card CLT'!U147,2),"")</f>
        <v>399.23</v>
      </c>
      <c r="C143" s="247">
        <f t="shared" si="14"/>
        <v>67070.64</v>
      </c>
      <c r="D143" s="223">
        <f t="shared" si="17"/>
        <v>439.15300000000002</v>
      </c>
      <c r="E143" s="232">
        <f t="shared" si="15"/>
        <v>73777.703999999998</v>
      </c>
      <c r="F143" s="227">
        <f t="shared" si="16"/>
        <v>9.9999999999999978E-2</v>
      </c>
      <c r="H143" s="229"/>
      <c r="I143" s="136"/>
    </row>
    <row r="144" spans="1:9" x14ac:dyDescent="0.25">
      <c r="A144" s="222" t="str">
        <f>IF('Rate Card CLT'!B148&lt;&gt;"",'Rate Card CLT'!B148,"")</f>
        <v>Consultor Oracle Netsuite Especialista</v>
      </c>
      <c r="B144" s="223">
        <f>IF(A144&lt;&gt;"",TRUNC('Rate Card CLT'!U148,2),"")</f>
        <v>438.27</v>
      </c>
      <c r="C144" s="247">
        <f t="shared" si="14"/>
        <v>73629.36</v>
      </c>
      <c r="D144" s="223">
        <f t="shared" si="17"/>
        <v>482.09699999999998</v>
      </c>
      <c r="E144" s="232">
        <f t="shared" si="15"/>
        <v>80992.296000000002</v>
      </c>
      <c r="F144" s="227">
        <f t="shared" si="16"/>
        <v>0.10000000000000002</v>
      </c>
      <c r="H144" s="229"/>
      <c r="I144" s="136"/>
    </row>
    <row r="145" spans="1:9" x14ac:dyDescent="0.25">
      <c r="A145" s="222" t="str">
        <f>IF('Rate Card CLT'!B149&lt;&gt;"",'Rate Card CLT'!B149,"")</f>
        <v>Consultor Oracle Netsuite Júnior</v>
      </c>
      <c r="B145" s="223">
        <f>IF(A145&lt;&gt;"",TRUNC('Rate Card CLT'!U149,2),"")</f>
        <v>111.8</v>
      </c>
      <c r="C145" s="247">
        <f t="shared" si="14"/>
        <v>18782.399999999998</v>
      </c>
      <c r="D145" s="223">
        <f t="shared" si="17"/>
        <v>122.97999999999999</v>
      </c>
      <c r="E145" s="232">
        <f t="shared" si="15"/>
        <v>20660.64</v>
      </c>
      <c r="F145" s="227">
        <f t="shared" si="16"/>
        <v>0.1000000000000001</v>
      </c>
      <c r="H145" s="229"/>
      <c r="I145" s="136"/>
    </row>
    <row r="146" spans="1:9" x14ac:dyDescent="0.25">
      <c r="A146" s="222" t="str">
        <f>IF('Rate Card CLT'!B150&lt;&gt;"",'Rate Card CLT'!B150,"")</f>
        <v>Consultor Oracle Netsuite Pleno</v>
      </c>
      <c r="B146" s="223">
        <f>IF(A146&lt;&gt;"",TRUNC('Rate Card CLT'!U150,2),"")</f>
        <v>207.61</v>
      </c>
      <c r="C146" s="247">
        <f t="shared" si="14"/>
        <v>34878.480000000003</v>
      </c>
      <c r="D146" s="223">
        <f t="shared" si="17"/>
        <v>228.37100000000001</v>
      </c>
      <c r="E146" s="232">
        <f t="shared" si="15"/>
        <v>38366.328000000001</v>
      </c>
      <c r="F146" s="227">
        <f t="shared" si="16"/>
        <v>9.9999999999999936E-2</v>
      </c>
      <c r="H146" s="229"/>
      <c r="I146" s="136"/>
    </row>
    <row r="147" spans="1:9" x14ac:dyDescent="0.25">
      <c r="A147" s="222" t="str">
        <f>IF('Rate Card CLT'!B151&lt;&gt;"",'Rate Card CLT'!B151,"")</f>
        <v>Consultor Oracle Netsuite Sênior</v>
      </c>
      <c r="B147" s="223">
        <f>IF(A147&lt;&gt;"",TRUNC('Rate Card CLT'!U151,2),"")</f>
        <v>367.3</v>
      </c>
      <c r="C147" s="247">
        <f t="shared" si="14"/>
        <v>61706.400000000001</v>
      </c>
      <c r="D147" s="223">
        <f t="shared" si="17"/>
        <v>404.03000000000003</v>
      </c>
      <c r="E147" s="232">
        <f t="shared" si="15"/>
        <v>67877.040000000008</v>
      </c>
      <c r="F147" s="227">
        <f t="shared" si="16"/>
        <v>0.1000000000000001</v>
      </c>
      <c r="H147" s="229"/>
      <c r="I147" s="136"/>
    </row>
    <row r="148" spans="1:9" x14ac:dyDescent="0.25">
      <c r="A148" s="222" t="str">
        <f>IF('Rate Card CLT'!B152&lt;&gt;"",'Rate Card CLT'!B152,"")</f>
        <v>Analista de Qualidade Automatizador Especialista</v>
      </c>
      <c r="B148" s="223">
        <f>IF(A148&lt;&gt;"",TRUNC('Rate Card CLT'!U152,2),"")</f>
        <v>225.36</v>
      </c>
      <c r="C148" s="247">
        <f t="shared" si="14"/>
        <v>37860.480000000003</v>
      </c>
      <c r="D148" s="223">
        <f t="shared" si="17"/>
        <v>247.89600000000002</v>
      </c>
      <c r="E148" s="232">
        <f t="shared" si="15"/>
        <v>41646.528000000006</v>
      </c>
      <c r="F148" s="227">
        <f t="shared" si="16"/>
        <v>0.10000000000000006</v>
      </c>
      <c r="H148" s="229"/>
      <c r="I148" s="136"/>
    </row>
    <row r="149" spans="1:9" x14ac:dyDescent="0.25">
      <c r="A149" s="222" t="str">
        <f>IF('Rate Card CLT'!B153&lt;&gt;"",'Rate Card CLT'!B153,"")</f>
        <v>Analista de Qualidade Automatizador Júnior</v>
      </c>
      <c r="B149" s="223">
        <f>IF(A149&lt;&gt;"",TRUNC('Rate Card CLT'!U153,2),"")</f>
        <v>86.96</v>
      </c>
      <c r="C149" s="247">
        <f t="shared" si="14"/>
        <v>14609.279999999999</v>
      </c>
      <c r="D149" s="223">
        <f t="shared" si="17"/>
        <v>95.655999999999992</v>
      </c>
      <c r="E149" s="232">
        <f t="shared" si="15"/>
        <v>16070.207999999999</v>
      </c>
      <c r="F149" s="227">
        <f t="shared" si="16"/>
        <v>0.1</v>
      </c>
      <c r="H149" s="229"/>
      <c r="I149" s="136"/>
    </row>
    <row r="150" spans="1:9" x14ac:dyDescent="0.25">
      <c r="A150" s="222" t="str">
        <f>IF('Rate Card CLT'!B154&lt;&gt;"",'Rate Card CLT'!B154,"")</f>
        <v>Analista de Qualidade Automatizador Pleno</v>
      </c>
      <c r="B150" s="223">
        <f>IF(A150&lt;&gt;"",TRUNC('Rate Card CLT'!U154,2),"")</f>
        <v>145.51</v>
      </c>
      <c r="C150" s="247">
        <f t="shared" si="14"/>
        <v>24445.68</v>
      </c>
      <c r="D150" s="223">
        <f t="shared" si="17"/>
        <v>160.06099999999998</v>
      </c>
      <c r="E150" s="232">
        <f t="shared" si="15"/>
        <v>26890.247999999996</v>
      </c>
      <c r="F150" s="227">
        <f t="shared" si="16"/>
        <v>9.9999999999999825E-2</v>
      </c>
      <c r="H150" s="229"/>
      <c r="I150" s="136"/>
    </row>
    <row r="151" spans="1:9" x14ac:dyDescent="0.25">
      <c r="A151" s="222" t="str">
        <f>IF('Rate Card CLT'!B155&lt;&gt;"",'Rate Card CLT'!B155,"")</f>
        <v>Analista de Qualidade Automatizador Sênior</v>
      </c>
      <c r="B151" s="223">
        <f>IF(A151&lt;&gt;"",TRUNC('Rate Card CLT'!U155,2),"")</f>
        <v>189.87</v>
      </c>
      <c r="C151" s="247">
        <f t="shared" si="14"/>
        <v>31898.16</v>
      </c>
      <c r="D151" s="223">
        <f t="shared" si="17"/>
        <v>208.857</v>
      </c>
      <c r="E151" s="232">
        <f t="shared" si="15"/>
        <v>35087.976000000002</v>
      </c>
      <c r="F151" s="227">
        <f t="shared" si="16"/>
        <v>0.10000000000000007</v>
      </c>
      <c r="H151" s="229"/>
      <c r="I151" s="136"/>
    </row>
    <row r="152" spans="1:9" x14ac:dyDescent="0.25">
      <c r="A152" s="222" t="str">
        <f>IF('Rate Card CLT'!B156&lt;&gt;"",'Rate Card CLT'!B156,"")</f>
        <v>Especialista LTMC (Líder Técnico) Especialista</v>
      </c>
      <c r="B152" s="223">
        <f>IF(A152&lt;&gt;"",TRUNC('Rate Card CLT'!U156,2),"")</f>
        <v>438.27</v>
      </c>
      <c r="C152" s="247">
        <f t="shared" si="14"/>
        <v>73629.36</v>
      </c>
      <c r="D152" s="223">
        <f t="shared" si="17"/>
        <v>482.09699999999998</v>
      </c>
      <c r="E152" s="232">
        <f t="shared" si="15"/>
        <v>80992.296000000002</v>
      </c>
    </row>
    <row r="153" spans="1:9" x14ac:dyDescent="0.25">
      <c r="A153" s="222" t="str">
        <f>IF('Rate Card CLT'!B157&lt;&gt;"",'Rate Card CLT'!B157,"")</f>
        <v>Especialista LTMC Especialista</v>
      </c>
      <c r="B153" s="223">
        <f>IF(A153&lt;&gt;"",TRUNC('Rate Card CLT'!U157,2),"")</f>
        <v>402.78</v>
      </c>
      <c r="C153" s="247">
        <f t="shared" si="14"/>
        <v>67667.039999999994</v>
      </c>
      <c r="D153" s="223">
        <f t="shared" si="17"/>
        <v>443.05799999999999</v>
      </c>
      <c r="E153" s="232">
        <f t="shared" si="15"/>
        <v>74433.744000000006</v>
      </c>
    </row>
    <row r="154" spans="1:9" x14ac:dyDescent="0.25">
      <c r="A154" s="222" t="str">
        <f>IF('Rate Card CLT'!B158&lt;&gt;"",'Rate Card CLT'!B158,"")</f>
        <v>Especialista ETL / Oracle EBS Especialista</v>
      </c>
      <c r="B154" s="223">
        <f>IF(A154&lt;&gt;"",TRUNC('Rate Card CLT'!U158,2),"")</f>
        <v>367.3</v>
      </c>
      <c r="C154" s="247">
        <f t="shared" si="14"/>
        <v>61706.400000000001</v>
      </c>
      <c r="D154" s="223">
        <f t="shared" si="17"/>
        <v>404.03000000000003</v>
      </c>
      <c r="E154" s="232">
        <f t="shared" si="15"/>
        <v>67877.040000000008</v>
      </c>
    </row>
    <row r="155" spans="1:9" x14ac:dyDescent="0.25">
      <c r="A155" s="222" t="str">
        <f>IF('Rate Card CLT'!B159&lt;&gt;"",'Rate Card CLT'!B159,"")</f>
        <v>Especialista DQ / DQA Especialista</v>
      </c>
      <c r="B155" s="223">
        <f>IF(A155&lt;&gt;"",TRUNC('Rate Card CLT'!U159,2),"")</f>
        <v>438.27</v>
      </c>
      <c r="C155" s="247">
        <f t="shared" si="14"/>
        <v>73629.36</v>
      </c>
      <c r="D155" s="223">
        <f t="shared" si="17"/>
        <v>482.09699999999998</v>
      </c>
      <c r="E155" s="232">
        <f t="shared" si="15"/>
        <v>80992.296000000002</v>
      </c>
    </row>
  </sheetData>
  <autoFilter ref="A4:J155" xr:uid="{EEEC0872-E4B9-48DC-B5D1-BEE25D463A7C}"/>
  <mergeCells count="3">
    <mergeCell ref="B3:C3"/>
    <mergeCell ref="A2:C2"/>
    <mergeCell ref="D3:E3"/>
  </mergeCells>
  <conditionalFormatting sqref="A144:A155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47F2-F3E6-40CC-8BCC-0B366B731BA3}">
  <dimension ref="A1:K155"/>
  <sheetViews>
    <sheetView tabSelected="1" zoomScaleNormal="100" workbookViewId="0">
      <pane ySplit="4" topLeftCell="A5" activePane="bottomLeft" state="frozen"/>
      <selection pane="bottomLeft" activeCell="C23" sqref="C23"/>
    </sheetView>
  </sheetViews>
  <sheetFormatPr defaultRowHeight="15" x14ac:dyDescent="0.25"/>
  <cols>
    <col min="1" max="1" width="43.28515625" customWidth="1"/>
    <col min="2" max="2" width="10.5703125" style="140" bestFit="1" customWidth="1"/>
    <col min="3" max="3" width="13.28515625" bestFit="1" customWidth="1"/>
    <col min="4" max="5" width="13.28515625" customWidth="1"/>
    <col min="6" max="6" width="13.42578125" style="136" hidden="1" customWidth="1"/>
    <col min="7" max="7" width="11.28515625" bestFit="1" customWidth="1"/>
    <col min="8" max="8" width="14.28515625" bestFit="1" customWidth="1"/>
    <col min="10" max="10" width="13.42578125" bestFit="1" customWidth="1"/>
    <col min="11" max="11" width="7.85546875" customWidth="1"/>
  </cols>
  <sheetData>
    <row r="1" spans="1:11" ht="26.25" x14ac:dyDescent="0.4">
      <c r="B1" s="245" t="s">
        <v>1454</v>
      </c>
      <c r="C1" s="246">
        <v>168</v>
      </c>
    </row>
    <row r="2" spans="1:11" ht="21" x14ac:dyDescent="0.35">
      <c r="A2" s="251" t="str">
        <f>"RATE CARD PJ"&amp; " - BASE " &amp;C1&amp; " HORAS"</f>
        <v>RATE CARD PJ - BASE 168 HORAS</v>
      </c>
      <c r="B2" s="251"/>
      <c r="C2" s="251"/>
      <c r="D2" s="233"/>
      <c r="E2" s="233"/>
    </row>
    <row r="3" spans="1:11" x14ac:dyDescent="0.25">
      <c r="B3" s="250" t="s">
        <v>372</v>
      </c>
      <c r="C3" s="250"/>
      <c r="D3" s="252" t="s">
        <v>371</v>
      </c>
      <c r="E3" s="253"/>
      <c r="J3" s="140" t="s">
        <v>374</v>
      </c>
      <c r="K3" s="136">
        <v>0.1</v>
      </c>
    </row>
    <row r="4" spans="1:11" ht="30" x14ac:dyDescent="0.25">
      <c r="A4" s="221" t="s">
        <v>107</v>
      </c>
      <c r="B4" s="221" t="s">
        <v>375</v>
      </c>
      <c r="C4" s="221" t="s">
        <v>376</v>
      </c>
      <c r="D4" s="221" t="s">
        <v>375</v>
      </c>
      <c r="E4" s="221" t="s">
        <v>376</v>
      </c>
      <c r="F4" s="231" t="s">
        <v>373</v>
      </c>
    </row>
    <row r="5" spans="1:11" x14ac:dyDescent="0.25">
      <c r="A5" s="222" t="str">
        <f>IF('Rate Card CLT'!B9&lt;&gt;"",'Rate Card PJ'!B9,"")</f>
        <v>Agilista Especialista</v>
      </c>
      <c r="B5" s="223">
        <f>IF(A5&lt;&gt;"",TRUNC('Rate Card PJ'!U9,2),"")</f>
        <v>195.14</v>
      </c>
      <c r="C5" s="247">
        <f t="shared" ref="C5:C36" si="0">IF(A5&lt;&gt;"",$C$1*B5,"")</f>
        <v>32783.519999999997</v>
      </c>
      <c r="D5" s="223">
        <f>B5+(B5*$K$3)</f>
        <v>214.654</v>
      </c>
      <c r="E5" s="232">
        <f t="shared" ref="E5:E36" si="1">IF(A5&lt;&gt;"",$C$1*D5,"")</f>
        <v>36061.872000000003</v>
      </c>
      <c r="F5" s="227" t="e">
        <f>IF(A5&lt;&gt;"",(C5-#REF!)/C5,"")</f>
        <v>#REF!</v>
      </c>
    </row>
    <row r="6" spans="1:11" x14ac:dyDescent="0.25">
      <c r="A6" s="222" t="str">
        <f>IF('Rate Card CLT'!B10&lt;&gt;"",'Rate Card PJ'!B10,"")</f>
        <v>Agilista - Junior Júnior</v>
      </c>
      <c r="B6" s="223">
        <f>IF(A6&lt;&gt;"",TRUNC('Rate Card PJ'!U10,2),"")</f>
        <v>70.83</v>
      </c>
      <c r="C6" s="247">
        <f t="shared" si="0"/>
        <v>11899.44</v>
      </c>
      <c r="D6" s="223">
        <f t="shared" ref="D6:D69" si="2">B6+(B6*$K$3)</f>
        <v>77.912999999999997</v>
      </c>
      <c r="E6" s="232">
        <f t="shared" si="1"/>
        <v>13089.384</v>
      </c>
      <c r="F6" s="227" t="e">
        <f>IF(A6&lt;&gt;"",(C6-#REF!)/C6,"")</f>
        <v>#REF!</v>
      </c>
    </row>
    <row r="7" spans="1:11" x14ac:dyDescent="0.25">
      <c r="A7" s="222" t="str">
        <f>IF('Rate Card CLT'!B11&lt;&gt;"",'Rate Card PJ'!B11,"")</f>
        <v>Agilista Pleno</v>
      </c>
      <c r="B7" s="223">
        <f>IF(A7&lt;&gt;"",TRUNC('Rate Card PJ'!U11,2),"")</f>
        <v>114.19</v>
      </c>
      <c r="C7" s="247">
        <f t="shared" si="0"/>
        <v>19183.919999999998</v>
      </c>
      <c r="D7" s="223">
        <f t="shared" si="2"/>
        <v>125.60899999999999</v>
      </c>
      <c r="E7" s="232">
        <f t="shared" si="1"/>
        <v>21102.311999999998</v>
      </c>
      <c r="F7" s="227" t="e">
        <f>IF(A7&lt;&gt;"",(C7-#REF!)/C7,"")</f>
        <v>#REF!</v>
      </c>
    </row>
    <row r="8" spans="1:11" x14ac:dyDescent="0.25">
      <c r="A8" s="222" t="str">
        <f>IF('Rate Card CLT'!B12&lt;&gt;"",'Rate Card PJ'!B12,"")</f>
        <v>Agilista Sênior</v>
      </c>
      <c r="B8" s="223">
        <f>IF(A8&lt;&gt;"",TRUNC('Rate Card PJ'!U12,2),"")</f>
        <v>166.23</v>
      </c>
      <c r="C8" s="247">
        <f t="shared" si="0"/>
        <v>27926.639999999999</v>
      </c>
      <c r="D8" s="223">
        <f t="shared" si="2"/>
        <v>182.85299999999998</v>
      </c>
      <c r="E8" s="232">
        <f t="shared" si="1"/>
        <v>30719.303999999996</v>
      </c>
      <c r="F8" s="227" t="e">
        <f>IF(A8&lt;&gt;"",(C8-#REF!)/C8,"")</f>
        <v>#REF!</v>
      </c>
    </row>
    <row r="9" spans="1:11" x14ac:dyDescent="0.25">
      <c r="A9" s="222" t="str">
        <f>IF('Rate Card CLT'!B13&lt;&gt;"",'Rate Card PJ'!B13,"")</f>
        <v>Analista de Dados/ BI Especialista</v>
      </c>
      <c r="B9" s="223">
        <f>IF(A9&lt;&gt;"",TRUNC('Rate Card PJ'!U13,2),"")</f>
        <v>159</v>
      </c>
      <c r="C9" s="247">
        <f t="shared" si="0"/>
        <v>26712</v>
      </c>
      <c r="D9" s="223">
        <f>B9+(B9*$K$3)</f>
        <v>174.9</v>
      </c>
      <c r="E9" s="232">
        <f t="shared" si="1"/>
        <v>29383.200000000001</v>
      </c>
      <c r="F9" s="227" t="e">
        <f>IF(A9&lt;&gt;"",(C9-#REF!)/C9,"")</f>
        <v>#REF!</v>
      </c>
    </row>
    <row r="10" spans="1:11" x14ac:dyDescent="0.25">
      <c r="A10" s="222" t="str">
        <f>IF('Rate Card CLT'!B14&lt;&gt;"",'Rate Card PJ'!B14,"")</f>
        <v>Analista de Dados/ BI Júnior</v>
      </c>
      <c r="B10" s="223">
        <f>IF(A10&lt;&gt;"",TRUNC('Rate Card PJ'!U14,2),"")</f>
        <v>60.71</v>
      </c>
      <c r="C10" s="247">
        <f t="shared" si="0"/>
        <v>10199.280000000001</v>
      </c>
      <c r="D10" s="223">
        <f t="shared" si="2"/>
        <v>66.781000000000006</v>
      </c>
      <c r="E10" s="232">
        <f t="shared" si="1"/>
        <v>11219.208000000001</v>
      </c>
      <c r="F10" s="227" t="e">
        <f>IF(A10&lt;&gt;"",(C10-#REF!)/C10,"")</f>
        <v>#REF!</v>
      </c>
    </row>
    <row r="11" spans="1:11" x14ac:dyDescent="0.25">
      <c r="A11" s="222" t="str">
        <f>IF('Rate Card CLT'!B15&lt;&gt;"",'Rate Card PJ'!B15,"")</f>
        <v>Analista de Dados/ BI Pleno</v>
      </c>
      <c r="B11" s="223">
        <f>IF(A11&lt;&gt;"",TRUNC('Rate Card PJ'!U15,2),"")</f>
        <v>108.41</v>
      </c>
      <c r="C11" s="247">
        <f t="shared" si="0"/>
        <v>18212.88</v>
      </c>
      <c r="D11" s="223">
        <f t="shared" si="2"/>
        <v>119.251</v>
      </c>
      <c r="E11" s="232">
        <f t="shared" si="1"/>
        <v>20034.168000000001</v>
      </c>
      <c r="F11" s="227" t="e">
        <f>IF(A11&lt;&gt;"",(C11-#REF!)/C11,"")</f>
        <v>#REF!</v>
      </c>
    </row>
    <row r="12" spans="1:11" x14ac:dyDescent="0.25">
      <c r="A12" s="222" t="str">
        <f>IF('Rate Card CLT'!B16&lt;&gt;"",'Rate Card PJ'!B16,"")</f>
        <v>Analista de Dados/ BI Sênior</v>
      </c>
      <c r="B12" s="223">
        <f>IF(A12&lt;&gt;"",TRUNC('Rate Card PJ'!U16,2),"")</f>
        <v>137.32</v>
      </c>
      <c r="C12" s="247">
        <f t="shared" si="0"/>
        <v>23069.759999999998</v>
      </c>
      <c r="D12" s="223">
        <f t="shared" si="2"/>
        <v>151.05199999999999</v>
      </c>
      <c r="E12" s="232">
        <f t="shared" si="1"/>
        <v>25376.735999999997</v>
      </c>
      <c r="F12" s="227" t="e">
        <f>IF(A12&lt;&gt;"",(C12-#REF!)/C12,"")</f>
        <v>#REF!</v>
      </c>
    </row>
    <row r="13" spans="1:11" x14ac:dyDescent="0.25">
      <c r="A13" s="222" t="str">
        <f>IF('Rate Card CLT'!B17&lt;&gt;"",'Rate Card PJ'!B17,"")</f>
        <v>Analista de Inteligência Artificial Especialista</v>
      </c>
      <c r="B13" s="223">
        <f>IF(A13&lt;&gt;"",TRUNC('Rate Card PJ'!U17,2),"")</f>
        <v>195.14</v>
      </c>
      <c r="C13" s="247">
        <f t="shared" si="0"/>
        <v>32783.519999999997</v>
      </c>
      <c r="D13" s="223">
        <f t="shared" si="2"/>
        <v>214.654</v>
      </c>
      <c r="E13" s="232">
        <f t="shared" si="1"/>
        <v>36061.872000000003</v>
      </c>
      <c r="F13" s="227" t="e">
        <f>IF(A13&lt;&gt;"",(C13-#REF!)/C13,"")</f>
        <v>#REF!</v>
      </c>
    </row>
    <row r="14" spans="1:11" x14ac:dyDescent="0.25">
      <c r="A14" s="222" t="str">
        <f>IF('Rate Card CLT'!B18&lt;&gt;"",'Rate Card PJ'!B18,"")</f>
        <v>Analista de Inteligência Artificial Júnior</v>
      </c>
      <c r="B14" s="223">
        <f>IF(A14&lt;&gt;"",TRUNC('Rate Card PJ'!U18,2),"")</f>
        <v>70.83</v>
      </c>
      <c r="C14" s="247">
        <f t="shared" si="0"/>
        <v>11899.44</v>
      </c>
      <c r="D14" s="223">
        <f t="shared" si="2"/>
        <v>77.912999999999997</v>
      </c>
      <c r="E14" s="232">
        <f t="shared" si="1"/>
        <v>13089.384</v>
      </c>
      <c r="F14" s="227" t="e">
        <f>IF(A14&lt;&gt;"",(C14-#REF!)/C14,"")</f>
        <v>#REF!</v>
      </c>
    </row>
    <row r="15" spans="1:11" x14ac:dyDescent="0.25">
      <c r="A15" s="222" t="str">
        <f>IF('Rate Card CLT'!B19&lt;&gt;"",'Rate Card PJ'!B19,"")</f>
        <v>Analista de Inteligência Artificial Pleno</v>
      </c>
      <c r="B15" s="223">
        <f>IF(A15&lt;&gt;"",TRUNC('Rate Card PJ'!U19,2),"")</f>
        <v>108.41</v>
      </c>
      <c r="C15" s="247">
        <f t="shared" si="0"/>
        <v>18212.88</v>
      </c>
      <c r="D15" s="223">
        <f t="shared" si="2"/>
        <v>119.251</v>
      </c>
      <c r="E15" s="232">
        <f t="shared" si="1"/>
        <v>20034.168000000001</v>
      </c>
      <c r="F15" s="227" t="e">
        <f>IF(A15&lt;&gt;"",(C15-#REF!)/C15,"")</f>
        <v>#REF!</v>
      </c>
      <c r="I15" s="224"/>
    </row>
    <row r="16" spans="1:11" x14ac:dyDescent="0.25">
      <c r="A16" s="222" t="str">
        <f>IF('Rate Card CLT'!B20&lt;&gt;"",'Rate Card PJ'!B20,"")</f>
        <v>Analista de Inteligência Artificial Sênior</v>
      </c>
      <c r="B16" s="223">
        <f>IF(A16&lt;&gt;"",TRUNC('Rate Card PJ'!U20,2),"")</f>
        <v>159</v>
      </c>
      <c r="C16" s="247">
        <f t="shared" si="0"/>
        <v>26712</v>
      </c>
      <c r="D16" s="223">
        <f t="shared" si="2"/>
        <v>174.9</v>
      </c>
      <c r="E16" s="232">
        <f t="shared" si="1"/>
        <v>29383.200000000001</v>
      </c>
      <c r="F16" s="227" t="e">
        <f>IF(A16&lt;&gt;"",(C16-#REF!)/C16,"")</f>
        <v>#REF!</v>
      </c>
      <c r="I16" s="224"/>
    </row>
    <row r="17" spans="1:6" x14ac:dyDescent="0.25">
      <c r="A17" s="222" t="str">
        <f>IF('Rate Card CLT'!B21&lt;&gt;"",'Rate Card PJ'!B21,"")</f>
        <v>Analista de Processos Especialista</v>
      </c>
      <c r="B17" s="223">
        <f>IF(A17&lt;&gt;"",TRUNC('Rate Card PJ'!U21,2),"")</f>
        <v>159</v>
      </c>
      <c r="C17" s="247">
        <f t="shared" si="0"/>
        <v>26712</v>
      </c>
      <c r="D17" s="223">
        <f t="shared" si="2"/>
        <v>174.9</v>
      </c>
      <c r="E17" s="232">
        <f t="shared" si="1"/>
        <v>29383.200000000001</v>
      </c>
      <c r="F17" s="227" t="e">
        <f>IF(A17&lt;&gt;"",(C17-#REF!)/C17,"")</f>
        <v>#REF!</v>
      </c>
    </row>
    <row r="18" spans="1:6" x14ac:dyDescent="0.25">
      <c r="A18" s="222" t="str">
        <f>IF('Rate Card CLT'!B22&lt;&gt;"",'Rate Card PJ'!B22,"")</f>
        <v>Analista de Processos Júnior</v>
      </c>
      <c r="B18" s="223">
        <f>IF(A18&lt;&gt;"",TRUNC('Rate Card PJ'!U22,2),"")</f>
        <v>60.71</v>
      </c>
      <c r="C18" s="247">
        <f t="shared" si="0"/>
        <v>10199.280000000001</v>
      </c>
      <c r="D18" s="223">
        <f t="shared" si="2"/>
        <v>66.781000000000006</v>
      </c>
      <c r="E18" s="232">
        <f t="shared" si="1"/>
        <v>11219.208000000001</v>
      </c>
      <c r="F18" s="227" t="e">
        <f>IF(A18&lt;&gt;"",(C18-#REF!)/C18,"")</f>
        <v>#REF!</v>
      </c>
    </row>
    <row r="19" spans="1:6" x14ac:dyDescent="0.25">
      <c r="A19" s="222" t="str">
        <f>IF('Rate Card CLT'!B23&lt;&gt;"",'Rate Card PJ'!B23,"")</f>
        <v>Analista de Processos Pleno</v>
      </c>
      <c r="B19" s="223">
        <f>IF(A19&lt;&gt;"",TRUNC('Rate Card PJ'!U23,2),"")</f>
        <v>101.18</v>
      </c>
      <c r="C19" s="247">
        <f t="shared" si="0"/>
        <v>16998.240000000002</v>
      </c>
      <c r="D19" s="223">
        <f t="shared" si="2"/>
        <v>111.298</v>
      </c>
      <c r="E19" s="232">
        <f t="shared" si="1"/>
        <v>18698.063999999998</v>
      </c>
      <c r="F19" s="227" t="e">
        <f>IF(A19&lt;&gt;"",(C19-#REF!)/C19,"")</f>
        <v>#REF!</v>
      </c>
    </row>
    <row r="20" spans="1:6" x14ac:dyDescent="0.25">
      <c r="A20" s="222" t="str">
        <f>IF('Rate Card CLT'!B24&lt;&gt;"",'Rate Card PJ'!B24,"")</f>
        <v>Analista de Processos Sênior</v>
      </c>
      <c r="B20" s="223">
        <f>IF(A20&lt;&gt;"",TRUNC('Rate Card PJ'!U24,2),"")</f>
        <v>144.55000000000001</v>
      </c>
      <c r="C20" s="247">
        <f t="shared" si="0"/>
        <v>24284.400000000001</v>
      </c>
      <c r="D20" s="223">
        <f t="shared" si="2"/>
        <v>159.00500000000002</v>
      </c>
      <c r="E20" s="232">
        <f t="shared" si="1"/>
        <v>26712.840000000004</v>
      </c>
      <c r="F20" s="227" t="e">
        <f>IF(A20&lt;&gt;"",(C20-#REF!)/C20,"")</f>
        <v>#REF!</v>
      </c>
    </row>
    <row r="21" spans="1:6" x14ac:dyDescent="0.25">
      <c r="A21" s="222" t="str">
        <f>IF('Rate Card CLT'!B25&lt;&gt;"",'Rate Card PJ'!B25,"")</f>
        <v>Analista de Qualidade Especialista</v>
      </c>
      <c r="B21" s="223">
        <f>IF(A21&lt;&gt;"",TRUNC('Rate Card PJ'!U25,2),"")</f>
        <v>144.55000000000001</v>
      </c>
      <c r="C21" s="247">
        <f t="shared" si="0"/>
        <v>24284.400000000001</v>
      </c>
      <c r="D21" s="223">
        <f t="shared" si="2"/>
        <v>159.00500000000002</v>
      </c>
      <c r="E21" s="232">
        <f t="shared" si="1"/>
        <v>26712.840000000004</v>
      </c>
      <c r="F21" s="227" t="e">
        <f>IF(A21&lt;&gt;"",(C21-#REF!)/C21,"")</f>
        <v>#REF!</v>
      </c>
    </row>
    <row r="22" spans="1:6" x14ac:dyDescent="0.25">
      <c r="A22" s="222" t="str">
        <f>IF('Rate Card CLT'!B26&lt;&gt;"",'Rate Card PJ'!B26,"")</f>
        <v>Analista de Qualidade Júnior</v>
      </c>
      <c r="B22" s="223">
        <f>IF(A22&lt;&gt;"",TRUNC('Rate Card PJ'!U26,2),"")</f>
        <v>50.59</v>
      </c>
      <c r="C22" s="247">
        <f t="shared" si="0"/>
        <v>8499.1200000000008</v>
      </c>
      <c r="D22" s="223">
        <f t="shared" si="2"/>
        <v>55.649000000000001</v>
      </c>
      <c r="E22" s="232">
        <f t="shared" si="1"/>
        <v>9349.0319999999992</v>
      </c>
      <c r="F22" s="227" t="e">
        <f>IF(A22&lt;&gt;"",(C22-#REF!)/C22,"")</f>
        <v>#REF!</v>
      </c>
    </row>
    <row r="23" spans="1:6" x14ac:dyDescent="0.25">
      <c r="A23" s="222" t="str">
        <f>IF('Rate Card CLT'!B27&lt;&gt;"",'Rate Card PJ'!B27,"")</f>
        <v>Analista de Qualidade Pleno</v>
      </c>
      <c r="B23" s="223">
        <f>IF(A23&lt;&gt;"",TRUNC('Rate Card PJ'!U27,2),"")</f>
        <v>79.5</v>
      </c>
      <c r="C23" s="247">
        <f t="shared" si="0"/>
        <v>13356</v>
      </c>
      <c r="D23" s="223">
        <f t="shared" si="2"/>
        <v>87.45</v>
      </c>
      <c r="E23" s="232">
        <f t="shared" si="1"/>
        <v>14691.6</v>
      </c>
      <c r="F23" s="227" t="e">
        <f>IF(A23&lt;&gt;"",(C23-#REF!)/C23,"")</f>
        <v>#REF!</v>
      </c>
    </row>
    <row r="24" spans="1:6" x14ac:dyDescent="0.25">
      <c r="A24" s="222" t="str">
        <f>IF('Rate Card CLT'!B28&lt;&gt;"",'Rate Card PJ'!B28,"")</f>
        <v>Analista de Qualidade Sênior</v>
      </c>
      <c r="B24" s="223">
        <f>IF(A24&lt;&gt;"",TRUNC('Rate Card PJ'!U28,2),"")</f>
        <v>97.86</v>
      </c>
      <c r="C24" s="247">
        <f t="shared" si="0"/>
        <v>16440.48</v>
      </c>
      <c r="D24" s="223">
        <f t="shared" si="2"/>
        <v>107.646</v>
      </c>
      <c r="E24" s="232">
        <f t="shared" si="1"/>
        <v>18084.527999999998</v>
      </c>
      <c r="F24" s="227" t="e">
        <f>IF(A24&lt;&gt;"",(C24-#REF!)/C24,"")</f>
        <v>#REF!</v>
      </c>
    </row>
    <row r="25" spans="1:6" x14ac:dyDescent="0.25">
      <c r="A25" s="222" t="str">
        <f>IF('Rate Card CLT'!B29&lt;&gt;"",'Rate Card PJ'!B29,"")</f>
        <v>Analista de Negócios Especialista</v>
      </c>
      <c r="B25" s="223">
        <f>IF(A25&lt;&gt;"",TRUNC('Rate Card PJ'!U29,2),"")</f>
        <v>151.77000000000001</v>
      </c>
      <c r="C25" s="247">
        <f t="shared" si="0"/>
        <v>25497.360000000001</v>
      </c>
      <c r="D25" s="223">
        <f t="shared" si="2"/>
        <v>166.947</v>
      </c>
      <c r="E25" s="232">
        <f t="shared" si="1"/>
        <v>28047.096000000001</v>
      </c>
      <c r="F25" s="227" t="e">
        <f>IF(A25&lt;&gt;"",(C25-#REF!)/C25,"")</f>
        <v>#REF!</v>
      </c>
    </row>
    <row r="26" spans="1:6" x14ac:dyDescent="0.25">
      <c r="A26" s="222" t="str">
        <f>IF('Rate Card CLT'!B30&lt;&gt;"",'Rate Card PJ'!B30,"")</f>
        <v>Analista de Negócios Júnior</v>
      </c>
      <c r="B26" s="223">
        <f>IF(A26&lt;&gt;"",TRUNC('Rate Card PJ'!U30,2),"")</f>
        <v>69.38</v>
      </c>
      <c r="C26" s="247">
        <f t="shared" si="0"/>
        <v>11655.84</v>
      </c>
      <c r="D26" s="223">
        <f t="shared" si="2"/>
        <v>76.317999999999998</v>
      </c>
      <c r="E26" s="232">
        <f t="shared" si="1"/>
        <v>12821.423999999999</v>
      </c>
      <c r="F26" s="227" t="e">
        <f>IF(A26&lt;&gt;"",(C26-#REF!)/C26,"")</f>
        <v>#REF!</v>
      </c>
    </row>
    <row r="27" spans="1:6" x14ac:dyDescent="0.25">
      <c r="A27" s="222" t="str">
        <f>IF('Rate Card CLT'!B31&lt;&gt;"",'Rate Card PJ'!B31,"")</f>
        <v>Analista de Negócios Pleno</v>
      </c>
      <c r="B27" s="223">
        <f>IF(A27&lt;&gt;"",TRUNC('Rate Card PJ'!U31,2),"")</f>
        <v>108.41</v>
      </c>
      <c r="C27" s="247">
        <f t="shared" si="0"/>
        <v>18212.88</v>
      </c>
      <c r="D27" s="223">
        <f t="shared" si="2"/>
        <v>119.251</v>
      </c>
      <c r="E27" s="232">
        <f t="shared" si="1"/>
        <v>20034.168000000001</v>
      </c>
      <c r="F27" s="227" t="e">
        <f>IF(A27&lt;&gt;"",(C27-#REF!)/C27,"")</f>
        <v>#REF!</v>
      </c>
    </row>
    <row r="28" spans="1:6" x14ac:dyDescent="0.25">
      <c r="A28" s="222" t="str">
        <f>IF('Rate Card CLT'!B32&lt;&gt;"",'Rate Card PJ'!B32,"")</f>
        <v>Analista de Negócios Sênior</v>
      </c>
      <c r="B28" s="223">
        <f>IF(A28&lt;&gt;"",TRUNC('Rate Card PJ'!U32,2),"")</f>
        <v>151.77000000000001</v>
      </c>
      <c r="C28" s="247">
        <f t="shared" si="0"/>
        <v>25497.360000000001</v>
      </c>
      <c r="D28" s="223">
        <f t="shared" si="2"/>
        <v>166.947</v>
      </c>
      <c r="E28" s="232">
        <f t="shared" si="1"/>
        <v>28047.096000000001</v>
      </c>
      <c r="F28" s="227" t="e">
        <f>IF(A28&lt;&gt;"",(C28-#REF!)/C28,"")</f>
        <v>#REF!</v>
      </c>
    </row>
    <row r="29" spans="1:6" x14ac:dyDescent="0.25">
      <c r="A29" s="222" t="str">
        <f>IF('Rate Card CLT'!B33&lt;&gt;"",'Rate Card PJ'!B33,"")</f>
        <v>Analista de redes/infraestrutura Especialista</v>
      </c>
      <c r="B29" s="223">
        <f>IF(A29&lt;&gt;"",TRUNC('Rate Card PJ'!U33,2),"")</f>
        <v>159</v>
      </c>
      <c r="C29" s="247">
        <f t="shared" si="0"/>
        <v>26712</v>
      </c>
      <c r="D29" s="223">
        <f t="shared" si="2"/>
        <v>174.9</v>
      </c>
      <c r="E29" s="232">
        <f t="shared" si="1"/>
        <v>29383.200000000001</v>
      </c>
      <c r="F29" s="227" t="e">
        <f>IF(A29&lt;&gt;"",(C29-#REF!)/C29,"")</f>
        <v>#REF!</v>
      </c>
    </row>
    <row r="30" spans="1:6" x14ac:dyDescent="0.25">
      <c r="A30" s="222" t="str">
        <f>IF('Rate Card CLT'!B34&lt;&gt;"",'Rate Card PJ'!B34,"")</f>
        <v>Analista de redes/infraestrutura Júnior</v>
      </c>
      <c r="B30" s="223">
        <f>IF(A30&lt;&gt;"",TRUNC('Rate Card PJ'!U34,2),"")</f>
        <v>57.82</v>
      </c>
      <c r="C30" s="247">
        <f t="shared" si="0"/>
        <v>9713.76</v>
      </c>
      <c r="D30" s="223">
        <f t="shared" si="2"/>
        <v>63.602000000000004</v>
      </c>
      <c r="E30" s="232">
        <f t="shared" si="1"/>
        <v>10685.136</v>
      </c>
      <c r="F30" s="227" t="e">
        <f>IF(A30&lt;&gt;"",(C30-#REF!)/C30,"")</f>
        <v>#REF!</v>
      </c>
    </row>
    <row r="31" spans="1:6" x14ac:dyDescent="0.25">
      <c r="A31" s="222" t="str">
        <f>IF('Rate Card CLT'!B35&lt;&gt;"",'Rate Card PJ'!B35,"")</f>
        <v>Analista de redes/infraestrutura Pleno</v>
      </c>
      <c r="B31" s="223">
        <f>IF(A31&lt;&gt;"",TRUNC('Rate Card PJ'!U35,2),"")</f>
        <v>86.73</v>
      </c>
      <c r="C31" s="247">
        <f t="shared" si="0"/>
        <v>14570.640000000001</v>
      </c>
      <c r="D31" s="223">
        <f t="shared" si="2"/>
        <v>95.403000000000006</v>
      </c>
      <c r="E31" s="232">
        <f t="shared" si="1"/>
        <v>16027.704000000002</v>
      </c>
      <c r="F31" s="227" t="e">
        <f>IF(A31&lt;&gt;"",(C31-#REF!)/C31,"")</f>
        <v>#REF!</v>
      </c>
    </row>
    <row r="32" spans="1:6" x14ac:dyDescent="0.25">
      <c r="A32" s="222" t="str">
        <f>IF('Rate Card CLT'!B36&lt;&gt;"",'Rate Card PJ'!B36,"")</f>
        <v>Analista de redes/infraestrutura Sênior</v>
      </c>
      <c r="B32" s="223">
        <f>IF(A32&lt;&gt;"",TRUNC('Rate Card PJ'!U36,2),"")</f>
        <v>115.64</v>
      </c>
      <c r="C32" s="247">
        <f t="shared" si="0"/>
        <v>19427.52</v>
      </c>
      <c r="D32" s="223">
        <f t="shared" si="2"/>
        <v>127.20400000000001</v>
      </c>
      <c r="E32" s="232">
        <f t="shared" si="1"/>
        <v>21370.272000000001</v>
      </c>
      <c r="F32" s="227" t="e">
        <f>IF(A32&lt;&gt;"",(C32-#REF!)/C32,"")</f>
        <v>#REF!</v>
      </c>
    </row>
    <row r="33" spans="1:8" x14ac:dyDescent="0.25">
      <c r="A33" s="222" t="str">
        <f>IF('Rate Card CLT'!B37&lt;&gt;"",'Rate Card PJ'!B37,"")</f>
        <v>Analista de Suporte (N1) Júnior</v>
      </c>
      <c r="B33" s="223">
        <f>IF(A33&lt;&gt;"",TRUNC('Rate Card PJ'!U37,2),"")</f>
        <v>33.24</v>
      </c>
      <c r="C33" s="247">
        <f t="shared" si="0"/>
        <v>5584.3200000000006</v>
      </c>
      <c r="D33" s="223">
        <f t="shared" si="2"/>
        <v>36.564</v>
      </c>
      <c r="E33" s="232">
        <f t="shared" si="1"/>
        <v>6142.7520000000004</v>
      </c>
      <c r="F33" s="227" t="e">
        <f>IF(A33&lt;&gt;"",(C33-#REF!)/C33,"")</f>
        <v>#REF!</v>
      </c>
    </row>
    <row r="34" spans="1:8" x14ac:dyDescent="0.25">
      <c r="A34" s="222" t="str">
        <f>IF('Rate Card CLT'!B38&lt;&gt;"",'Rate Card PJ'!B38,"")</f>
        <v>Analista de Suporte (N1) Pleno</v>
      </c>
      <c r="B34" s="223">
        <f>IF(A34&lt;&gt;"",TRUNC('Rate Card PJ'!U38,2),"")</f>
        <v>49.14</v>
      </c>
      <c r="C34" s="247">
        <f t="shared" si="0"/>
        <v>8255.52</v>
      </c>
      <c r="D34" s="223">
        <f t="shared" si="2"/>
        <v>54.054000000000002</v>
      </c>
      <c r="E34" s="232">
        <f t="shared" si="1"/>
        <v>9081.0720000000001</v>
      </c>
      <c r="F34" s="227" t="e">
        <f>IF(A34&lt;&gt;"",(C34-#REF!)/C34,"")</f>
        <v>#REF!</v>
      </c>
    </row>
    <row r="35" spans="1:8" x14ac:dyDescent="0.25">
      <c r="A35" s="222" t="str">
        <f>IF('Rate Card CLT'!B39&lt;&gt;"",'Rate Card PJ'!B39,"")</f>
        <v>Analista de Suporte (N1) Sênior</v>
      </c>
      <c r="B35" s="223">
        <f>IF(A35&lt;&gt;"",TRUNC('Rate Card PJ'!U39,2),"")</f>
        <v>75.88</v>
      </c>
      <c r="C35" s="247">
        <f t="shared" si="0"/>
        <v>12747.84</v>
      </c>
      <c r="D35" s="223">
        <f t="shared" si="2"/>
        <v>83.467999999999989</v>
      </c>
      <c r="E35" s="232">
        <f t="shared" si="1"/>
        <v>14022.623999999998</v>
      </c>
      <c r="F35" s="227" t="e">
        <f>IF(A35&lt;&gt;"",(C35-#REF!)/C35,"")</f>
        <v>#REF!</v>
      </c>
    </row>
    <row r="36" spans="1:8" x14ac:dyDescent="0.25">
      <c r="A36" s="222" t="str">
        <f>IF('Rate Card CLT'!B40&lt;&gt;"",'Rate Card PJ'!B40,"")</f>
        <v>Analista de Suporte (N2) Júnior</v>
      </c>
      <c r="B36" s="223">
        <f>IF(A36&lt;&gt;"",TRUNC('Rate Card PJ'!U40,2),"")</f>
        <v>43.36</v>
      </c>
      <c r="C36" s="247">
        <f t="shared" si="0"/>
        <v>7284.48</v>
      </c>
      <c r="D36" s="223">
        <f t="shared" si="2"/>
        <v>47.695999999999998</v>
      </c>
      <c r="E36" s="232">
        <f t="shared" si="1"/>
        <v>8012.9279999999999</v>
      </c>
      <c r="F36" s="227" t="e">
        <f>IF(A36&lt;&gt;"",(C36-#REF!)/C36,"")</f>
        <v>#REF!</v>
      </c>
    </row>
    <row r="37" spans="1:8" x14ac:dyDescent="0.25">
      <c r="A37" s="222" t="str">
        <f>IF('Rate Card CLT'!B41&lt;&gt;"",'Rate Card PJ'!B41,"")</f>
        <v>Analista de Suporte (N2) Pleno</v>
      </c>
      <c r="B37" s="223">
        <f>IF(A37&lt;&gt;"",TRUNC('Rate Card PJ'!U41,2),"")</f>
        <v>57.82</v>
      </c>
      <c r="C37" s="247">
        <f t="shared" ref="C37:C68" si="3">IF(A37&lt;&gt;"",$C$1*B37,"")</f>
        <v>9713.76</v>
      </c>
      <c r="D37" s="223">
        <f t="shared" si="2"/>
        <v>63.602000000000004</v>
      </c>
      <c r="E37" s="232">
        <f t="shared" ref="E37:E68" si="4">IF(A37&lt;&gt;"",$C$1*D37,"")</f>
        <v>10685.136</v>
      </c>
      <c r="F37" s="227" t="e">
        <f>IF(A37&lt;&gt;"",(C37-#REF!)/C37,"")</f>
        <v>#REF!</v>
      </c>
    </row>
    <row r="38" spans="1:8" x14ac:dyDescent="0.25">
      <c r="A38" s="222" t="str">
        <f>IF('Rate Card CLT'!B42&lt;&gt;"",'Rate Card PJ'!B42,"")</f>
        <v>Analista de Suporte (N2) Sênior</v>
      </c>
      <c r="B38" s="223">
        <f>IF(A38&lt;&gt;"",TRUNC('Rate Card PJ'!U42,2),"")</f>
        <v>79.5</v>
      </c>
      <c r="C38" s="247">
        <f t="shared" si="3"/>
        <v>13356</v>
      </c>
      <c r="D38" s="223">
        <f t="shared" si="2"/>
        <v>87.45</v>
      </c>
      <c r="E38" s="232">
        <f t="shared" si="4"/>
        <v>14691.6</v>
      </c>
      <c r="F38" s="227" t="e">
        <f>IF(A38&lt;&gt;"",(C38-#REF!)/C38,"")</f>
        <v>#REF!</v>
      </c>
    </row>
    <row r="39" spans="1:8" x14ac:dyDescent="0.25">
      <c r="A39" s="222" t="str">
        <f>IF('Rate Card CLT'!B43&lt;&gt;"",'Rate Card PJ'!B43,"")</f>
        <v>Analista UX Especialista</v>
      </c>
      <c r="B39" s="223">
        <f>IF(A39&lt;&gt;"",TRUNC('Rate Card PJ'!U43,2),"")</f>
        <v>137.32</v>
      </c>
      <c r="C39" s="247">
        <f t="shared" si="3"/>
        <v>23069.759999999998</v>
      </c>
      <c r="D39" s="223">
        <f t="shared" si="2"/>
        <v>151.05199999999999</v>
      </c>
      <c r="E39" s="232">
        <f t="shared" si="4"/>
        <v>25376.735999999997</v>
      </c>
      <c r="F39" s="227" t="e">
        <f>IF(A39&lt;&gt;"",(C39-#REF!)/C39,"")</f>
        <v>#REF!</v>
      </c>
    </row>
    <row r="40" spans="1:8" x14ac:dyDescent="0.25">
      <c r="A40" s="222" t="str">
        <f>IF('Rate Card CLT'!B44&lt;&gt;"",'Rate Card PJ'!B44,"")</f>
        <v>Analista UX Júnior</v>
      </c>
      <c r="B40" s="223">
        <f>IF(A40&lt;&gt;"",TRUNC('Rate Card PJ'!U44,2),"")</f>
        <v>57.82</v>
      </c>
      <c r="C40" s="247">
        <f t="shared" si="3"/>
        <v>9713.76</v>
      </c>
      <c r="D40" s="223">
        <f t="shared" si="2"/>
        <v>63.602000000000004</v>
      </c>
      <c r="E40" s="232">
        <f t="shared" si="4"/>
        <v>10685.136</v>
      </c>
      <c r="F40" s="227" t="e">
        <f>IF(A40&lt;&gt;"",(C40-#REF!)/C40,"")</f>
        <v>#REF!</v>
      </c>
    </row>
    <row r="41" spans="1:8" x14ac:dyDescent="0.25">
      <c r="A41" s="222" t="str">
        <f>IF('Rate Card CLT'!B45&lt;&gt;"",'Rate Card PJ'!B45,"")</f>
        <v>Analista UX Pleno</v>
      </c>
      <c r="B41" s="223">
        <f>IF(A41&lt;&gt;"",TRUNC('Rate Card PJ'!U45,2),"")</f>
        <v>79.5</v>
      </c>
      <c r="C41" s="247">
        <f t="shared" si="3"/>
        <v>13356</v>
      </c>
      <c r="D41" s="223">
        <f t="shared" si="2"/>
        <v>87.45</v>
      </c>
      <c r="E41" s="232">
        <f t="shared" si="4"/>
        <v>14691.6</v>
      </c>
      <c r="F41" s="227" t="e">
        <f>IF(A41&lt;&gt;"",(C41-#REF!)/C41,"")</f>
        <v>#REF!</v>
      </c>
    </row>
    <row r="42" spans="1:8" x14ac:dyDescent="0.25">
      <c r="A42" s="222" t="str">
        <f>IF('Rate Card CLT'!B46&lt;&gt;"",'Rate Card PJ'!B46,"")</f>
        <v>Analista UX Sênior</v>
      </c>
      <c r="B42" s="223">
        <f>IF(A42&lt;&gt;"",TRUNC('Rate Card PJ'!U46,2),"")</f>
        <v>104.07</v>
      </c>
      <c r="C42" s="247">
        <f t="shared" si="3"/>
        <v>17483.759999999998</v>
      </c>
      <c r="D42" s="223">
        <f t="shared" si="2"/>
        <v>114.47699999999999</v>
      </c>
      <c r="E42" s="232">
        <f t="shared" si="4"/>
        <v>19232.135999999999</v>
      </c>
      <c r="F42" s="227" t="e">
        <f>IF(A42&lt;&gt;"",(C42-#REF!)/C42,"")</f>
        <v>#REF!</v>
      </c>
    </row>
    <row r="43" spans="1:8" x14ac:dyDescent="0.25">
      <c r="A43" s="222" t="str">
        <f>IF('Rate Card CLT'!B47&lt;&gt;"",'Rate Card PJ'!B47,"")</f>
        <v>Arquiteto de infraestrutura Especialista</v>
      </c>
      <c r="B43" s="223">
        <f>IF(A43&lt;&gt;"",TRUNC('Rate Card PJ'!U47,2),"")</f>
        <v>209.59</v>
      </c>
      <c r="C43" s="247">
        <f t="shared" si="3"/>
        <v>35211.120000000003</v>
      </c>
      <c r="D43" s="223">
        <f t="shared" si="2"/>
        <v>230.54900000000001</v>
      </c>
      <c r="E43" s="232">
        <f t="shared" si="4"/>
        <v>38732.232000000004</v>
      </c>
      <c r="F43" s="227" t="e">
        <f>IF(A43&lt;&gt;"",(C43-#REF!)/C43,"")</f>
        <v>#REF!</v>
      </c>
      <c r="H43" s="140"/>
    </row>
    <row r="44" spans="1:8" x14ac:dyDescent="0.25">
      <c r="A44" s="222" t="str">
        <f>IF('Rate Card CLT'!B48&lt;&gt;"",'Rate Card PJ'!B48,"")</f>
        <v>Arquiteto de infraestrutura Pleno</v>
      </c>
      <c r="B44" s="223">
        <f>IF(A44&lt;&gt;"",TRUNC('Rate Card PJ'!U48,2),"")</f>
        <v>130.09</v>
      </c>
      <c r="C44" s="247">
        <f t="shared" si="3"/>
        <v>21855.119999999999</v>
      </c>
      <c r="D44" s="223">
        <f t="shared" si="2"/>
        <v>143.09899999999999</v>
      </c>
      <c r="E44" s="232">
        <f t="shared" si="4"/>
        <v>24040.631999999998</v>
      </c>
      <c r="F44" s="227" t="e">
        <f>IF(A44&lt;&gt;"",(C44-#REF!)/C44,"")</f>
        <v>#REF!</v>
      </c>
      <c r="H44" s="140"/>
    </row>
    <row r="45" spans="1:8" x14ac:dyDescent="0.25">
      <c r="A45" s="222" t="str">
        <f>IF('Rate Card CLT'!B49&lt;&gt;"",'Rate Card PJ'!B49,"")</f>
        <v>Arquiteto de infraestrutura Sênior</v>
      </c>
      <c r="B45" s="223">
        <f>IF(A45&lt;&gt;"",TRUNC('Rate Card PJ'!U49,2),"")</f>
        <v>182.13</v>
      </c>
      <c r="C45" s="247">
        <f t="shared" si="3"/>
        <v>30597.84</v>
      </c>
      <c r="D45" s="223">
        <f t="shared" si="2"/>
        <v>200.34299999999999</v>
      </c>
      <c r="E45" s="232">
        <f t="shared" si="4"/>
        <v>33657.623999999996</v>
      </c>
      <c r="F45" s="227" t="e">
        <f>IF(A45&lt;&gt;"",(C45-#REF!)/C45,"")</f>
        <v>#REF!</v>
      </c>
      <c r="G45" s="224"/>
    </row>
    <row r="46" spans="1:8" x14ac:dyDescent="0.25">
      <c r="A46" s="222" t="str">
        <f>IF('Rate Card CLT'!B50&lt;&gt;"",'Rate Card PJ'!B50,"")</f>
        <v>Arquiteto de Soluções Especialista</v>
      </c>
      <c r="B46" s="223">
        <f>IF(A46&lt;&gt;"",TRUNC('Rate Card PJ'!U50,2),"")</f>
        <v>209.59</v>
      </c>
      <c r="C46" s="247">
        <f t="shared" si="3"/>
        <v>35211.120000000003</v>
      </c>
      <c r="D46" s="223">
        <f t="shared" si="2"/>
        <v>230.54900000000001</v>
      </c>
      <c r="E46" s="232">
        <f t="shared" si="4"/>
        <v>38732.232000000004</v>
      </c>
      <c r="F46" s="227" t="e">
        <f>IF(A46&lt;&gt;"",(C46-#REF!)/C46,"")</f>
        <v>#REF!</v>
      </c>
      <c r="G46" s="224"/>
    </row>
    <row r="47" spans="1:8" x14ac:dyDescent="0.25">
      <c r="A47" s="222" t="str">
        <f>IF('Rate Card CLT'!B51&lt;&gt;"",'Rate Card PJ'!B51,"")</f>
        <v>Arquiteto de Soluções Pleno</v>
      </c>
      <c r="B47" s="223">
        <f>IF(A47&lt;&gt;"",TRUNC('Rate Card PJ'!U51,2),"")</f>
        <v>130.09</v>
      </c>
      <c r="C47" s="247">
        <f t="shared" si="3"/>
        <v>21855.119999999999</v>
      </c>
      <c r="D47" s="223">
        <f t="shared" si="2"/>
        <v>143.09899999999999</v>
      </c>
      <c r="E47" s="232">
        <f t="shared" si="4"/>
        <v>24040.631999999998</v>
      </c>
      <c r="F47" s="227" t="e">
        <f>IF(A47&lt;&gt;"",(C47-#REF!)/C47,"")</f>
        <v>#REF!</v>
      </c>
      <c r="G47" s="224"/>
    </row>
    <row r="48" spans="1:8" x14ac:dyDescent="0.25">
      <c r="A48" s="222" t="str">
        <f>IF('Rate Card CLT'!B52&lt;&gt;"",'Rate Card PJ'!B52,"")</f>
        <v>Arquiteto de Soluções Sênior</v>
      </c>
      <c r="B48" s="223">
        <f>IF(A48&lt;&gt;"",TRUNC('Rate Card PJ'!U52,2),"")</f>
        <v>182.13</v>
      </c>
      <c r="C48" s="247">
        <f t="shared" si="3"/>
        <v>30597.84</v>
      </c>
      <c r="D48" s="223">
        <f t="shared" si="2"/>
        <v>200.34299999999999</v>
      </c>
      <c r="E48" s="232">
        <f t="shared" si="4"/>
        <v>33657.623999999996</v>
      </c>
      <c r="F48" s="227" t="e">
        <f>IF(A48&lt;&gt;"",(C48-#REF!)/C48,"")</f>
        <v>#REF!</v>
      </c>
      <c r="G48" s="224"/>
    </row>
    <row r="49" spans="1:7" x14ac:dyDescent="0.25">
      <c r="A49" s="222" t="str">
        <f>IF('Rate Card CLT'!B53&lt;&gt;"",'Rate Card PJ'!B53,"")</f>
        <v>Cientista de Dados Especialista</v>
      </c>
      <c r="B49" s="223">
        <f>IF(A49&lt;&gt;"",TRUNC('Rate Card PJ'!U53,2),"")</f>
        <v>205.26</v>
      </c>
      <c r="C49" s="247">
        <f t="shared" si="3"/>
        <v>34483.68</v>
      </c>
      <c r="D49" s="223">
        <f t="shared" si="2"/>
        <v>225.786</v>
      </c>
      <c r="E49" s="232">
        <f t="shared" si="4"/>
        <v>37932.048000000003</v>
      </c>
      <c r="F49" s="227" t="e">
        <f>IF(A49&lt;&gt;"",(C49-#REF!)/C49,"")</f>
        <v>#REF!</v>
      </c>
      <c r="G49" s="224"/>
    </row>
    <row r="50" spans="1:7" x14ac:dyDescent="0.25">
      <c r="A50" s="222" t="str">
        <f>IF('Rate Card CLT'!B54&lt;&gt;"",'Rate Card PJ'!B54,"")</f>
        <v>Cientista de Dados Júnior</v>
      </c>
      <c r="B50" s="223">
        <f>IF(A50&lt;&gt;"",TRUNC('Rate Card PJ'!U54,2),"")</f>
        <v>75.16</v>
      </c>
      <c r="C50" s="247">
        <f t="shared" si="3"/>
        <v>12626.88</v>
      </c>
      <c r="D50" s="223">
        <f t="shared" si="2"/>
        <v>82.676000000000002</v>
      </c>
      <c r="E50" s="232">
        <f t="shared" si="4"/>
        <v>13889.568000000001</v>
      </c>
      <c r="F50" s="227" t="e">
        <f>IF(A50&lt;&gt;"",(C50-#REF!)/C50,"")</f>
        <v>#REF!</v>
      </c>
      <c r="G50" s="224"/>
    </row>
    <row r="51" spans="1:7" x14ac:dyDescent="0.25">
      <c r="A51" s="222" t="str">
        <f>IF('Rate Card CLT'!B55&lt;&gt;"",'Rate Card PJ'!B55,"")</f>
        <v>Cientista de Dados Pleno</v>
      </c>
      <c r="B51" s="223">
        <f>IF(A51&lt;&gt;"",TRUNC('Rate Card PJ'!U55,2),"")</f>
        <v>118.53</v>
      </c>
      <c r="C51" s="247">
        <f t="shared" si="3"/>
        <v>19913.04</v>
      </c>
      <c r="D51" s="223">
        <f t="shared" si="2"/>
        <v>130.38300000000001</v>
      </c>
      <c r="E51" s="232">
        <f t="shared" si="4"/>
        <v>21904.344000000001</v>
      </c>
      <c r="F51" s="227" t="e">
        <f>IF(A51&lt;&gt;"",(C51-#REF!)/C51,"")</f>
        <v>#REF!</v>
      </c>
      <c r="G51" s="224"/>
    </row>
    <row r="52" spans="1:7" x14ac:dyDescent="0.25">
      <c r="A52" s="222" t="str">
        <f>IF('Rate Card CLT'!B56&lt;&gt;"",'Rate Card PJ'!B56,"")</f>
        <v>Cientista de Dados Sênior</v>
      </c>
      <c r="B52" s="223">
        <f>IF(A52&lt;&gt;"",TRUNC('Rate Card PJ'!U56,2),"")</f>
        <v>180.68</v>
      </c>
      <c r="C52" s="247">
        <f t="shared" si="3"/>
        <v>30354.240000000002</v>
      </c>
      <c r="D52" s="223">
        <f t="shared" si="2"/>
        <v>198.74800000000002</v>
      </c>
      <c r="E52" s="232">
        <f t="shared" si="4"/>
        <v>33389.664000000004</v>
      </c>
      <c r="F52" s="227" t="e">
        <f>IF(A52&lt;&gt;"",(C52-#REF!)/C52,"")</f>
        <v>#REF!</v>
      </c>
      <c r="G52" s="136"/>
    </row>
    <row r="53" spans="1:7" x14ac:dyDescent="0.25">
      <c r="A53" s="222" t="str">
        <f>IF('Rate Card CLT'!B57&lt;&gt;"",'Rate Card PJ'!B57,"")</f>
        <v>DBA - Administrador de Banco de Dados Especialista</v>
      </c>
      <c r="B53" s="223">
        <f>IF(A53&lt;&gt;"",TRUNC('Rate Card PJ'!U57,2),"")</f>
        <v>202.37</v>
      </c>
      <c r="C53" s="247">
        <f t="shared" si="3"/>
        <v>33998.160000000003</v>
      </c>
      <c r="D53" s="223">
        <f t="shared" si="2"/>
        <v>222.607</v>
      </c>
      <c r="E53" s="232">
        <f t="shared" si="4"/>
        <v>37397.976000000002</v>
      </c>
      <c r="F53" s="227" t="e">
        <f>IF(A53&lt;&gt;"",(C53-#REF!)/C53,"")</f>
        <v>#REF!</v>
      </c>
      <c r="G53" s="224"/>
    </row>
    <row r="54" spans="1:7" x14ac:dyDescent="0.25">
      <c r="A54" s="222" t="str">
        <f>IF('Rate Card CLT'!B58&lt;&gt;"",'Rate Card PJ'!B58,"")</f>
        <v>DBA - Administrador de Banco de Dados Júnior</v>
      </c>
      <c r="B54" s="223">
        <f>IF(A54&lt;&gt;"",TRUNC('Rate Card PJ'!U58,2),"")</f>
        <v>57.82</v>
      </c>
      <c r="C54" s="247">
        <f t="shared" si="3"/>
        <v>9713.76</v>
      </c>
      <c r="D54" s="223">
        <f t="shared" si="2"/>
        <v>63.602000000000004</v>
      </c>
      <c r="E54" s="232">
        <f t="shared" si="4"/>
        <v>10685.136</v>
      </c>
      <c r="F54" s="227" t="e">
        <f>IF(A54&lt;&gt;"",(C54-#REF!)/C54,"")</f>
        <v>#REF!</v>
      </c>
      <c r="G54" s="224"/>
    </row>
    <row r="55" spans="1:7" x14ac:dyDescent="0.25">
      <c r="A55" s="222" t="str">
        <f>IF('Rate Card CLT'!B59&lt;&gt;"",'Rate Card PJ'!B59,"")</f>
        <v>DBA - Administrador de Banco de Dados Pleno</v>
      </c>
      <c r="B55" s="223">
        <f>IF(A55&lt;&gt;"",TRUNC('Rate Card PJ'!U59,2),"")</f>
        <v>93.95</v>
      </c>
      <c r="C55" s="247">
        <f t="shared" si="3"/>
        <v>15783.6</v>
      </c>
      <c r="D55" s="223">
        <f t="shared" si="2"/>
        <v>103.345</v>
      </c>
      <c r="E55" s="232">
        <f t="shared" si="4"/>
        <v>17361.96</v>
      </c>
      <c r="F55" s="227" t="e">
        <f>IF(A55&lt;&gt;"",(C55-#REF!)/C55,"")</f>
        <v>#REF!</v>
      </c>
      <c r="G55" s="224"/>
    </row>
    <row r="56" spans="1:7" x14ac:dyDescent="0.25">
      <c r="A56" s="222" t="str">
        <f>IF('Rate Card CLT'!B60&lt;&gt;"",'Rate Card PJ'!B60,"")</f>
        <v>DBA - Administrador de Banco de Dados Sênior</v>
      </c>
      <c r="B56" s="223">
        <f>IF(A56&lt;&gt;"",TRUNC('Rate Card PJ'!U60,2),"")</f>
        <v>130.09</v>
      </c>
      <c r="C56" s="247">
        <f t="shared" si="3"/>
        <v>21855.119999999999</v>
      </c>
      <c r="D56" s="223">
        <f t="shared" si="2"/>
        <v>143.09899999999999</v>
      </c>
      <c r="E56" s="232">
        <f t="shared" si="4"/>
        <v>24040.631999999998</v>
      </c>
      <c r="F56" s="227" t="e">
        <f>IF(A56&lt;&gt;"",(C56-#REF!)/C56,"")</f>
        <v>#REF!</v>
      </c>
      <c r="G56" s="224"/>
    </row>
    <row r="57" spans="1:7" x14ac:dyDescent="0.25">
      <c r="A57" s="222" t="str">
        <f>IF('Rate Card CLT'!B61&lt;&gt;"",'Rate Card PJ'!B61,"")</f>
        <v>Desenvolvedor BackEnd Especialista</v>
      </c>
      <c r="B57" s="223">
        <f>IF(A57&lt;&gt;"",TRUNC('Rate Card PJ'!U61,2),"")</f>
        <v>187.91</v>
      </c>
      <c r="C57" s="247">
        <f t="shared" si="3"/>
        <v>31568.880000000001</v>
      </c>
      <c r="D57" s="223">
        <f t="shared" si="2"/>
        <v>206.70099999999999</v>
      </c>
      <c r="E57" s="232">
        <f t="shared" si="4"/>
        <v>34725.767999999996</v>
      </c>
      <c r="F57" s="227" t="e">
        <f>IF(A57&lt;&gt;"",(C57-#REF!)/C57,"")</f>
        <v>#REF!</v>
      </c>
      <c r="G57" s="224"/>
    </row>
    <row r="58" spans="1:7" x14ac:dyDescent="0.25">
      <c r="A58" s="222" t="str">
        <f>IF('Rate Card CLT'!B62&lt;&gt;"",'Rate Card PJ'!B62,"")</f>
        <v>Desenvolvedor BackEnd Júnior</v>
      </c>
      <c r="B58" s="223">
        <f>IF(A58&lt;&gt;"",TRUNC('Rate Card PJ'!U62,2),"")</f>
        <v>70.83</v>
      </c>
      <c r="C58" s="247">
        <f t="shared" si="3"/>
        <v>11899.44</v>
      </c>
      <c r="D58" s="223">
        <f t="shared" si="2"/>
        <v>77.912999999999997</v>
      </c>
      <c r="E58" s="232">
        <f t="shared" si="4"/>
        <v>13089.384</v>
      </c>
      <c r="F58" s="227" t="e">
        <f>IF(A58&lt;&gt;"",(C58-#REF!)/C58,"")</f>
        <v>#REF!</v>
      </c>
    </row>
    <row r="59" spans="1:7" x14ac:dyDescent="0.25">
      <c r="A59" s="222" t="str">
        <f>IF('Rate Card CLT'!B63&lt;&gt;"",'Rate Card PJ'!B63,"")</f>
        <v>Desenvolvedor BackEnd Pleno</v>
      </c>
      <c r="B59" s="223">
        <f>IF(A59&lt;&gt;"",TRUNC('Rate Card PJ'!U63,2),"")</f>
        <v>130.09</v>
      </c>
      <c r="C59" s="247">
        <f t="shared" si="3"/>
        <v>21855.119999999999</v>
      </c>
      <c r="D59" s="223">
        <f t="shared" si="2"/>
        <v>143.09899999999999</v>
      </c>
      <c r="E59" s="232">
        <f t="shared" si="4"/>
        <v>24040.631999999998</v>
      </c>
      <c r="F59" s="227" t="e">
        <f>IF(A59&lt;&gt;"",(C59-#REF!)/C59,"")</f>
        <v>#REF!</v>
      </c>
    </row>
    <row r="60" spans="1:7" x14ac:dyDescent="0.25">
      <c r="A60" s="222" t="str">
        <f>IF('Rate Card CLT'!B64&lt;&gt;"",'Rate Card PJ'!B64,"")</f>
        <v>Desenvolvedor BackEnd Sênior</v>
      </c>
      <c r="B60" s="223">
        <f>IF(A60&lt;&gt;"",TRUNC('Rate Card PJ'!U64,2),"")</f>
        <v>159</v>
      </c>
      <c r="C60" s="247">
        <f t="shared" si="3"/>
        <v>26712</v>
      </c>
      <c r="D60" s="223">
        <f t="shared" si="2"/>
        <v>174.9</v>
      </c>
      <c r="E60" s="232">
        <f t="shared" si="4"/>
        <v>29383.200000000001</v>
      </c>
      <c r="F60" s="227" t="e">
        <f>IF(A60&lt;&gt;"",(C60-#REF!)/C60,"")</f>
        <v>#REF!</v>
      </c>
    </row>
    <row r="61" spans="1:7" x14ac:dyDescent="0.25">
      <c r="A61" s="222" t="str">
        <f>IF('Rate Card CLT'!B65&lt;&gt;"",'Rate Card PJ'!B65,"")</f>
        <v>Desenvolvedor FrontEnd Especialista</v>
      </c>
      <c r="B61" s="223">
        <f>IF(A61&lt;&gt;"",TRUNC('Rate Card PJ'!U65,2),"")</f>
        <v>187.91</v>
      </c>
      <c r="C61" s="247">
        <f t="shared" si="3"/>
        <v>31568.880000000001</v>
      </c>
      <c r="D61" s="223">
        <f t="shared" si="2"/>
        <v>206.70099999999999</v>
      </c>
      <c r="E61" s="232">
        <f t="shared" si="4"/>
        <v>34725.767999999996</v>
      </c>
      <c r="F61" s="227" t="e">
        <f>IF(A61&lt;&gt;"",(C61-#REF!)/C61,"")</f>
        <v>#REF!</v>
      </c>
    </row>
    <row r="62" spans="1:7" x14ac:dyDescent="0.25">
      <c r="A62" s="222" t="str">
        <f>IF('Rate Card CLT'!B66&lt;&gt;"",'Rate Card PJ'!B66,"")</f>
        <v>Desenvolvedor FrontEnd Júnior</v>
      </c>
      <c r="B62" s="223">
        <f>IF(A62&lt;&gt;"",TRUNC('Rate Card PJ'!U66,2),"")</f>
        <v>70.83</v>
      </c>
      <c r="C62" s="247">
        <f t="shared" si="3"/>
        <v>11899.44</v>
      </c>
      <c r="D62" s="223">
        <f t="shared" si="2"/>
        <v>77.912999999999997</v>
      </c>
      <c r="E62" s="232">
        <f t="shared" si="4"/>
        <v>13089.384</v>
      </c>
      <c r="F62" s="227" t="e">
        <f>IF(A62&lt;&gt;"",(C62-#REF!)/C62,"")</f>
        <v>#REF!</v>
      </c>
    </row>
    <row r="63" spans="1:7" x14ac:dyDescent="0.25">
      <c r="A63" s="222" t="str">
        <f>IF('Rate Card CLT'!B67&lt;&gt;"",'Rate Card PJ'!B67,"")</f>
        <v>Desenvolvedor FrontEnd Pleno</v>
      </c>
      <c r="B63" s="223">
        <f>IF(A63&lt;&gt;"",TRUNC('Rate Card PJ'!U67,2),"")</f>
        <v>130.09</v>
      </c>
      <c r="C63" s="247">
        <f t="shared" si="3"/>
        <v>21855.119999999999</v>
      </c>
      <c r="D63" s="223">
        <f t="shared" si="2"/>
        <v>143.09899999999999</v>
      </c>
      <c r="E63" s="232">
        <f t="shared" si="4"/>
        <v>24040.631999999998</v>
      </c>
      <c r="F63" s="227" t="e">
        <f>IF(A63&lt;&gt;"",(C63-#REF!)/C63,"")</f>
        <v>#REF!</v>
      </c>
    </row>
    <row r="64" spans="1:7" x14ac:dyDescent="0.25">
      <c r="A64" s="222" t="str">
        <f>IF('Rate Card CLT'!B68&lt;&gt;"",'Rate Card PJ'!B68,"")</f>
        <v>Desenvolvedor FrontEnd Sênior</v>
      </c>
      <c r="B64" s="223">
        <f>IF(A64&lt;&gt;"",TRUNC('Rate Card PJ'!U68,2),"")</f>
        <v>159</v>
      </c>
      <c r="C64" s="247">
        <f t="shared" si="3"/>
        <v>26712</v>
      </c>
      <c r="D64" s="223">
        <f t="shared" si="2"/>
        <v>174.9</v>
      </c>
      <c r="E64" s="232">
        <f t="shared" si="4"/>
        <v>29383.200000000001</v>
      </c>
      <c r="F64" s="227" t="e">
        <f>IF(A64&lt;&gt;"",(C64-#REF!)/C64,"")</f>
        <v>#REF!</v>
      </c>
    </row>
    <row r="65" spans="1:6" x14ac:dyDescent="0.25">
      <c r="A65" s="222" t="str">
        <f>IF('Rate Card CLT'!B69&lt;&gt;"",'Rate Card PJ'!B69,"")</f>
        <v>Desenvolvedor FullStack Especialista</v>
      </c>
      <c r="B65" s="223">
        <f>IF(A65&lt;&gt;"",TRUNC('Rate Card PJ'!U69,2),"")</f>
        <v>196.58</v>
      </c>
      <c r="C65" s="247">
        <f t="shared" si="3"/>
        <v>33025.440000000002</v>
      </c>
      <c r="D65" s="223">
        <f t="shared" si="2"/>
        <v>216.238</v>
      </c>
      <c r="E65" s="232">
        <f t="shared" si="4"/>
        <v>36327.983999999997</v>
      </c>
      <c r="F65" s="227" t="e">
        <f>IF(A65&lt;&gt;"",(C65-#REF!)/C65,"")</f>
        <v>#REF!</v>
      </c>
    </row>
    <row r="66" spans="1:6" x14ac:dyDescent="0.25">
      <c r="A66" s="222" t="str">
        <f>IF('Rate Card CLT'!B70&lt;&gt;"",'Rate Card PJ'!B70,"")</f>
        <v>Desenvolvedor FullStack Júnior</v>
      </c>
      <c r="B66" s="223">
        <f>IF(A66&lt;&gt;"",TRUNC('Rate Card PJ'!U70,2),"")</f>
        <v>70.83</v>
      </c>
      <c r="C66" s="247">
        <f t="shared" si="3"/>
        <v>11899.44</v>
      </c>
      <c r="D66" s="223">
        <f t="shared" si="2"/>
        <v>77.912999999999997</v>
      </c>
      <c r="E66" s="232">
        <f t="shared" si="4"/>
        <v>13089.384</v>
      </c>
      <c r="F66" s="227" t="e">
        <f>IF(A66&lt;&gt;"",(C66-#REF!)/C66,"")</f>
        <v>#REF!</v>
      </c>
    </row>
    <row r="67" spans="1:6" x14ac:dyDescent="0.25">
      <c r="A67" s="222" t="str">
        <f>IF('Rate Card CLT'!B71&lt;&gt;"",'Rate Card PJ'!B71,"")</f>
        <v>Desenvolvedor FullStack Pleno</v>
      </c>
      <c r="B67" s="223">
        <f>IF(A67&lt;&gt;"",TRUNC('Rate Card PJ'!U71,2),"")</f>
        <v>135.87</v>
      </c>
      <c r="C67" s="247">
        <f t="shared" si="3"/>
        <v>22826.16</v>
      </c>
      <c r="D67" s="223">
        <f t="shared" si="2"/>
        <v>149.45699999999999</v>
      </c>
      <c r="E67" s="232">
        <f t="shared" si="4"/>
        <v>25108.775999999998</v>
      </c>
      <c r="F67" s="227" t="e">
        <f>IF(A67&lt;&gt;"",(C67-#REF!)/C67,"")</f>
        <v>#REF!</v>
      </c>
    </row>
    <row r="68" spans="1:6" x14ac:dyDescent="0.25">
      <c r="A68" s="222" t="str">
        <f>IF('Rate Card CLT'!B72&lt;&gt;"",'Rate Card PJ'!B72,"")</f>
        <v>Desenvolvedor FullStack Sênior</v>
      </c>
      <c r="B68" s="223">
        <f>IF(A68&lt;&gt;"",TRUNC('Rate Card PJ'!U72,2),"")</f>
        <v>166.23</v>
      </c>
      <c r="C68" s="247">
        <f t="shared" si="3"/>
        <v>27926.639999999999</v>
      </c>
      <c r="D68" s="223">
        <f t="shared" si="2"/>
        <v>182.85299999999998</v>
      </c>
      <c r="E68" s="232">
        <f t="shared" si="4"/>
        <v>30719.303999999996</v>
      </c>
      <c r="F68" s="227" t="e">
        <f>IF(A68&lt;&gt;"",(C68-#REF!)/C68,"")</f>
        <v>#REF!</v>
      </c>
    </row>
    <row r="69" spans="1:6" x14ac:dyDescent="0.25">
      <c r="A69" s="222" t="str">
        <f>IF('Rate Card CLT'!B73&lt;&gt;"",'Rate Card PJ'!B73,"")</f>
        <v>Desenvolvedor Mobile Especialista</v>
      </c>
      <c r="B69" s="223">
        <f>IF(A69&lt;&gt;"",TRUNC('Rate Card PJ'!U73,2),"")</f>
        <v>196.58</v>
      </c>
      <c r="C69" s="247">
        <f t="shared" ref="C69:C100" si="5">IF(A69&lt;&gt;"",$C$1*B69,"")</f>
        <v>33025.440000000002</v>
      </c>
      <c r="D69" s="223">
        <f t="shared" si="2"/>
        <v>216.238</v>
      </c>
      <c r="E69" s="232">
        <f t="shared" ref="E69:E100" si="6">IF(A69&lt;&gt;"",$C$1*D69,"")</f>
        <v>36327.983999999997</v>
      </c>
      <c r="F69" s="227" t="e">
        <f>IF(A69&lt;&gt;"",(C69-#REF!)/C69,"")</f>
        <v>#REF!</v>
      </c>
    </row>
    <row r="70" spans="1:6" x14ac:dyDescent="0.25">
      <c r="A70" s="222" t="str">
        <f>IF('Rate Card CLT'!B74&lt;&gt;"",'Rate Card PJ'!B74,"")</f>
        <v>Desenvolvedor Mobile Júnior</v>
      </c>
      <c r="B70" s="223">
        <f>IF(A70&lt;&gt;"",TRUNC('Rate Card PJ'!U74,2),"")</f>
        <v>70.83</v>
      </c>
      <c r="C70" s="247">
        <f t="shared" si="5"/>
        <v>11899.44</v>
      </c>
      <c r="D70" s="223">
        <f t="shared" ref="D70:D133" si="7">B70+(B70*$K$3)</f>
        <v>77.912999999999997</v>
      </c>
      <c r="E70" s="232">
        <f t="shared" si="6"/>
        <v>13089.384</v>
      </c>
      <c r="F70" s="227" t="e">
        <f>IF(A70&lt;&gt;"",(C70-#REF!)/C70,"")</f>
        <v>#REF!</v>
      </c>
    </row>
    <row r="71" spans="1:6" x14ac:dyDescent="0.25">
      <c r="A71" s="222" t="str">
        <f>IF('Rate Card CLT'!B75&lt;&gt;"",'Rate Card PJ'!B75,"")</f>
        <v>Desenvolvedor Mobile Pleno</v>
      </c>
      <c r="B71" s="223">
        <f>IF(A71&lt;&gt;"",TRUNC('Rate Card PJ'!U75,2),"")</f>
        <v>135.87</v>
      </c>
      <c r="C71" s="247">
        <f t="shared" si="5"/>
        <v>22826.16</v>
      </c>
      <c r="D71" s="223">
        <f t="shared" si="7"/>
        <v>149.45699999999999</v>
      </c>
      <c r="E71" s="232">
        <f t="shared" si="6"/>
        <v>25108.775999999998</v>
      </c>
      <c r="F71" s="227" t="e">
        <f>IF(A71&lt;&gt;"",(C71-#REF!)/C71,"")</f>
        <v>#REF!</v>
      </c>
    </row>
    <row r="72" spans="1:6" x14ac:dyDescent="0.25">
      <c r="A72" s="222" t="str">
        <f>IF('Rate Card CLT'!B76&lt;&gt;"",'Rate Card PJ'!B76,"")</f>
        <v>Desenvolvedor Mobile Sênior</v>
      </c>
      <c r="B72" s="223">
        <f>IF(A72&lt;&gt;"",TRUNC('Rate Card PJ'!U76,2),"")</f>
        <v>166.23</v>
      </c>
      <c r="C72" s="247">
        <f t="shared" si="5"/>
        <v>27926.639999999999</v>
      </c>
      <c r="D72" s="223">
        <f t="shared" si="7"/>
        <v>182.85299999999998</v>
      </c>
      <c r="E72" s="232">
        <f t="shared" si="6"/>
        <v>30719.303999999996</v>
      </c>
      <c r="F72" s="227" t="e">
        <f>IF(A72&lt;&gt;"",(C72-#REF!)/C72,"")</f>
        <v>#REF!</v>
      </c>
    </row>
    <row r="73" spans="1:6" x14ac:dyDescent="0.25">
      <c r="A73" s="222" t="str">
        <f>IF('Rate Card CLT'!B77&lt;&gt;"",'Rate Card PJ'!B77,"")</f>
        <v>Desenvolvedor Salesforce Especialista</v>
      </c>
      <c r="B73" s="223">
        <f>IF(A73&lt;&gt;"",TRUNC('Rate Card PJ'!U77,2),"")</f>
        <v>159</v>
      </c>
      <c r="C73" s="247">
        <f t="shared" si="5"/>
        <v>26712</v>
      </c>
      <c r="D73" s="223">
        <f t="shared" si="7"/>
        <v>174.9</v>
      </c>
      <c r="E73" s="232">
        <f t="shared" si="6"/>
        <v>29383.200000000001</v>
      </c>
      <c r="F73" s="227" t="e">
        <f>IF(A73&lt;&gt;"",(C73-#REF!)/C73,"")</f>
        <v>#REF!</v>
      </c>
    </row>
    <row r="74" spans="1:6" x14ac:dyDescent="0.25">
      <c r="A74" s="222" t="str">
        <f>IF('Rate Card CLT'!B78&lt;&gt;"",'Rate Card PJ'!B78,"")</f>
        <v>Desenvolvedor Salesforce Júnior</v>
      </c>
      <c r="B74" s="223">
        <f>IF(A74&lt;&gt;"",TRUNC('Rate Card PJ'!U78,2),"")</f>
        <v>65.040000000000006</v>
      </c>
      <c r="C74" s="247">
        <f t="shared" si="5"/>
        <v>10926.720000000001</v>
      </c>
      <c r="D74" s="223">
        <f t="shared" si="7"/>
        <v>71.544000000000011</v>
      </c>
      <c r="E74" s="232">
        <f t="shared" si="6"/>
        <v>12019.392000000002</v>
      </c>
      <c r="F74" s="227" t="e">
        <f>IF(A74&lt;&gt;"",(C74-#REF!)/C74,"")</f>
        <v>#REF!</v>
      </c>
    </row>
    <row r="75" spans="1:6" x14ac:dyDescent="0.25">
      <c r="A75" s="222" t="str">
        <f>IF('Rate Card CLT'!B79&lt;&gt;"",'Rate Card PJ'!B79,"")</f>
        <v>Desenvolvedor Salesforce Pleno</v>
      </c>
      <c r="B75" s="223">
        <f>IF(A75&lt;&gt;"",TRUNC('Rate Card PJ'!U79,2),"")</f>
        <v>101.18</v>
      </c>
      <c r="C75" s="247">
        <f t="shared" si="5"/>
        <v>16998.240000000002</v>
      </c>
      <c r="D75" s="223">
        <f t="shared" si="7"/>
        <v>111.298</v>
      </c>
      <c r="E75" s="232">
        <f t="shared" si="6"/>
        <v>18698.063999999998</v>
      </c>
      <c r="F75" s="227" t="e">
        <f>IF(A75&lt;&gt;"",(C75-#REF!)/C75,"")</f>
        <v>#REF!</v>
      </c>
    </row>
    <row r="76" spans="1:6" x14ac:dyDescent="0.25">
      <c r="A76" s="222" t="str">
        <f>IF('Rate Card CLT'!B80&lt;&gt;"",'Rate Card PJ'!B80,"")</f>
        <v>Desenvolvedor Salesforce Sênior</v>
      </c>
      <c r="B76" s="223">
        <f>IF(A76&lt;&gt;"",TRUNC('Rate Card PJ'!U80,2),"")</f>
        <v>130.09</v>
      </c>
      <c r="C76" s="247">
        <f t="shared" si="5"/>
        <v>21855.119999999999</v>
      </c>
      <c r="D76" s="223">
        <f t="shared" si="7"/>
        <v>143.09899999999999</v>
      </c>
      <c r="E76" s="232">
        <f t="shared" si="6"/>
        <v>24040.631999999998</v>
      </c>
      <c r="F76" s="227" t="e">
        <f>IF(A76&lt;&gt;"",(C76-#REF!)/C76,"")</f>
        <v>#REF!</v>
      </c>
    </row>
    <row r="77" spans="1:6" x14ac:dyDescent="0.25">
      <c r="A77" s="222" t="str">
        <f>IF('Rate Card CLT'!B81&lt;&gt;"",'Rate Card PJ'!B81,"")</f>
        <v>DevSecOps Especialista</v>
      </c>
      <c r="B77" s="223">
        <f>IF(A77&lt;&gt;"",TRUNC('Rate Card PJ'!U81,2),"")</f>
        <v>173.46</v>
      </c>
      <c r="C77" s="247">
        <f t="shared" si="5"/>
        <v>29141.280000000002</v>
      </c>
      <c r="D77" s="223">
        <f t="shared" si="7"/>
        <v>190.80600000000001</v>
      </c>
      <c r="E77" s="232">
        <f t="shared" si="6"/>
        <v>32055.408000000003</v>
      </c>
      <c r="F77" s="227" t="e">
        <f>IF(A77&lt;&gt;"",(C77-#REF!)/C77,"")</f>
        <v>#REF!</v>
      </c>
    </row>
    <row r="78" spans="1:6" x14ac:dyDescent="0.25">
      <c r="A78" s="222" t="str">
        <f>IF('Rate Card CLT'!B82&lt;&gt;"",'Rate Card PJ'!B82,"")</f>
        <v>DevSecOps Júnior</v>
      </c>
      <c r="B78" s="223">
        <f>IF(A78&lt;&gt;"",TRUNC('Rate Card PJ'!U82,2),"")</f>
        <v>70.83</v>
      </c>
      <c r="C78" s="247">
        <f t="shared" si="5"/>
        <v>11899.44</v>
      </c>
      <c r="D78" s="223">
        <f t="shared" si="7"/>
        <v>77.912999999999997</v>
      </c>
      <c r="E78" s="232">
        <f t="shared" si="6"/>
        <v>13089.384</v>
      </c>
      <c r="F78" s="227" t="e">
        <f>IF(A78&lt;&gt;"",(C78-#REF!)/C78,"")</f>
        <v>#REF!</v>
      </c>
    </row>
    <row r="79" spans="1:6" x14ac:dyDescent="0.25">
      <c r="A79" s="222" t="str">
        <f>IF('Rate Card CLT'!B83&lt;&gt;"",'Rate Card PJ'!B83,"")</f>
        <v>DevSecOps Pleno</v>
      </c>
      <c r="B79" s="223">
        <f>IF(A79&lt;&gt;"",TRUNC('Rate Card PJ'!U83,2),"")</f>
        <v>130.09</v>
      </c>
      <c r="C79" s="247">
        <f t="shared" si="5"/>
        <v>21855.119999999999</v>
      </c>
      <c r="D79" s="223">
        <f t="shared" si="7"/>
        <v>143.09899999999999</v>
      </c>
      <c r="E79" s="232">
        <f t="shared" si="6"/>
        <v>24040.631999999998</v>
      </c>
      <c r="F79" s="227" t="e">
        <f>IF(A79&lt;&gt;"",(C79-#REF!)/C79,"")</f>
        <v>#REF!</v>
      </c>
    </row>
    <row r="80" spans="1:6" x14ac:dyDescent="0.25">
      <c r="A80" s="222" t="str">
        <f>IF('Rate Card CLT'!B84&lt;&gt;"",'Rate Card PJ'!B84,"")</f>
        <v>DevSecOps Sênior</v>
      </c>
      <c r="B80" s="223">
        <f>IF(A80&lt;&gt;"",TRUNC('Rate Card PJ'!U84,2),"")</f>
        <v>159</v>
      </c>
      <c r="C80" s="247">
        <f t="shared" si="5"/>
        <v>26712</v>
      </c>
      <c r="D80" s="223">
        <f t="shared" si="7"/>
        <v>174.9</v>
      </c>
      <c r="E80" s="232">
        <f t="shared" si="6"/>
        <v>29383.200000000001</v>
      </c>
      <c r="F80" s="227" t="e">
        <f>IF(A80&lt;&gt;"",(C80-#REF!)/C80,"")</f>
        <v>#REF!</v>
      </c>
    </row>
    <row r="81" spans="1:6" x14ac:dyDescent="0.25">
      <c r="A81" s="222" t="str">
        <f>IF('Rate Card CLT'!B85&lt;&gt;"",'Rate Card PJ'!B85,"")</f>
        <v>Engenheiro de Cloud (AWS / Azure / GCP) Especialista</v>
      </c>
      <c r="B81" s="223">
        <f>IF(A81&lt;&gt;"",TRUNC('Rate Card PJ'!U85,2),"")</f>
        <v>202.37</v>
      </c>
      <c r="C81" s="247">
        <f t="shared" si="5"/>
        <v>33998.160000000003</v>
      </c>
      <c r="D81" s="223">
        <f t="shared" si="7"/>
        <v>222.607</v>
      </c>
      <c r="E81" s="232">
        <f t="shared" si="6"/>
        <v>37397.976000000002</v>
      </c>
      <c r="F81" s="227" t="e">
        <f>IF(A81&lt;&gt;"",(C81-#REF!)/C81,"")</f>
        <v>#REF!</v>
      </c>
    </row>
    <row r="82" spans="1:6" x14ac:dyDescent="0.25">
      <c r="A82" s="222" t="str">
        <f>IF('Rate Card CLT'!B86&lt;&gt;"",'Rate Card PJ'!B86,"")</f>
        <v>Engenheiro de Cloud (AWS / Azure / GCP) Júnior</v>
      </c>
      <c r="B82" s="223">
        <f>IF(A82&lt;&gt;"",TRUNC('Rate Card PJ'!U86,2),"")</f>
        <v>72.27</v>
      </c>
      <c r="C82" s="247">
        <f t="shared" si="5"/>
        <v>12141.359999999999</v>
      </c>
      <c r="D82" s="223">
        <f t="shared" si="7"/>
        <v>79.497</v>
      </c>
      <c r="E82" s="232">
        <f t="shared" si="6"/>
        <v>13355.495999999999</v>
      </c>
      <c r="F82" s="227" t="e">
        <f>IF(A82&lt;&gt;"",(C82-#REF!)/C82,"")</f>
        <v>#REF!</v>
      </c>
    </row>
    <row r="83" spans="1:6" x14ac:dyDescent="0.25">
      <c r="A83" s="222" t="str">
        <f>IF('Rate Card CLT'!B87&lt;&gt;"",'Rate Card PJ'!B87,"")</f>
        <v>Engenheiro de Cloud (AWS / Azure / GCP) Pleno</v>
      </c>
      <c r="B83" s="223">
        <f>IF(A83&lt;&gt;"",TRUNC('Rate Card PJ'!U87,2),"")</f>
        <v>115.64</v>
      </c>
      <c r="C83" s="247">
        <f t="shared" si="5"/>
        <v>19427.52</v>
      </c>
      <c r="D83" s="223">
        <f t="shared" si="7"/>
        <v>127.20400000000001</v>
      </c>
      <c r="E83" s="232">
        <f t="shared" si="6"/>
        <v>21370.272000000001</v>
      </c>
      <c r="F83" s="227" t="e">
        <f>IF(A83&lt;&gt;"",(C83-#REF!)/C83,"")</f>
        <v>#REF!</v>
      </c>
    </row>
    <row r="84" spans="1:6" x14ac:dyDescent="0.25">
      <c r="A84" s="222" t="str">
        <f>IF('Rate Card CLT'!B88&lt;&gt;"",'Rate Card PJ'!B88,"")</f>
        <v>Engenheiro de Cloud (AWS / Azure / GCP) Sênior</v>
      </c>
      <c r="B84" s="223">
        <f>IF(A84&lt;&gt;"",TRUNC('Rate Card PJ'!U88,2),"")</f>
        <v>159</v>
      </c>
      <c r="C84" s="247">
        <f t="shared" si="5"/>
        <v>26712</v>
      </c>
      <c r="D84" s="223">
        <f t="shared" si="7"/>
        <v>174.9</v>
      </c>
      <c r="E84" s="232">
        <f t="shared" si="6"/>
        <v>29383.200000000001</v>
      </c>
      <c r="F84" s="227" t="e">
        <f>IF(A84&lt;&gt;"",(C84-#REF!)/C84,"")</f>
        <v>#REF!</v>
      </c>
    </row>
    <row r="85" spans="1:6" x14ac:dyDescent="0.25">
      <c r="A85" s="222" t="str">
        <f>IF('Rate Card CLT'!B89&lt;&gt;"",'Rate Card PJ'!B89,"")</f>
        <v>Engenheiro de Dados Especialista</v>
      </c>
      <c r="B85" s="223">
        <f>IF(A85&lt;&gt;"",TRUNC('Rate Card PJ'!U89,2),"")</f>
        <v>166.23</v>
      </c>
      <c r="C85" s="247">
        <f t="shared" si="5"/>
        <v>27926.639999999999</v>
      </c>
      <c r="D85" s="223">
        <f t="shared" si="7"/>
        <v>182.85299999999998</v>
      </c>
      <c r="E85" s="232">
        <f t="shared" si="6"/>
        <v>30719.303999999996</v>
      </c>
      <c r="F85" s="227" t="e">
        <f>IF(A85&lt;&gt;"",(C85-#REF!)/C85,"")</f>
        <v>#REF!</v>
      </c>
    </row>
    <row r="86" spans="1:6" x14ac:dyDescent="0.25">
      <c r="A86" s="222" t="str">
        <f>IF('Rate Card CLT'!B90&lt;&gt;"",'Rate Card PJ'!B90,"")</f>
        <v>Engenheiro de Dados Júnior</v>
      </c>
      <c r="B86" s="223">
        <f>IF(A86&lt;&gt;"",TRUNC('Rate Card PJ'!U90,2),"")</f>
        <v>65.040000000000006</v>
      </c>
      <c r="C86" s="247">
        <f t="shared" si="5"/>
        <v>10926.720000000001</v>
      </c>
      <c r="D86" s="223">
        <f t="shared" si="7"/>
        <v>71.544000000000011</v>
      </c>
      <c r="E86" s="232">
        <f t="shared" si="6"/>
        <v>12019.392000000002</v>
      </c>
      <c r="F86" s="227" t="e">
        <f>IF(A86&lt;&gt;"",(C86-#REF!)/C86,"")</f>
        <v>#REF!</v>
      </c>
    </row>
    <row r="87" spans="1:6" x14ac:dyDescent="0.25">
      <c r="A87" s="222" t="str">
        <f>IF('Rate Card CLT'!B91&lt;&gt;"",'Rate Card PJ'!B91,"")</f>
        <v>Engenheiro de Dados Pleno</v>
      </c>
      <c r="B87" s="223">
        <f>IF(A87&lt;&gt;"",TRUNC('Rate Card PJ'!U91,2),"")</f>
        <v>108.41</v>
      </c>
      <c r="C87" s="247">
        <f t="shared" si="5"/>
        <v>18212.88</v>
      </c>
      <c r="D87" s="223">
        <f t="shared" si="7"/>
        <v>119.251</v>
      </c>
      <c r="E87" s="232">
        <f t="shared" si="6"/>
        <v>20034.168000000001</v>
      </c>
      <c r="F87" s="227" t="e">
        <f>IF(A87&lt;&gt;"",(C87-#REF!)/C87,"")</f>
        <v>#REF!</v>
      </c>
    </row>
    <row r="88" spans="1:6" x14ac:dyDescent="0.25">
      <c r="A88" s="222" t="str">
        <f>IF('Rate Card CLT'!B92&lt;&gt;"",'Rate Card PJ'!B92,"")</f>
        <v>Engenheiro de Dados Sênior</v>
      </c>
      <c r="B88" s="223">
        <f>IF(A88&lt;&gt;"",TRUNC('Rate Card PJ'!U92,2),"")</f>
        <v>144.55000000000001</v>
      </c>
      <c r="C88" s="247">
        <f t="shared" si="5"/>
        <v>24284.400000000001</v>
      </c>
      <c r="D88" s="223">
        <f t="shared" si="7"/>
        <v>159.00500000000002</v>
      </c>
      <c r="E88" s="232">
        <f t="shared" si="6"/>
        <v>26712.840000000004</v>
      </c>
      <c r="F88" s="227" t="e">
        <f>IF(A88&lt;&gt;"",(C88-#REF!)/C88,"")</f>
        <v>#REF!</v>
      </c>
    </row>
    <row r="89" spans="1:6" x14ac:dyDescent="0.25">
      <c r="A89" s="222" t="str">
        <f>IF('Rate Card CLT'!B93&lt;&gt;"",'Rate Card PJ'!B93,"")</f>
        <v>Gerente de Projetos Júnior</v>
      </c>
      <c r="B89" s="223">
        <f>IF(A89&lt;&gt;"",TRUNC('Rate Card PJ'!U93,2),"")</f>
        <v>86.73</v>
      </c>
      <c r="C89" s="247">
        <f t="shared" si="5"/>
        <v>14570.640000000001</v>
      </c>
      <c r="D89" s="223">
        <f t="shared" si="7"/>
        <v>95.403000000000006</v>
      </c>
      <c r="E89" s="232">
        <f t="shared" si="6"/>
        <v>16027.704000000002</v>
      </c>
      <c r="F89" s="227" t="e">
        <f>IF(A89&lt;&gt;"",(C89-#REF!)/C89,"")</f>
        <v>#REF!</v>
      </c>
    </row>
    <row r="90" spans="1:6" x14ac:dyDescent="0.25">
      <c r="A90" s="222" t="str">
        <f>IF('Rate Card CLT'!B94&lt;&gt;"",'Rate Card PJ'!B94,"")</f>
        <v>Gerente de Projetos Pleno</v>
      </c>
      <c r="B90" s="223">
        <f>IF(A90&lt;&gt;"",TRUNC('Rate Card PJ'!U94,2),"")</f>
        <v>108.41</v>
      </c>
      <c r="C90" s="247">
        <f t="shared" si="5"/>
        <v>18212.88</v>
      </c>
      <c r="D90" s="223">
        <f t="shared" si="7"/>
        <v>119.251</v>
      </c>
      <c r="E90" s="232">
        <f t="shared" si="6"/>
        <v>20034.168000000001</v>
      </c>
      <c r="F90" s="227" t="e">
        <f>IF(A90&lt;&gt;"",(C90-#REF!)/C90,"")</f>
        <v>#REF!</v>
      </c>
    </row>
    <row r="91" spans="1:6" x14ac:dyDescent="0.25">
      <c r="A91" s="222" t="str">
        <f>IF('Rate Card CLT'!B95&lt;&gt;"",'Rate Card PJ'!B95,"")</f>
        <v>Gerente de Projetos Sênior</v>
      </c>
      <c r="B91" s="223">
        <f>IF(A91&lt;&gt;"",TRUNC('Rate Card PJ'!U95,2),"")</f>
        <v>151.77000000000001</v>
      </c>
      <c r="C91" s="247">
        <f t="shared" si="5"/>
        <v>25497.360000000001</v>
      </c>
      <c r="D91" s="223">
        <f t="shared" si="7"/>
        <v>166.947</v>
      </c>
      <c r="E91" s="232">
        <f t="shared" si="6"/>
        <v>28047.096000000001</v>
      </c>
      <c r="F91" s="227" t="e">
        <f>IF(A91&lt;&gt;"",(C91-#REF!)/C91,"")</f>
        <v>#REF!</v>
      </c>
    </row>
    <row r="92" spans="1:6" x14ac:dyDescent="0.25">
      <c r="A92" s="222" t="str">
        <f>IF('Rate Card CLT'!B96&lt;&gt;"",'Rate Card PJ'!B96,"")</f>
        <v>Machine Learning Engineer Especialista</v>
      </c>
      <c r="B92" s="223">
        <f>IF(A92&lt;&gt;"",TRUNC('Rate Card PJ'!U96,2),"")</f>
        <v>216.82</v>
      </c>
      <c r="C92" s="247">
        <f t="shared" si="5"/>
        <v>36425.760000000002</v>
      </c>
      <c r="D92" s="223">
        <f t="shared" si="7"/>
        <v>238.50200000000001</v>
      </c>
      <c r="E92" s="232">
        <f t="shared" si="6"/>
        <v>40068.336000000003</v>
      </c>
      <c r="F92" s="227" t="e">
        <f>IF(A92&lt;&gt;"",(C92-#REF!)/C92,"")</f>
        <v>#REF!</v>
      </c>
    </row>
    <row r="93" spans="1:6" x14ac:dyDescent="0.25">
      <c r="A93" s="222" t="str">
        <f>IF('Rate Card CLT'!B97&lt;&gt;"",'Rate Card PJ'!B97,"")</f>
        <v>Machine Learning Engineer Júnior</v>
      </c>
      <c r="B93" s="223">
        <f>IF(A93&lt;&gt;"",TRUNC('Rate Card PJ'!U97,2),"")</f>
        <v>89.62</v>
      </c>
      <c r="C93" s="247">
        <f t="shared" si="5"/>
        <v>15056.16</v>
      </c>
      <c r="D93" s="223">
        <f t="shared" si="7"/>
        <v>98.582000000000008</v>
      </c>
      <c r="E93" s="232">
        <f t="shared" si="6"/>
        <v>16561.776000000002</v>
      </c>
      <c r="F93" s="227" t="e">
        <f>IF(A93&lt;&gt;"",(C93-#REF!)/C93,"")</f>
        <v>#REF!</v>
      </c>
    </row>
    <row r="94" spans="1:6" x14ac:dyDescent="0.25">
      <c r="A94" s="222" t="str">
        <f>IF('Rate Card CLT'!B98&lt;&gt;"",'Rate Card PJ'!B98,"")</f>
        <v>Machine Learning Engineer Pleno</v>
      </c>
      <c r="B94" s="223">
        <f>IF(A94&lt;&gt;"",TRUNC('Rate Card PJ'!U98,2),"")</f>
        <v>130.09</v>
      </c>
      <c r="C94" s="247">
        <f t="shared" si="5"/>
        <v>21855.119999999999</v>
      </c>
      <c r="D94" s="223">
        <f t="shared" si="7"/>
        <v>143.09899999999999</v>
      </c>
      <c r="E94" s="232">
        <f t="shared" si="6"/>
        <v>24040.631999999998</v>
      </c>
      <c r="F94" s="227" t="e">
        <f>IF(A94&lt;&gt;"",(C94-#REF!)/C94,"")</f>
        <v>#REF!</v>
      </c>
    </row>
    <row r="95" spans="1:6" x14ac:dyDescent="0.25">
      <c r="A95" s="222" t="str">
        <f>IF('Rate Card CLT'!B99&lt;&gt;"",'Rate Card PJ'!B99,"")</f>
        <v>Machine Learning Engineer Sênior</v>
      </c>
      <c r="B95" s="223">
        <f>IF(A95&lt;&gt;"",TRUNC('Rate Card PJ'!U99,2),"")</f>
        <v>187.91</v>
      </c>
      <c r="C95" s="247">
        <f t="shared" si="5"/>
        <v>31568.880000000001</v>
      </c>
      <c r="D95" s="223">
        <f t="shared" si="7"/>
        <v>206.70099999999999</v>
      </c>
      <c r="E95" s="232">
        <f t="shared" si="6"/>
        <v>34725.767999999996</v>
      </c>
      <c r="F95" s="227" t="e">
        <f>IF(A95&lt;&gt;"",(C95-#REF!)/C95,"")</f>
        <v>#REF!</v>
      </c>
    </row>
    <row r="96" spans="1:6" x14ac:dyDescent="0.25">
      <c r="A96" s="222" t="str">
        <f>IF('Rate Card CLT'!B100&lt;&gt;"",'Rate Card PJ'!B100,"")</f>
        <v>Product Owner Júnior</v>
      </c>
      <c r="B96" s="223">
        <f>IF(A96&lt;&gt;"",TRUNC('Rate Card PJ'!U100,2),"")</f>
        <v>65.040000000000006</v>
      </c>
      <c r="C96" s="247">
        <f t="shared" si="5"/>
        <v>10926.720000000001</v>
      </c>
      <c r="D96" s="223">
        <f t="shared" si="7"/>
        <v>71.544000000000011</v>
      </c>
      <c r="E96" s="232">
        <f t="shared" si="6"/>
        <v>12019.392000000002</v>
      </c>
      <c r="F96" s="227" t="e">
        <f>IF(A96&lt;&gt;"",(C96-#REF!)/C96,"")</f>
        <v>#REF!</v>
      </c>
    </row>
    <row r="97" spans="1:6" x14ac:dyDescent="0.25">
      <c r="A97" s="222" t="str">
        <f>IF('Rate Card CLT'!B101&lt;&gt;"",'Rate Card PJ'!B101,"")</f>
        <v>Product Owner Pleno</v>
      </c>
      <c r="B97" s="223">
        <f>IF(A97&lt;&gt;"",TRUNC('Rate Card PJ'!U101,2),"")</f>
        <v>137.32</v>
      </c>
      <c r="C97" s="247">
        <f t="shared" si="5"/>
        <v>23069.759999999998</v>
      </c>
      <c r="D97" s="223">
        <f t="shared" si="7"/>
        <v>151.05199999999999</v>
      </c>
      <c r="E97" s="232">
        <f t="shared" si="6"/>
        <v>25376.735999999997</v>
      </c>
      <c r="F97" s="227" t="e">
        <f>IF(A97&lt;&gt;"",(C97-#REF!)/C97,"")</f>
        <v>#REF!</v>
      </c>
    </row>
    <row r="98" spans="1:6" x14ac:dyDescent="0.25">
      <c r="A98" s="222" t="str">
        <f>IF('Rate Card CLT'!B102&lt;&gt;"",'Rate Card PJ'!B102,"")</f>
        <v>Product Owner Sênior</v>
      </c>
      <c r="B98" s="223">
        <f>IF(A98&lt;&gt;"",TRUNC('Rate Card PJ'!U102,2),"")</f>
        <v>159</v>
      </c>
      <c r="C98" s="247">
        <f t="shared" si="5"/>
        <v>26712</v>
      </c>
      <c r="D98" s="223">
        <f t="shared" si="7"/>
        <v>174.9</v>
      </c>
      <c r="E98" s="232">
        <f t="shared" si="6"/>
        <v>29383.200000000001</v>
      </c>
      <c r="F98" s="227" t="e">
        <f>IF(A98&lt;&gt;"",(C98-#REF!)/C98,"")</f>
        <v>#REF!</v>
      </c>
    </row>
    <row r="99" spans="1:6" x14ac:dyDescent="0.25">
      <c r="A99" s="222" t="str">
        <f>IF('Rate Card CLT'!B103&lt;&gt;"",'Rate Card PJ'!B103,"")</f>
        <v>RPA Especialista</v>
      </c>
      <c r="B99" s="223">
        <f>IF(A99&lt;&gt;"",TRUNC('Rate Card PJ'!U103,2),"")</f>
        <v>166.23</v>
      </c>
      <c r="C99" s="247">
        <f t="shared" si="5"/>
        <v>27926.639999999999</v>
      </c>
      <c r="D99" s="223">
        <f t="shared" si="7"/>
        <v>182.85299999999998</v>
      </c>
      <c r="E99" s="232">
        <f t="shared" si="6"/>
        <v>30719.303999999996</v>
      </c>
      <c r="F99" s="227" t="e">
        <f>IF(A99&lt;&gt;"",(C99-#REF!)/C99,"")</f>
        <v>#REF!</v>
      </c>
    </row>
    <row r="100" spans="1:6" x14ac:dyDescent="0.25">
      <c r="A100" s="222" t="str">
        <f>IF('Rate Card CLT'!B104&lt;&gt;"",'Rate Card PJ'!B104,"")</f>
        <v>RPA Júnior</v>
      </c>
      <c r="B100" s="223">
        <f>IF(A100&lt;&gt;"",TRUNC('Rate Card PJ'!U104,2),"")</f>
        <v>54.92</v>
      </c>
      <c r="C100" s="247">
        <f t="shared" si="5"/>
        <v>9226.56</v>
      </c>
      <c r="D100" s="223">
        <f t="shared" si="7"/>
        <v>60.412000000000006</v>
      </c>
      <c r="E100" s="232">
        <f t="shared" si="6"/>
        <v>10149.216</v>
      </c>
      <c r="F100" s="227" t="e">
        <f>IF(A100&lt;&gt;"",(C100-#REF!)/C100,"")</f>
        <v>#REF!</v>
      </c>
    </row>
    <row r="101" spans="1:6" x14ac:dyDescent="0.25">
      <c r="A101" s="222" t="str">
        <f>IF('Rate Card CLT'!B105&lt;&gt;"",'Rate Card PJ'!B105,"")</f>
        <v>RPA Pleno</v>
      </c>
      <c r="B101" s="223">
        <f>IF(A101&lt;&gt;"",TRUNC('Rate Card PJ'!U105,2),"")</f>
        <v>108.41</v>
      </c>
      <c r="C101" s="247">
        <f t="shared" ref="C101:C132" si="8">IF(A101&lt;&gt;"",$C$1*B101,"")</f>
        <v>18212.88</v>
      </c>
      <c r="D101" s="223">
        <f t="shared" si="7"/>
        <v>119.251</v>
      </c>
      <c r="E101" s="232">
        <f t="shared" ref="E101:E132" si="9">IF(A101&lt;&gt;"",$C$1*D101,"")</f>
        <v>20034.168000000001</v>
      </c>
      <c r="F101" s="227" t="e">
        <f>IF(A101&lt;&gt;"",(C101-#REF!)/C101,"")</f>
        <v>#REF!</v>
      </c>
    </row>
    <row r="102" spans="1:6" x14ac:dyDescent="0.25">
      <c r="A102" s="222" t="str">
        <f>IF('Rate Card CLT'!B106&lt;&gt;"",'Rate Card PJ'!B106,"")</f>
        <v>RPA Sênior</v>
      </c>
      <c r="B102" s="223">
        <f>IF(A102&lt;&gt;"",TRUNC('Rate Card PJ'!U106,2),"")</f>
        <v>144.55000000000001</v>
      </c>
      <c r="C102" s="247">
        <f t="shared" si="8"/>
        <v>24284.400000000001</v>
      </c>
      <c r="D102" s="223">
        <f t="shared" si="7"/>
        <v>159.00500000000002</v>
      </c>
      <c r="E102" s="232">
        <f t="shared" si="9"/>
        <v>26712.840000000004</v>
      </c>
      <c r="F102" s="227" t="e">
        <f>IF(A102&lt;&gt;"",(C102-#REF!)/C102,"")</f>
        <v>#REF!</v>
      </c>
    </row>
    <row r="103" spans="1:6" x14ac:dyDescent="0.25">
      <c r="A103" s="222" t="str">
        <f>IF('Rate Card CLT'!B107&lt;&gt;"",'Rate Card PJ'!B107,"")</f>
        <v>Analista SAP Funcional Júnior</v>
      </c>
      <c r="B103" s="223">
        <f>IF(A103&lt;&gt;"",TRUNC('Rate Card PJ'!U107,2),"")</f>
        <v>75.16</v>
      </c>
      <c r="C103" s="247">
        <f t="shared" si="8"/>
        <v>12626.88</v>
      </c>
      <c r="D103" s="223">
        <f t="shared" si="7"/>
        <v>82.676000000000002</v>
      </c>
      <c r="E103" s="232">
        <f t="shared" si="9"/>
        <v>13889.568000000001</v>
      </c>
      <c r="F103" s="227" t="e">
        <f>IF(A103&lt;&gt;"",(C103-#REF!)/C103,"")</f>
        <v>#REF!</v>
      </c>
    </row>
    <row r="104" spans="1:6" x14ac:dyDescent="0.25">
      <c r="A104" s="222" t="str">
        <f>IF('Rate Card CLT'!B108&lt;&gt;"",'Rate Card PJ'!B108,"")</f>
        <v>Analista SAP Funcional Pleno</v>
      </c>
      <c r="B104" s="223">
        <f>IF(A104&lt;&gt;"",TRUNC('Rate Card PJ'!U108,2),"")</f>
        <v>131.54</v>
      </c>
      <c r="C104" s="247">
        <f t="shared" si="8"/>
        <v>22098.719999999998</v>
      </c>
      <c r="D104" s="223">
        <f t="shared" si="7"/>
        <v>144.69399999999999</v>
      </c>
      <c r="E104" s="232">
        <f t="shared" si="9"/>
        <v>24308.591999999997</v>
      </c>
      <c r="F104" s="227" t="e">
        <f>IF(A104&lt;&gt;"",(C104-#REF!)/C104,"")</f>
        <v>#REF!</v>
      </c>
    </row>
    <row r="105" spans="1:6" x14ac:dyDescent="0.25">
      <c r="A105" s="222" t="str">
        <f>IF('Rate Card CLT'!B109&lt;&gt;"",'Rate Card PJ'!B109,"")</f>
        <v>Analista SAP Funcional Sênior</v>
      </c>
      <c r="B105" s="223">
        <f>IF(A105&lt;&gt;"",TRUNC('Rate Card PJ'!U109,2),"")</f>
        <v>173.46</v>
      </c>
      <c r="C105" s="247">
        <f t="shared" si="8"/>
        <v>29141.280000000002</v>
      </c>
      <c r="D105" s="223">
        <f t="shared" si="7"/>
        <v>190.80600000000001</v>
      </c>
      <c r="E105" s="232">
        <f t="shared" si="9"/>
        <v>32055.408000000003</v>
      </c>
      <c r="F105" s="227" t="e">
        <f>IF(A105&lt;&gt;"",(C105-#REF!)/C105,"")</f>
        <v>#REF!</v>
      </c>
    </row>
    <row r="106" spans="1:6" x14ac:dyDescent="0.25">
      <c r="A106" s="222" t="str">
        <f>IF('Rate Card CLT'!B110&lt;&gt;"",'Rate Card PJ'!B110,"")</f>
        <v>Scrum Master Júnior</v>
      </c>
      <c r="B106" s="223">
        <f>IF(A106&lt;&gt;"",TRUNC('Rate Card PJ'!U110,2),"")</f>
        <v>65.040000000000006</v>
      </c>
      <c r="C106" s="247">
        <f t="shared" si="8"/>
        <v>10926.720000000001</v>
      </c>
      <c r="D106" s="223">
        <f t="shared" si="7"/>
        <v>71.544000000000011</v>
      </c>
      <c r="E106" s="232">
        <f t="shared" si="9"/>
        <v>12019.392000000002</v>
      </c>
      <c r="F106" s="227" t="e">
        <f>IF(A106&lt;&gt;"",(C106-#REF!)/C106,"")</f>
        <v>#REF!</v>
      </c>
    </row>
    <row r="107" spans="1:6" x14ac:dyDescent="0.25">
      <c r="A107" s="222" t="str">
        <f>IF('Rate Card CLT'!B111&lt;&gt;"",'Rate Card PJ'!B111,"")</f>
        <v>Scrum Master Pleno</v>
      </c>
      <c r="B107" s="223">
        <f>IF(A107&lt;&gt;"",TRUNC('Rate Card PJ'!U111,2),"")</f>
        <v>115.64</v>
      </c>
      <c r="C107" s="247">
        <f t="shared" si="8"/>
        <v>19427.52</v>
      </c>
      <c r="D107" s="223">
        <f t="shared" si="7"/>
        <v>127.20400000000001</v>
      </c>
      <c r="E107" s="232">
        <f t="shared" si="9"/>
        <v>21370.272000000001</v>
      </c>
      <c r="F107" s="227" t="e">
        <f>IF(A107&lt;&gt;"",(C107-#REF!)/C107,"")</f>
        <v>#REF!</v>
      </c>
    </row>
    <row r="108" spans="1:6" x14ac:dyDescent="0.25">
      <c r="A108" s="222" t="str">
        <f>IF('Rate Card CLT'!B112&lt;&gt;"",'Rate Card PJ'!B112,"")</f>
        <v>Scrum Master Sênior</v>
      </c>
      <c r="B108" s="223">
        <f>IF(A108&lt;&gt;"",TRUNC('Rate Card PJ'!U112,2),"")</f>
        <v>151.77000000000001</v>
      </c>
      <c r="C108" s="247">
        <f t="shared" si="8"/>
        <v>25497.360000000001</v>
      </c>
      <c r="D108" s="223">
        <f t="shared" si="7"/>
        <v>166.947</v>
      </c>
      <c r="E108" s="232">
        <f t="shared" si="9"/>
        <v>28047.096000000001</v>
      </c>
      <c r="F108" s="227" t="e">
        <f>IF(A108&lt;&gt;"",(C108-#REF!)/C108,"")</f>
        <v>#REF!</v>
      </c>
    </row>
    <row r="109" spans="1:6" x14ac:dyDescent="0.25">
      <c r="A109" s="222" t="str">
        <f>IF('Rate Card CLT'!B113&lt;&gt;"",'Rate Card PJ'!B113,"")</f>
        <v>SRE - Site Reliability Engenier Especialista</v>
      </c>
      <c r="B109" s="223">
        <f>IF(A109&lt;&gt;"",TRUNC('Rate Card PJ'!U113,2),"")</f>
        <v>231.28</v>
      </c>
      <c r="C109" s="247">
        <f t="shared" si="8"/>
        <v>38855.040000000001</v>
      </c>
      <c r="D109" s="223">
        <f t="shared" si="7"/>
        <v>254.40800000000002</v>
      </c>
      <c r="E109" s="232">
        <f t="shared" si="9"/>
        <v>42740.544000000002</v>
      </c>
      <c r="F109" s="227" t="e">
        <f>IF(A109&lt;&gt;"",(C109-#REF!)/C109,"")</f>
        <v>#REF!</v>
      </c>
    </row>
    <row r="110" spans="1:6" x14ac:dyDescent="0.25">
      <c r="A110" s="222" t="str">
        <f>IF('Rate Card CLT'!B114&lt;&gt;"",'Rate Card PJ'!B114,"")</f>
        <v>SRE - Site Reliability Engenier Júnior</v>
      </c>
      <c r="B110" s="223">
        <f>IF(A110&lt;&gt;"",TRUNC('Rate Card PJ'!U114,2),"")</f>
        <v>86.73</v>
      </c>
      <c r="C110" s="247">
        <f t="shared" si="8"/>
        <v>14570.640000000001</v>
      </c>
      <c r="D110" s="223">
        <f t="shared" si="7"/>
        <v>95.403000000000006</v>
      </c>
      <c r="E110" s="232">
        <f t="shared" si="9"/>
        <v>16027.704000000002</v>
      </c>
      <c r="F110" s="227" t="e">
        <f>IF(A110&lt;&gt;"",(C110-#REF!)/C110,"")</f>
        <v>#REF!</v>
      </c>
    </row>
    <row r="111" spans="1:6" x14ac:dyDescent="0.25">
      <c r="A111" s="222" t="str">
        <f>IF('Rate Card CLT'!B115&lt;&gt;"",'Rate Card PJ'!B115,"")</f>
        <v>SRE - Site Reliability Engenier Pleno</v>
      </c>
      <c r="B111" s="223">
        <f>IF(A111&lt;&gt;"",TRUNC('Rate Card PJ'!U115,2),"")</f>
        <v>122.86</v>
      </c>
      <c r="C111" s="247">
        <f t="shared" si="8"/>
        <v>20640.48</v>
      </c>
      <c r="D111" s="223">
        <f t="shared" si="7"/>
        <v>135.14600000000002</v>
      </c>
      <c r="E111" s="232">
        <f t="shared" si="9"/>
        <v>22704.528000000002</v>
      </c>
      <c r="F111" s="227" t="e">
        <f>IF(A111&lt;&gt;"",(C111-#REF!)/C111,"")</f>
        <v>#REF!</v>
      </c>
    </row>
    <row r="112" spans="1:6" x14ac:dyDescent="0.25">
      <c r="A112" s="222" t="str">
        <f>IF('Rate Card CLT'!B116&lt;&gt;"",'Rate Card PJ'!B116,"")</f>
        <v>SRE - Site Reliability Engenier Sênior</v>
      </c>
      <c r="B112" s="223">
        <f>IF(A112&lt;&gt;"",TRUNC('Rate Card PJ'!U116,2),"")</f>
        <v>173.46</v>
      </c>
      <c r="C112" s="247">
        <f t="shared" si="8"/>
        <v>29141.280000000002</v>
      </c>
      <c r="D112" s="223">
        <f t="shared" si="7"/>
        <v>190.80600000000001</v>
      </c>
      <c r="E112" s="232">
        <f t="shared" si="9"/>
        <v>32055.408000000003</v>
      </c>
      <c r="F112" s="227" t="e">
        <f>IF(A112&lt;&gt;"",(C112-#REF!)/C112,"")</f>
        <v>#REF!</v>
      </c>
    </row>
    <row r="113" spans="1:6" x14ac:dyDescent="0.25">
      <c r="A113" s="222" t="str">
        <f>IF('Rate Card CLT'!B117&lt;&gt;"",'Rate Card PJ'!B117,"")</f>
        <v>Tech Lead Especialista</v>
      </c>
      <c r="B113" s="223">
        <f>IF(A113&lt;&gt;"",TRUNC('Rate Card PJ'!U117,2),"")</f>
        <v>209.59</v>
      </c>
      <c r="C113" s="247">
        <f t="shared" si="8"/>
        <v>35211.120000000003</v>
      </c>
      <c r="D113" s="223">
        <f t="shared" si="7"/>
        <v>230.54900000000001</v>
      </c>
      <c r="E113" s="232">
        <f t="shared" si="9"/>
        <v>38732.232000000004</v>
      </c>
      <c r="F113" s="227" t="e">
        <f>IF(A113&lt;&gt;"",(C113-#REF!)/C113,"")</f>
        <v>#REF!</v>
      </c>
    </row>
    <row r="114" spans="1:6" x14ac:dyDescent="0.25">
      <c r="A114" s="222" t="str">
        <f>IF('Rate Card CLT'!B118&lt;&gt;"",'Rate Card PJ'!B118,"")</f>
        <v>Tech Lead Pleno</v>
      </c>
      <c r="B114" s="223">
        <f>IF(A114&lt;&gt;"",TRUNC('Rate Card PJ'!U118,2),"")</f>
        <v>151.77000000000001</v>
      </c>
      <c r="C114" s="247">
        <f t="shared" si="8"/>
        <v>25497.360000000001</v>
      </c>
      <c r="D114" s="223">
        <f t="shared" si="7"/>
        <v>166.947</v>
      </c>
      <c r="E114" s="232">
        <f t="shared" si="9"/>
        <v>28047.096000000001</v>
      </c>
      <c r="F114" s="227" t="e">
        <f>IF(A114&lt;&gt;"",(C114-#REF!)/C114,"")</f>
        <v>#REF!</v>
      </c>
    </row>
    <row r="115" spans="1:6" x14ac:dyDescent="0.25">
      <c r="A115" s="222" t="str">
        <f>IF('Rate Card CLT'!B119&lt;&gt;"",'Rate Card PJ'!B119,"")</f>
        <v>Tech Lead Sênior</v>
      </c>
      <c r="B115" s="223">
        <f>IF(A115&lt;&gt;"",TRUNC('Rate Card PJ'!U119,2),"")</f>
        <v>187.91</v>
      </c>
      <c r="C115" s="247">
        <f t="shared" si="8"/>
        <v>31568.880000000001</v>
      </c>
      <c r="D115" s="223">
        <f t="shared" si="7"/>
        <v>206.70099999999999</v>
      </c>
      <c r="E115" s="232">
        <f t="shared" si="9"/>
        <v>34725.767999999996</v>
      </c>
      <c r="F115" s="227" t="e">
        <f>IF(A115&lt;&gt;"",(C115-#REF!)/C115,"")</f>
        <v>#REF!</v>
      </c>
    </row>
    <row r="116" spans="1:6" x14ac:dyDescent="0.25">
      <c r="A116" s="222" t="str">
        <f>IF('Rate Card CLT'!B120&lt;&gt;"",'Rate Card PJ'!B120,"")</f>
        <v>Analista de SI – Gestão de Acessos/ Identidade Júnior</v>
      </c>
      <c r="B116" s="223">
        <f>IF(A116&lt;&gt;"",TRUNC('Rate Card PJ'!U120,2),"")</f>
        <v>50.59</v>
      </c>
      <c r="C116" s="247">
        <f t="shared" si="8"/>
        <v>8499.1200000000008</v>
      </c>
      <c r="D116" s="223">
        <f t="shared" si="7"/>
        <v>55.649000000000001</v>
      </c>
      <c r="E116" s="232">
        <f t="shared" si="9"/>
        <v>9349.0319999999992</v>
      </c>
      <c r="F116" s="227" t="e">
        <f>IF(A116&lt;&gt;"",(C116-#REF!)/C116,"")</f>
        <v>#REF!</v>
      </c>
    </row>
    <row r="117" spans="1:6" x14ac:dyDescent="0.25">
      <c r="A117" s="222" t="str">
        <f>IF('Rate Card CLT'!B121&lt;&gt;"",'Rate Card PJ'!B121,"")</f>
        <v>Analista de SI – Gestão de Acessos/ Identidade Pleno</v>
      </c>
      <c r="B117" s="223">
        <f>IF(A117&lt;&gt;"",TRUNC('Rate Card PJ'!U121,2),"")</f>
        <v>69.38</v>
      </c>
      <c r="C117" s="247">
        <f t="shared" si="8"/>
        <v>11655.84</v>
      </c>
      <c r="D117" s="223">
        <f t="shared" si="7"/>
        <v>76.317999999999998</v>
      </c>
      <c r="E117" s="232">
        <f t="shared" si="9"/>
        <v>12821.423999999999</v>
      </c>
      <c r="F117" s="227" t="e">
        <f>IF(A117&lt;&gt;"",(C117-#REF!)/C117,"")</f>
        <v>#REF!</v>
      </c>
    </row>
    <row r="118" spans="1:6" x14ac:dyDescent="0.25">
      <c r="A118" s="222" t="str">
        <f>IF('Rate Card CLT'!B122&lt;&gt;"",'Rate Card PJ'!B122,"")</f>
        <v>Analista de SI – Gestão de Acessos/ Identidade Sênior</v>
      </c>
      <c r="B118" s="223">
        <f>IF(A118&lt;&gt;"",TRUNC('Rate Card PJ'!U122,2),"")</f>
        <v>115.64</v>
      </c>
      <c r="C118" s="247">
        <f t="shared" si="8"/>
        <v>19427.52</v>
      </c>
      <c r="D118" s="223">
        <f t="shared" si="7"/>
        <v>127.20400000000001</v>
      </c>
      <c r="E118" s="232">
        <f t="shared" si="9"/>
        <v>21370.272000000001</v>
      </c>
      <c r="F118" s="227" t="e">
        <f>IF(A118&lt;&gt;"",(C118-#REF!)/C118,"")</f>
        <v>#REF!</v>
      </c>
    </row>
    <row r="119" spans="1:6" x14ac:dyDescent="0.25">
      <c r="A119" s="222" t="str">
        <f>IF('Rate Card CLT'!B123&lt;&gt;"",'Rate Card PJ'!B123,"")</f>
        <v>Analista de Segurança da Informação Especialista</v>
      </c>
      <c r="B119" s="223">
        <f>IF(A119&lt;&gt;"",TRUNC('Rate Card PJ'!U123,2),"")</f>
        <v>209.59</v>
      </c>
      <c r="C119" s="247">
        <f t="shared" si="8"/>
        <v>35211.120000000003</v>
      </c>
      <c r="D119" s="223">
        <f t="shared" si="7"/>
        <v>230.54900000000001</v>
      </c>
      <c r="E119" s="232">
        <f t="shared" si="9"/>
        <v>38732.232000000004</v>
      </c>
      <c r="F119" s="227" t="e">
        <f>IF(A119&lt;&gt;"",(C119-#REF!)/C119,"")</f>
        <v>#REF!</v>
      </c>
    </row>
    <row r="120" spans="1:6" x14ac:dyDescent="0.25">
      <c r="A120" s="222" t="str">
        <f>IF('Rate Card CLT'!B124&lt;&gt;"",'Rate Card PJ'!B124,"")</f>
        <v>Analista de Segurança da Informação Júnior</v>
      </c>
      <c r="B120" s="223">
        <f>IF(A120&lt;&gt;"",TRUNC('Rate Card PJ'!U124,2),"")</f>
        <v>79.5</v>
      </c>
      <c r="C120" s="247">
        <f t="shared" si="8"/>
        <v>13356</v>
      </c>
      <c r="D120" s="223">
        <f t="shared" si="7"/>
        <v>87.45</v>
      </c>
      <c r="E120" s="232">
        <f t="shared" si="9"/>
        <v>14691.6</v>
      </c>
      <c r="F120" s="227" t="e">
        <f>IF(A120&lt;&gt;"",(C120-#REF!)/C120,"")</f>
        <v>#REF!</v>
      </c>
    </row>
    <row r="121" spans="1:6" x14ac:dyDescent="0.25">
      <c r="A121" s="222" t="str">
        <f>IF('Rate Card CLT'!B125&lt;&gt;"",'Rate Card PJ'!B125,"")</f>
        <v>Analista de Segurança da Informação Pleno</v>
      </c>
      <c r="B121" s="223">
        <f>IF(A121&lt;&gt;"",TRUNC('Rate Card PJ'!U125,2),"")</f>
        <v>122.86</v>
      </c>
      <c r="C121" s="247">
        <f t="shared" si="8"/>
        <v>20640.48</v>
      </c>
      <c r="D121" s="223">
        <f t="shared" si="7"/>
        <v>135.14600000000002</v>
      </c>
      <c r="E121" s="232">
        <f t="shared" si="9"/>
        <v>22704.528000000002</v>
      </c>
      <c r="F121" s="227" t="e">
        <f>IF(A121&lt;&gt;"",(C121-#REF!)/C121,"")</f>
        <v>#REF!</v>
      </c>
    </row>
    <row r="122" spans="1:6" x14ac:dyDescent="0.25">
      <c r="A122" s="222" t="str">
        <f>IF('Rate Card CLT'!B126&lt;&gt;"",'Rate Card PJ'!B126,"")</f>
        <v>Analista de Segurança da Informação Sênior</v>
      </c>
      <c r="B122" s="223">
        <f>IF(A122&lt;&gt;"",TRUNC('Rate Card PJ'!U126,2),"")</f>
        <v>187.91</v>
      </c>
      <c r="C122" s="247">
        <f t="shared" si="8"/>
        <v>31568.880000000001</v>
      </c>
      <c r="D122" s="223">
        <f t="shared" si="7"/>
        <v>206.70099999999999</v>
      </c>
      <c r="E122" s="232">
        <f t="shared" si="9"/>
        <v>34725.767999999996</v>
      </c>
      <c r="F122" s="227" t="e">
        <f>IF(A122&lt;&gt;"",(C122-#REF!)/C122,"")</f>
        <v>#REF!</v>
      </c>
    </row>
    <row r="123" spans="1:6" x14ac:dyDescent="0.25">
      <c r="A123" s="222" t="str">
        <f>IF('Rate Card CLT'!B127&lt;&gt;"",'Rate Card PJ'!B127,"")</f>
        <v>Coordenador de T.I. Sênior</v>
      </c>
      <c r="B123" s="223">
        <f>IF(A123&lt;&gt;"",TRUNC('Rate Card PJ'!U127,2),"")</f>
        <v>216.82</v>
      </c>
      <c r="C123" s="247">
        <f t="shared" si="8"/>
        <v>36425.760000000002</v>
      </c>
      <c r="D123" s="223">
        <f t="shared" si="7"/>
        <v>238.50200000000001</v>
      </c>
      <c r="E123" s="232">
        <f t="shared" si="9"/>
        <v>40068.336000000003</v>
      </c>
      <c r="F123" s="227" t="e">
        <f>IF(A123&lt;&gt;"",(C123-#REF!)/C123,"")</f>
        <v>#REF!</v>
      </c>
    </row>
    <row r="124" spans="1:6" x14ac:dyDescent="0.25">
      <c r="A124" s="222" t="str">
        <f>IF('Rate Card CLT'!B128&lt;&gt;"",'Rate Card PJ'!B128,"")</f>
        <v>Consultor SAP SuccessFactors / Ariba Especialista</v>
      </c>
      <c r="B124" s="223">
        <f>IF(A124&lt;&gt;"",TRUNC('Rate Card PJ'!U128,2),"")</f>
        <v>361.37</v>
      </c>
      <c r="C124" s="247">
        <f t="shared" si="8"/>
        <v>60710.16</v>
      </c>
      <c r="D124" s="223">
        <f t="shared" si="7"/>
        <v>397.50700000000001</v>
      </c>
      <c r="E124" s="232">
        <f t="shared" si="9"/>
        <v>66781.176000000007</v>
      </c>
    </row>
    <row r="125" spans="1:6" x14ac:dyDescent="0.25">
      <c r="A125" s="222" t="str">
        <f>IF('Rate Card CLT'!B129&lt;&gt;"",'Rate Card PJ'!B129,"")</f>
        <v>Consultor SAP SuccessFactors / Ariba Júnior</v>
      </c>
      <c r="B125" s="223">
        <f>IF(A125&lt;&gt;"",TRUNC('Rate Card PJ'!U129,2),"")</f>
        <v>115.64</v>
      </c>
      <c r="C125" s="247">
        <f t="shared" si="8"/>
        <v>19427.52</v>
      </c>
      <c r="D125" s="223">
        <f t="shared" si="7"/>
        <v>127.20400000000001</v>
      </c>
      <c r="E125" s="232">
        <f t="shared" si="9"/>
        <v>21370.272000000001</v>
      </c>
    </row>
    <row r="126" spans="1:6" x14ac:dyDescent="0.25">
      <c r="A126" s="222" t="str">
        <f>IF('Rate Card CLT'!B130&lt;&gt;"",'Rate Card PJ'!B130,"")</f>
        <v>Consultor SAP SuccessFactors / Ariba Pleno</v>
      </c>
      <c r="B126" s="223">
        <f>IF(A126&lt;&gt;"",TRUNC('Rate Card PJ'!U130,2),"")</f>
        <v>202.37</v>
      </c>
      <c r="C126" s="247">
        <f t="shared" si="8"/>
        <v>33998.160000000003</v>
      </c>
      <c r="D126" s="223">
        <f t="shared" si="7"/>
        <v>222.607</v>
      </c>
      <c r="E126" s="232">
        <f t="shared" si="9"/>
        <v>37397.976000000002</v>
      </c>
    </row>
    <row r="127" spans="1:6" x14ac:dyDescent="0.25">
      <c r="A127" s="222" t="str">
        <f>IF('Rate Card CLT'!B131&lt;&gt;"",'Rate Card PJ'!B131,"")</f>
        <v>Consultor SAP SuccessFactors / Ariba Sênior</v>
      </c>
      <c r="B127" s="223">
        <f>IF(A127&lt;&gt;"",TRUNC('Rate Card PJ'!U131,2),"")</f>
        <v>296.32</v>
      </c>
      <c r="C127" s="247">
        <f t="shared" si="8"/>
        <v>49781.760000000002</v>
      </c>
      <c r="D127" s="223">
        <f t="shared" si="7"/>
        <v>325.952</v>
      </c>
      <c r="E127" s="232">
        <f t="shared" si="9"/>
        <v>54759.936000000002</v>
      </c>
    </row>
    <row r="128" spans="1:6" x14ac:dyDescent="0.25">
      <c r="A128" s="222" t="str">
        <f>IF('Rate Card CLT'!B132&lt;&gt;"",'Rate Card PJ'!B132,"")</f>
        <v>Consultor SAP MM/SD Especialista</v>
      </c>
      <c r="B128" s="223">
        <f>IF(A128&lt;&gt;"",TRUNC('Rate Card PJ'!U132,2),"")</f>
        <v>361.37</v>
      </c>
      <c r="C128" s="247">
        <f t="shared" si="8"/>
        <v>60710.16</v>
      </c>
      <c r="D128" s="223">
        <f t="shared" si="7"/>
        <v>397.50700000000001</v>
      </c>
      <c r="E128" s="232">
        <f t="shared" si="9"/>
        <v>66781.176000000007</v>
      </c>
    </row>
    <row r="129" spans="1:5" x14ac:dyDescent="0.25">
      <c r="A129" s="222" t="str">
        <f>IF('Rate Card CLT'!B133&lt;&gt;"",'Rate Card PJ'!B133,"")</f>
        <v>Consultor SAP MM/SD Júnior</v>
      </c>
      <c r="B129" s="223">
        <f>IF(A129&lt;&gt;"",TRUNC('Rate Card PJ'!U133,2),"")</f>
        <v>118.53</v>
      </c>
      <c r="C129" s="247">
        <f t="shared" si="8"/>
        <v>19913.04</v>
      </c>
      <c r="D129" s="223">
        <f t="shared" si="7"/>
        <v>130.38300000000001</v>
      </c>
      <c r="E129" s="232">
        <f t="shared" si="9"/>
        <v>21904.344000000001</v>
      </c>
    </row>
    <row r="130" spans="1:5" x14ac:dyDescent="0.25">
      <c r="A130" s="222" t="str">
        <f>IF('Rate Card CLT'!B134&lt;&gt;"",'Rate Card PJ'!B134,"")</f>
        <v>Consultor SAP MM/SD Pleno</v>
      </c>
      <c r="B130" s="223">
        <f>IF(A130&lt;&gt;"",TRUNC('Rate Card PJ'!U134,2),"")</f>
        <v>202.37</v>
      </c>
      <c r="C130" s="247">
        <f t="shared" si="8"/>
        <v>33998.160000000003</v>
      </c>
      <c r="D130" s="223">
        <f t="shared" si="7"/>
        <v>222.607</v>
      </c>
      <c r="E130" s="232">
        <f t="shared" si="9"/>
        <v>37397.976000000002</v>
      </c>
    </row>
    <row r="131" spans="1:5" x14ac:dyDescent="0.25">
      <c r="A131" s="222" t="str">
        <f>IF('Rate Card CLT'!B135&lt;&gt;"",'Rate Card PJ'!B135,"")</f>
        <v>Consultor SAP MM/SD Sênior</v>
      </c>
      <c r="B131" s="223">
        <f>IF(A131&lt;&gt;"",TRUNC('Rate Card PJ'!U135,2),"")</f>
        <v>296.32</v>
      </c>
      <c r="C131" s="247">
        <f t="shared" si="8"/>
        <v>49781.760000000002</v>
      </c>
      <c r="D131" s="223">
        <f t="shared" si="7"/>
        <v>325.952</v>
      </c>
      <c r="E131" s="232">
        <f t="shared" si="9"/>
        <v>54759.936000000002</v>
      </c>
    </row>
    <row r="132" spans="1:5" x14ac:dyDescent="0.25">
      <c r="A132" s="222" t="str">
        <f>IF('Rate Card CLT'!B136&lt;&gt;"",'Rate Card PJ'!B136,"")</f>
        <v>Consultor SAP FI/CO Especialista</v>
      </c>
      <c r="B132" s="223">
        <f>IF(A132&lt;&gt;"",TRUNC('Rate Card PJ'!U136,2),"")</f>
        <v>419.19</v>
      </c>
      <c r="C132" s="247">
        <f t="shared" si="8"/>
        <v>70423.92</v>
      </c>
      <c r="D132" s="223">
        <f t="shared" si="7"/>
        <v>461.10899999999998</v>
      </c>
      <c r="E132" s="232">
        <f t="shared" si="9"/>
        <v>77466.311999999991</v>
      </c>
    </row>
    <row r="133" spans="1:5" x14ac:dyDescent="0.25">
      <c r="A133" s="222" t="str">
        <f>IF('Rate Card CLT'!B137&lt;&gt;"",'Rate Card PJ'!B137,"")</f>
        <v>Consultor SAP FI/CO Júnior</v>
      </c>
      <c r="B133" s="223">
        <f>IF(A133&lt;&gt;"",TRUNC('Rate Card PJ'!U137,2),"")</f>
        <v>127.2</v>
      </c>
      <c r="C133" s="247">
        <f t="shared" ref="C133:C155" si="10">IF(A133&lt;&gt;"",$C$1*B133,"")</f>
        <v>21369.600000000002</v>
      </c>
      <c r="D133" s="223">
        <f t="shared" si="7"/>
        <v>139.92000000000002</v>
      </c>
      <c r="E133" s="232">
        <f t="shared" ref="E133:E155" si="11">IF(A133&lt;&gt;"",$C$1*D133,"")</f>
        <v>23506.560000000001</v>
      </c>
    </row>
    <row r="134" spans="1:5" x14ac:dyDescent="0.25">
      <c r="A134" s="222" t="str">
        <f>IF('Rate Card CLT'!B138&lt;&gt;"",'Rate Card PJ'!B138,"")</f>
        <v>Consultor SAP FI/CO Pleno</v>
      </c>
      <c r="B134" s="223">
        <f>IF(A134&lt;&gt;"",TRUNC('Rate Card PJ'!U138,2),"")</f>
        <v>224.05</v>
      </c>
      <c r="C134" s="247">
        <f t="shared" si="10"/>
        <v>37640.400000000001</v>
      </c>
      <c r="D134" s="223">
        <f t="shared" ref="D134:D155" si="12">B134+(B134*$K$3)</f>
        <v>246.45500000000001</v>
      </c>
      <c r="E134" s="232">
        <f t="shared" si="11"/>
        <v>41404.44</v>
      </c>
    </row>
    <row r="135" spans="1:5" x14ac:dyDescent="0.25">
      <c r="A135" s="222" t="str">
        <f>IF('Rate Card CLT'!B139&lt;&gt;"",'Rate Card PJ'!B139,"")</f>
        <v>Consultor SAP FI/CO Sênior</v>
      </c>
      <c r="B135" s="223">
        <f>IF(A135&lt;&gt;"",TRUNC('Rate Card PJ'!U139,2),"")</f>
        <v>303.55</v>
      </c>
      <c r="C135" s="247">
        <f t="shared" si="10"/>
        <v>50996.4</v>
      </c>
      <c r="D135" s="223">
        <f t="shared" si="12"/>
        <v>333.90500000000003</v>
      </c>
      <c r="E135" s="232">
        <f t="shared" si="11"/>
        <v>56096.040000000008</v>
      </c>
    </row>
    <row r="136" spans="1:5" x14ac:dyDescent="0.25">
      <c r="A136" s="222" t="str">
        <f>IF('Rate Card CLT'!B140&lt;&gt;"",'Rate Card PJ'!B140,"")</f>
        <v>Consultor SAP ABAP Especialista</v>
      </c>
      <c r="B136" s="223">
        <f>IF(A136&lt;&gt;"",TRUNC('Rate Card PJ'!U140,2),"")</f>
        <v>404.74</v>
      </c>
      <c r="C136" s="247">
        <f t="shared" si="10"/>
        <v>67996.320000000007</v>
      </c>
      <c r="D136" s="223">
        <f t="shared" si="12"/>
        <v>445.214</v>
      </c>
      <c r="E136" s="232">
        <f t="shared" si="11"/>
        <v>74795.952000000005</v>
      </c>
    </row>
    <row r="137" spans="1:5" x14ac:dyDescent="0.25">
      <c r="A137" s="222" t="str">
        <f>IF('Rate Card CLT'!B141&lt;&gt;"",'Rate Card PJ'!B141,"")</f>
        <v>Consultor SAP ABAP Júnior</v>
      </c>
      <c r="B137" s="223">
        <f>IF(A137&lt;&gt;"",TRUNC('Rate Card PJ'!U141,2),"")</f>
        <v>122.86</v>
      </c>
      <c r="C137" s="247">
        <f t="shared" si="10"/>
        <v>20640.48</v>
      </c>
      <c r="D137" s="223">
        <f t="shared" si="12"/>
        <v>135.14600000000002</v>
      </c>
      <c r="E137" s="232">
        <f t="shared" si="11"/>
        <v>22704.528000000002</v>
      </c>
    </row>
    <row r="138" spans="1:5" x14ac:dyDescent="0.25">
      <c r="A138" s="222" t="str">
        <f>IF('Rate Card CLT'!B142&lt;&gt;"",'Rate Card PJ'!B142,"")</f>
        <v>Consultor SAP ABAP Pleno</v>
      </c>
      <c r="B138" s="223">
        <f>IF(A138&lt;&gt;"",TRUNC('Rate Card PJ'!U142,2),"")</f>
        <v>216.82</v>
      </c>
      <c r="C138" s="247">
        <f t="shared" si="10"/>
        <v>36425.760000000002</v>
      </c>
      <c r="D138" s="223">
        <f t="shared" si="12"/>
        <v>238.50200000000001</v>
      </c>
      <c r="E138" s="232">
        <f t="shared" si="11"/>
        <v>40068.336000000003</v>
      </c>
    </row>
    <row r="139" spans="1:5" x14ac:dyDescent="0.25">
      <c r="A139" s="222" t="str">
        <f>IF('Rate Card CLT'!B143&lt;&gt;"",'Rate Card PJ'!B143,"")</f>
        <v>Consultor SAP ABAP Sênior</v>
      </c>
      <c r="B139" s="223">
        <f>IF(A139&lt;&gt;"",TRUNC('Rate Card PJ'!U143,2),"")</f>
        <v>303.55</v>
      </c>
      <c r="C139" s="247">
        <f t="shared" si="10"/>
        <v>50996.4</v>
      </c>
      <c r="D139" s="223">
        <f t="shared" si="12"/>
        <v>333.90500000000003</v>
      </c>
      <c r="E139" s="232">
        <f t="shared" si="11"/>
        <v>56096.040000000008</v>
      </c>
    </row>
    <row r="140" spans="1:5" x14ac:dyDescent="0.25">
      <c r="A140" s="222" t="str">
        <f>IF('Rate Card CLT'!B144&lt;&gt;"",'Rate Card PJ'!B144,"")</f>
        <v>Consultor SAP EWM Especialista</v>
      </c>
      <c r="B140" s="223">
        <f>IF(A140&lt;&gt;"",TRUNC('Rate Card PJ'!U144,2),"")</f>
        <v>404.74</v>
      </c>
      <c r="C140" s="247">
        <f t="shared" si="10"/>
        <v>67996.320000000007</v>
      </c>
      <c r="D140" s="223">
        <f t="shared" si="12"/>
        <v>445.214</v>
      </c>
      <c r="E140" s="232">
        <f t="shared" si="11"/>
        <v>74795.952000000005</v>
      </c>
    </row>
    <row r="141" spans="1:5" x14ac:dyDescent="0.25">
      <c r="A141" s="222" t="str">
        <f>IF('Rate Card CLT'!B145&lt;&gt;"",'Rate Card PJ'!B145,"")</f>
        <v>Consultor SAP EWM Júnior</v>
      </c>
      <c r="B141" s="223">
        <f>IF(A141&lt;&gt;"",TRUNC('Rate Card PJ'!U145,2),"")</f>
        <v>130.09</v>
      </c>
      <c r="C141" s="247">
        <f t="shared" si="10"/>
        <v>21855.119999999999</v>
      </c>
      <c r="D141" s="223">
        <f t="shared" si="12"/>
        <v>143.09899999999999</v>
      </c>
      <c r="E141" s="232">
        <f t="shared" si="11"/>
        <v>24040.631999999998</v>
      </c>
    </row>
    <row r="142" spans="1:5" x14ac:dyDescent="0.25">
      <c r="A142" s="222" t="str">
        <f>IF('Rate Card CLT'!B146&lt;&gt;"",'Rate Card PJ'!B146,"")</f>
        <v>Consultor SAP EWM Pleno</v>
      </c>
      <c r="B142" s="223">
        <f>IF(A142&lt;&gt;"",TRUNC('Rate Card PJ'!U146,2),"")</f>
        <v>239.95</v>
      </c>
      <c r="C142" s="247">
        <f t="shared" si="10"/>
        <v>40311.599999999999</v>
      </c>
      <c r="D142" s="223">
        <f t="shared" si="12"/>
        <v>263.94499999999999</v>
      </c>
      <c r="E142" s="232">
        <f t="shared" si="11"/>
        <v>44342.76</v>
      </c>
    </row>
    <row r="143" spans="1:5" x14ac:dyDescent="0.25">
      <c r="A143" s="222" t="str">
        <f>IF('Rate Card CLT'!B147&lt;&gt;"",'Rate Card PJ'!B147,"")</f>
        <v>Consultor SAP EWM Sênior</v>
      </c>
      <c r="B143" s="223">
        <f>IF(A143&lt;&gt;"",TRUNC('Rate Card PJ'!U147,2),"")</f>
        <v>315.12</v>
      </c>
      <c r="C143" s="247">
        <f t="shared" si="10"/>
        <v>52940.160000000003</v>
      </c>
      <c r="D143" s="223">
        <f t="shared" si="12"/>
        <v>346.63200000000001</v>
      </c>
      <c r="E143" s="232">
        <f t="shared" si="11"/>
        <v>58234.175999999999</v>
      </c>
    </row>
    <row r="144" spans="1:5" x14ac:dyDescent="0.25">
      <c r="A144" s="222" t="str">
        <f>IF('Rate Card CLT'!B148&lt;&gt;"",'Rate Card PJ'!B148,"")</f>
        <v>Consultor Oracle Netsuite Especialista</v>
      </c>
      <c r="B144" s="223">
        <f>IF(A144&lt;&gt;"",TRUNC('Rate Card PJ'!U148,2),"")</f>
        <v>346.92</v>
      </c>
      <c r="C144" s="247">
        <f t="shared" si="10"/>
        <v>58282.560000000005</v>
      </c>
      <c r="D144" s="223">
        <f t="shared" si="12"/>
        <v>381.61200000000002</v>
      </c>
      <c r="E144" s="232">
        <f t="shared" si="11"/>
        <v>64110.816000000006</v>
      </c>
    </row>
    <row r="145" spans="1:5" x14ac:dyDescent="0.25">
      <c r="A145" s="222" t="str">
        <f>IF('Rate Card CLT'!B149&lt;&gt;"",'Rate Card PJ'!B149,"")</f>
        <v>Consultor Oracle Netsuite Júnior</v>
      </c>
      <c r="B145" s="223">
        <f>IF(A145&lt;&gt;"",TRUNC('Rate Card PJ'!U149,2),"")</f>
        <v>80.94</v>
      </c>
      <c r="C145" s="247">
        <f t="shared" si="10"/>
        <v>13597.92</v>
      </c>
      <c r="D145" s="223">
        <f t="shared" si="12"/>
        <v>89.033999999999992</v>
      </c>
      <c r="E145" s="232">
        <f t="shared" si="11"/>
        <v>14957.712</v>
      </c>
    </row>
    <row r="146" spans="1:5" x14ac:dyDescent="0.25">
      <c r="A146" s="222" t="str">
        <f>IF('Rate Card CLT'!B150&lt;&gt;"",'Rate Card PJ'!B150,"")</f>
        <v>Consultor Oracle Netsuite Pleno</v>
      </c>
      <c r="B146" s="223">
        <f>IF(A146&lt;&gt;"",TRUNC('Rate Card PJ'!U150,2),"")</f>
        <v>159</v>
      </c>
      <c r="C146" s="247">
        <f t="shared" si="10"/>
        <v>26712</v>
      </c>
      <c r="D146" s="223">
        <f t="shared" si="12"/>
        <v>174.9</v>
      </c>
      <c r="E146" s="232">
        <f t="shared" si="11"/>
        <v>29383.200000000001</v>
      </c>
    </row>
    <row r="147" spans="1:5" x14ac:dyDescent="0.25">
      <c r="A147" s="222" t="str">
        <f>IF('Rate Card CLT'!B151&lt;&gt;"",'Rate Card PJ'!B151,"")</f>
        <v>Consultor Oracle Netsuite Sênior</v>
      </c>
      <c r="B147" s="223">
        <f>IF(A147&lt;&gt;"",TRUNC('Rate Card PJ'!U151,2),"")</f>
        <v>289.10000000000002</v>
      </c>
      <c r="C147" s="247">
        <f t="shared" si="10"/>
        <v>48568.800000000003</v>
      </c>
      <c r="D147" s="223">
        <f t="shared" si="12"/>
        <v>318.01000000000005</v>
      </c>
      <c r="E147" s="232">
        <f t="shared" si="11"/>
        <v>53425.680000000008</v>
      </c>
    </row>
    <row r="148" spans="1:5" x14ac:dyDescent="0.25">
      <c r="A148" s="222" t="str">
        <f>IF('Rate Card CLT'!B152&lt;&gt;"",'Rate Card PJ'!B152,"")</f>
        <v>Analista de Qualidade Automatizador Especialista</v>
      </c>
      <c r="B148" s="223">
        <f>IF(A148&lt;&gt;"",TRUNC('Rate Card PJ'!U152,2),"")</f>
        <v>173.46</v>
      </c>
      <c r="C148" s="247">
        <f t="shared" si="10"/>
        <v>29141.280000000002</v>
      </c>
      <c r="D148" s="223">
        <f t="shared" si="12"/>
        <v>190.80600000000001</v>
      </c>
      <c r="E148" s="232">
        <f t="shared" si="11"/>
        <v>32055.408000000003</v>
      </c>
    </row>
    <row r="149" spans="1:5" x14ac:dyDescent="0.25">
      <c r="A149" s="222" t="str">
        <f>IF('Rate Card CLT'!B153&lt;&gt;"",'Rate Card PJ'!B153,"")</f>
        <v>Analista de Qualidade Automatizador Júnior</v>
      </c>
      <c r="B149" s="223">
        <f>IF(A149&lt;&gt;"",TRUNC('Rate Card PJ'!U153,2),"")</f>
        <v>60.71</v>
      </c>
      <c r="C149" s="247">
        <f t="shared" si="10"/>
        <v>10199.280000000001</v>
      </c>
      <c r="D149" s="223">
        <f t="shared" si="12"/>
        <v>66.781000000000006</v>
      </c>
      <c r="E149" s="232">
        <f t="shared" si="11"/>
        <v>11219.208000000001</v>
      </c>
    </row>
    <row r="150" spans="1:5" x14ac:dyDescent="0.25">
      <c r="A150" s="222" t="str">
        <f>IF('Rate Card CLT'!B154&lt;&gt;"",'Rate Card PJ'!B154,"")</f>
        <v>Analista de Qualidade Automatizador Pleno</v>
      </c>
      <c r="B150" s="223">
        <f>IF(A150&lt;&gt;"",TRUNC('Rate Card PJ'!U154,2),"")</f>
        <v>108.41</v>
      </c>
      <c r="C150" s="247">
        <f t="shared" si="10"/>
        <v>18212.88</v>
      </c>
      <c r="D150" s="223">
        <f t="shared" si="12"/>
        <v>119.251</v>
      </c>
      <c r="E150" s="232">
        <f t="shared" si="11"/>
        <v>20034.168000000001</v>
      </c>
    </row>
    <row r="151" spans="1:5" x14ac:dyDescent="0.25">
      <c r="A151" s="222" t="str">
        <f>IF('Rate Card CLT'!B155&lt;&gt;"",'Rate Card PJ'!B155,"")</f>
        <v>Analista de Qualidade Automatizador Sênior</v>
      </c>
      <c r="B151" s="223">
        <f>IF(A151&lt;&gt;"",TRUNC('Rate Card PJ'!U155,2),"")</f>
        <v>144.55000000000001</v>
      </c>
      <c r="C151" s="247">
        <f t="shared" si="10"/>
        <v>24284.400000000001</v>
      </c>
      <c r="D151" s="223">
        <f t="shared" si="12"/>
        <v>159.00500000000002</v>
      </c>
      <c r="E151" s="232">
        <f t="shared" si="11"/>
        <v>26712.840000000004</v>
      </c>
    </row>
    <row r="152" spans="1:5" x14ac:dyDescent="0.25">
      <c r="A152" s="222" t="str">
        <f>IF('Rate Card CLT'!B156&lt;&gt;"",'Rate Card PJ'!B156,"")</f>
        <v>Especialista LTMC (Líder Técnico) Especialista</v>
      </c>
      <c r="B152" s="223">
        <f>IF(A152&lt;&gt;"",TRUNC('Rate Card PJ'!U156,2),"")</f>
        <v>346.92</v>
      </c>
      <c r="C152" s="247">
        <f t="shared" si="10"/>
        <v>58282.560000000005</v>
      </c>
      <c r="D152" s="223">
        <f t="shared" si="12"/>
        <v>381.61200000000002</v>
      </c>
      <c r="E152" s="232">
        <f t="shared" si="11"/>
        <v>64110.816000000006</v>
      </c>
    </row>
    <row r="153" spans="1:5" x14ac:dyDescent="0.25">
      <c r="A153" s="222" t="str">
        <f>IF('Rate Card CLT'!B157&lt;&gt;"",'Rate Card PJ'!B157,"")</f>
        <v>Especialista LTMC Especialista</v>
      </c>
      <c r="B153" s="223">
        <f>IF(A153&lt;&gt;"",TRUNC('Rate Card PJ'!U157,2),"")</f>
        <v>318.01</v>
      </c>
      <c r="C153" s="247">
        <f t="shared" si="10"/>
        <v>53425.68</v>
      </c>
      <c r="D153" s="223">
        <f t="shared" si="12"/>
        <v>349.81099999999998</v>
      </c>
      <c r="E153" s="232">
        <f t="shared" si="11"/>
        <v>58768.248</v>
      </c>
    </row>
    <row r="154" spans="1:5" x14ac:dyDescent="0.25">
      <c r="A154" s="222" t="str">
        <f>IF('Rate Card CLT'!B158&lt;&gt;"",'Rate Card PJ'!B158,"")</f>
        <v>Especialista ETL / Oracle EBS Especialista</v>
      </c>
      <c r="B154" s="223">
        <f>IF(A154&lt;&gt;"",TRUNC('Rate Card PJ'!U158,2),"")</f>
        <v>289.10000000000002</v>
      </c>
      <c r="C154" s="247">
        <f t="shared" si="10"/>
        <v>48568.800000000003</v>
      </c>
      <c r="D154" s="223">
        <f t="shared" si="12"/>
        <v>318.01000000000005</v>
      </c>
      <c r="E154" s="232">
        <f t="shared" si="11"/>
        <v>53425.680000000008</v>
      </c>
    </row>
    <row r="155" spans="1:5" x14ac:dyDescent="0.25">
      <c r="A155" s="222" t="str">
        <f>IF('Rate Card CLT'!B159&lt;&gt;"",'Rate Card PJ'!B159,"")</f>
        <v>Especialista DQ / DQA Especialista</v>
      </c>
      <c r="B155" s="223">
        <f>IF(A155&lt;&gt;"",TRUNC('Rate Card PJ'!U159,2),"")</f>
        <v>346.92</v>
      </c>
      <c r="C155" s="247">
        <f t="shared" si="10"/>
        <v>58282.560000000005</v>
      </c>
      <c r="D155" s="223">
        <f t="shared" si="12"/>
        <v>381.61200000000002</v>
      </c>
      <c r="E155" s="232">
        <f t="shared" si="11"/>
        <v>64110.816000000006</v>
      </c>
    </row>
  </sheetData>
  <autoFilter ref="A4:K155" xr:uid="{BB9447F2-F3E6-40CC-8BCC-0B366B731BA3}"/>
  <mergeCells count="3">
    <mergeCell ref="B3:C3"/>
    <mergeCell ref="A2:C2"/>
    <mergeCell ref="D3:E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6D72-37C8-437E-82BD-3091227BE623}">
  <dimension ref="B2:F151"/>
  <sheetViews>
    <sheetView workbookViewId="0">
      <selection activeCell="J26" sqref="J26"/>
    </sheetView>
  </sheetViews>
  <sheetFormatPr defaultRowHeight="15" x14ac:dyDescent="0.25"/>
  <cols>
    <col min="2" max="2" width="51.140625" bestFit="1" customWidth="1"/>
    <col min="3" max="3" width="10.5703125" bestFit="1" customWidth="1"/>
    <col min="4" max="4" width="13.28515625" bestFit="1" customWidth="1"/>
    <col min="5" max="5" width="10.5703125" bestFit="1" customWidth="1"/>
    <col min="6" max="6" width="13.28515625" bestFit="1" customWidth="1"/>
  </cols>
  <sheetData>
    <row r="2" spans="2:6" ht="21" x14ac:dyDescent="0.35">
      <c r="B2" s="251" t="s">
        <v>1466</v>
      </c>
      <c r="C2" s="251"/>
      <c r="D2" s="251"/>
      <c r="E2" s="233"/>
      <c r="F2" s="233"/>
    </row>
    <row r="3" spans="2:6" ht="15" customHeight="1" x14ac:dyDescent="0.25">
      <c r="C3" s="250" t="s">
        <v>372</v>
      </c>
      <c r="D3" s="250"/>
      <c r="E3" s="253" t="s">
        <v>371</v>
      </c>
      <c r="F3" s="253"/>
    </row>
    <row r="4" spans="2:6" ht="15" customHeight="1" x14ac:dyDescent="0.25">
      <c r="B4" s="221" t="s">
        <v>107</v>
      </c>
      <c r="C4" s="221" t="s">
        <v>375</v>
      </c>
      <c r="D4" s="221" t="s">
        <v>376</v>
      </c>
      <c r="E4" s="221" t="s">
        <v>375</v>
      </c>
      <c r="F4" s="221" t="s">
        <v>376</v>
      </c>
    </row>
    <row r="5" spans="2:6" x14ac:dyDescent="0.25">
      <c r="B5" s="222" t="s">
        <v>218</v>
      </c>
      <c r="C5" s="223">
        <v>99.38</v>
      </c>
      <c r="D5" s="247">
        <v>16695.84</v>
      </c>
      <c r="E5" s="223">
        <v>109.318</v>
      </c>
      <c r="F5" s="232">
        <v>18365.423999999999</v>
      </c>
    </row>
    <row r="6" spans="2:6" x14ac:dyDescent="0.25">
      <c r="B6" s="222" t="s">
        <v>244</v>
      </c>
      <c r="C6" s="223">
        <v>251.97</v>
      </c>
      <c r="D6" s="247">
        <v>42330.96</v>
      </c>
      <c r="E6" s="223">
        <v>277.16700000000003</v>
      </c>
      <c r="F6" s="232">
        <v>46564.056000000004</v>
      </c>
    </row>
    <row r="7" spans="2:6" x14ac:dyDescent="0.25">
      <c r="B7" s="222" t="s">
        <v>245</v>
      </c>
      <c r="C7" s="223">
        <v>152.61000000000001</v>
      </c>
      <c r="D7" s="247">
        <v>25638.480000000003</v>
      </c>
      <c r="E7" s="223">
        <v>167.87100000000001</v>
      </c>
      <c r="F7" s="232">
        <v>28202.328000000001</v>
      </c>
    </row>
    <row r="8" spans="2:6" x14ac:dyDescent="0.25">
      <c r="B8" s="222" t="s">
        <v>246</v>
      </c>
      <c r="C8" s="223">
        <v>216.49</v>
      </c>
      <c r="D8" s="247">
        <v>36370.32</v>
      </c>
      <c r="E8" s="223">
        <v>238.13900000000001</v>
      </c>
      <c r="F8" s="232">
        <v>40007.351999999999</v>
      </c>
    </row>
    <row r="9" spans="2:6" x14ac:dyDescent="0.25">
      <c r="B9" s="222" t="s">
        <v>247</v>
      </c>
      <c r="C9" s="223">
        <v>207.61</v>
      </c>
      <c r="D9" s="247">
        <v>34878.480000000003</v>
      </c>
      <c r="E9" s="223">
        <v>228.37100000000001</v>
      </c>
      <c r="F9" s="232">
        <v>38366.328000000001</v>
      </c>
    </row>
    <row r="10" spans="2:6" x14ac:dyDescent="0.25">
      <c r="B10" s="222" t="s">
        <v>248</v>
      </c>
      <c r="C10" s="223">
        <v>86.96</v>
      </c>
      <c r="D10" s="247">
        <v>14609.279999999999</v>
      </c>
      <c r="E10" s="223">
        <v>95.655999999999992</v>
      </c>
      <c r="F10" s="232">
        <v>16070.207999999999</v>
      </c>
    </row>
    <row r="11" spans="2:6" x14ac:dyDescent="0.25">
      <c r="B11" s="222" t="s">
        <v>249</v>
      </c>
      <c r="C11" s="223">
        <v>145.51</v>
      </c>
      <c r="D11" s="247">
        <v>24445.68</v>
      </c>
      <c r="E11" s="223">
        <v>160.06099999999998</v>
      </c>
      <c r="F11" s="232">
        <v>26890.247999999996</v>
      </c>
    </row>
    <row r="12" spans="2:6" x14ac:dyDescent="0.25">
      <c r="B12" s="222" t="s">
        <v>250</v>
      </c>
      <c r="C12" s="223">
        <v>181</v>
      </c>
      <c r="D12" s="247">
        <v>30408</v>
      </c>
      <c r="E12" s="223">
        <v>199.1</v>
      </c>
      <c r="F12" s="232">
        <v>33448.799999999996</v>
      </c>
    </row>
    <row r="13" spans="2:6" x14ac:dyDescent="0.25">
      <c r="B13" s="222" t="s">
        <v>251</v>
      </c>
      <c r="C13" s="223">
        <v>251.97</v>
      </c>
      <c r="D13" s="247">
        <v>42330.96</v>
      </c>
      <c r="E13" s="223">
        <v>277.16700000000003</v>
      </c>
      <c r="F13" s="232">
        <v>46564.056000000004</v>
      </c>
    </row>
    <row r="14" spans="2:6" x14ac:dyDescent="0.25">
      <c r="B14" s="222" t="s">
        <v>252</v>
      </c>
      <c r="C14" s="223">
        <v>99.38</v>
      </c>
      <c r="D14" s="247">
        <v>16695.84</v>
      </c>
      <c r="E14" s="223">
        <v>109.318</v>
      </c>
      <c r="F14" s="232">
        <v>18365.423999999999</v>
      </c>
    </row>
    <row r="15" spans="2:6" x14ac:dyDescent="0.25">
      <c r="B15" s="222" t="s">
        <v>253</v>
      </c>
      <c r="C15" s="223">
        <v>145.51</v>
      </c>
      <c r="D15" s="247">
        <v>24445.68</v>
      </c>
      <c r="E15" s="223">
        <v>160.06099999999998</v>
      </c>
      <c r="F15" s="232">
        <v>26890.247999999996</v>
      </c>
    </row>
    <row r="16" spans="2:6" x14ac:dyDescent="0.25">
      <c r="B16" s="222" t="s">
        <v>254</v>
      </c>
      <c r="C16" s="223">
        <v>207.61</v>
      </c>
      <c r="D16" s="247">
        <v>34878.480000000003</v>
      </c>
      <c r="E16" s="223">
        <v>228.37100000000001</v>
      </c>
      <c r="F16" s="232">
        <v>38366.328000000001</v>
      </c>
    </row>
    <row r="17" spans="2:6" x14ac:dyDescent="0.25">
      <c r="B17" s="222" t="s">
        <v>263</v>
      </c>
      <c r="C17" s="223">
        <v>198.74</v>
      </c>
      <c r="D17" s="247">
        <v>33388.32</v>
      </c>
      <c r="E17" s="223">
        <v>218.614</v>
      </c>
      <c r="F17" s="232">
        <v>36727.152000000002</v>
      </c>
    </row>
    <row r="18" spans="2:6" x14ac:dyDescent="0.25">
      <c r="B18" s="222" t="s">
        <v>264</v>
      </c>
      <c r="C18" s="223">
        <v>97.61</v>
      </c>
      <c r="D18" s="247">
        <v>16398.48</v>
      </c>
      <c r="E18" s="223">
        <v>107.371</v>
      </c>
      <c r="F18" s="232">
        <v>18038.327999999998</v>
      </c>
    </row>
    <row r="19" spans="2:6" x14ac:dyDescent="0.25">
      <c r="B19" s="222" t="s">
        <v>265</v>
      </c>
      <c r="C19" s="223">
        <v>145.51</v>
      </c>
      <c r="D19" s="247">
        <v>24445.68</v>
      </c>
      <c r="E19" s="223">
        <v>160.06099999999998</v>
      </c>
      <c r="F19" s="232">
        <v>26890.247999999996</v>
      </c>
    </row>
    <row r="20" spans="2:6" x14ac:dyDescent="0.25">
      <c r="B20" s="222" t="s">
        <v>266</v>
      </c>
      <c r="C20" s="223">
        <v>198.74</v>
      </c>
      <c r="D20" s="247">
        <v>33388.32</v>
      </c>
      <c r="E20" s="223">
        <v>218.614</v>
      </c>
      <c r="F20" s="232">
        <v>36727.152000000002</v>
      </c>
    </row>
    <row r="21" spans="2:6" x14ac:dyDescent="0.25">
      <c r="B21" s="222" t="s">
        <v>255</v>
      </c>
      <c r="C21" s="223">
        <v>207.61</v>
      </c>
      <c r="D21" s="247">
        <v>34878.480000000003</v>
      </c>
      <c r="E21" s="223">
        <v>228.37100000000001</v>
      </c>
      <c r="F21" s="232">
        <v>38366.328000000001</v>
      </c>
    </row>
    <row r="22" spans="2:6" x14ac:dyDescent="0.25">
      <c r="B22" s="222" t="s">
        <v>256</v>
      </c>
      <c r="C22" s="223">
        <v>86.96</v>
      </c>
      <c r="D22" s="247">
        <v>14609.279999999999</v>
      </c>
      <c r="E22" s="223">
        <v>95.655999999999992</v>
      </c>
      <c r="F22" s="232">
        <v>16070.207999999999</v>
      </c>
    </row>
    <row r="23" spans="2:6" x14ac:dyDescent="0.25">
      <c r="B23" s="222" t="s">
        <v>257</v>
      </c>
      <c r="C23" s="223">
        <v>136.63999999999999</v>
      </c>
      <c r="D23" s="247">
        <v>22955.519999999997</v>
      </c>
      <c r="E23" s="223">
        <v>150.30399999999997</v>
      </c>
      <c r="F23" s="232">
        <v>25251.071999999996</v>
      </c>
    </row>
    <row r="24" spans="2:6" x14ac:dyDescent="0.25">
      <c r="B24" s="222" t="s">
        <v>258</v>
      </c>
      <c r="C24" s="223">
        <v>189.87</v>
      </c>
      <c r="D24" s="247">
        <v>31898.16</v>
      </c>
      <c r="E24" s="223">
        <v>208.857</v>
      </c>
      <c r="F24" s="232">
        <v>35087.976000000002</v>
      </c>
    </row>
    <row r="25" spans="2:6" x14ac:dyDescent="0.25">
      <c r="B25" s="222" t="s">
        <v>1462</v>
      </c>
      <c r="C25" s="223">
        <v>225.36</v>
      </c>
      <c r="D25" s="247">
        <v>37860.480000000003</v>
      </c>
      <c r="E25" s="223">
        <v>247.89600000000002</v>
      </c>
      <c r="F25" s="232">
        <v>41646.528000000006</v>
      </c>
    </row>
    <row r="26" spans="2:6" x14ac:dyDescent="0.25">
      <c r="B26" s="222" t="s">
        <v>1463</v>
      </c>
      <c r="C26" s="223">
        <v>86.96</v>
      </c>
      <c r="D26" s="247">
        <v>14609.279999999999</v>
      </c>
      <c r="E26" s="223">
        <v>95.655999999999992</v>
      </c>
      <c r="F26" s="232">
        <v>16070.207999999999</v>
      </c>
    </row>
    <row r="27" spans="2:6" x14ac:dyDescent="0.25">
      <c r="B27" s="222" t="s">
        <v>1464</v>
      </c>
      <c r="C27" s="223">
        <v>145.51</v>
      </c>
      <c r="D27" s="247">
        <v>24445.68</v>
      </c>
      <c r="E27" s="223">
        <v>160.06099999999998</v>
      </c>
      <c r="F27" s="232">
        <v>26890.247999999996</v>
      </c>
    </row>
    <row r="28" spans="2:6" x14ac:dyDescent="0.25">
      <c r="B28" s="222" t="s">
        <v>1465</v>
      </c>
      <c r="C28" s="223">
        <v>189.87</v>
      </c>
      <c r="D28" s="247">
        <v>31898.16</v>
      </c>
      <c r="E28" s="223">
        <v>208.857</v>
      </c>
      <c r="F28" s="232">
        <v>35087.976000000002</v>
      </c>
    </row>
    <row r="29" spans="2:6" x14ac:dyDescent="0.25">
      <c r="B29" s="222" t="s">
        <v>259</v>
      </c>
      <c r="C29" s="223">
        <v>189.87</v>
      </c>
      <c r="D29" s="247">
        <v>31898.16</v>
      </c>
      <c r="E29" s="223">
        <v>208.857</v>
      </c>
      <c r="F29" s="232">
        <v>35087.976000000002</v>
      </c>
    </row>
    <row r="30" spans="2:6" x14ac:dyDescent="0.25">
      <c r="B30" s="222" t="s">
        <v>260</v>
      </c>
      <c r="C30" s="223">
        <v>74.540000000000006</v>
      </c>
      <c r="D30" s="247">
        <v>12522.720000000001</v>
      </c>
      <c r="E30" s="223">
        <v>81.994</v>
      </c>
      <c r="F30" s="232">
        <v>13774.992</v>
      </c>
    </row>
    <row r="31" spans="2:6" x14ac:dyDescent="0.25">
      <c r="B31" s="222" t="s">
        <v>261</v>
      </c>
      <c r="C31" s="223">
        <v>110.03</v>
      </c>
      <c r="D31" s="247">
        <v>18485.04</v>
      </c>
      <c r="E31" s="223">
        <v>121.033</v>
      </c>
      <c r="F31" s="232">
        <v>20333.544000000002</v>
      </c>
    </row>
    <row r="32" spans="2:6" x14ac:dyDescent="0.25">
      <c r="B32" s="222" t="s">
        <v>262</v>
      </c>
      <c r="C32" s="223">
        <v>132.56</v>
      </c>
      <c r="D32" s="247">
        <v>22270.080000000002</v>
      </c>
      <c r="E32" s="223">
        <v>145.816</v>
      </c>
      <c r="F32" s="232">
        <v>24497.088</v>
      </c>
    </row>
    <row r="33" spans="2:6" x14ac:dyDescent="0.25">
      <c r="B33" s="222" t="s">
        <v>357</v>
      </c>
      <c r="C33" s="223">
        <v>207.61</v>
      </c>
      <c r="D33" s="247">
        <v>34878.480000000003</v>
      </c>
      <c r="E33" s="223">
        <v>228.37100000000001</v>
      </c>
      <c r="F33" s="232">
        <v>38366.328000000001</v>
      </c>
    </row>
    <row r="34" spans="2:6" x14ac:dyDescent="0.25">
      <c r="B34" s="222" t="s">
        <v>358</v>
      </c>
      <c r="C34" s="223">
        <v>83.42</v>
      </c>
      <c r="D34" s="247">
        <v>14014.56</v>
      </c>
      <c r="E34" s="223">
        <v>91.762</v>
      </c>
      <c r="F34" s="232">
        <v>15416.016</v>
      </c>
    </row>
    <row r="35" spans="2:6" x14ac:dyDescent="0.25">
      <c r="B35" s="222" t="s">
        <v>359</v>
      </c>
      <c r="C35" s="223">
        <v>118.9</v>
      </c>
      <c r="D35" s="247">
        <v>19975.2</v>
      </c>
      <c r="E35" s="223">
        <v>130.79000000000002</v>
      </c>
      <c r="F35" s="232">
        <v>21972.720000000005</v>
      </c>
    </row>
    <row r="36" spans="2:6" x14ac:dyDescent="0.25">
      <c r="B36" s="222" t="s">
        <v>360</v>
      </c>
      <c r="C36" s="223">
        <v>154.38999999999999</v>
      </c>
      <c r="D36" s="247">
        <v>25937.519999999997</v>
      </c>
      <c r="E36" s="223">
        <v>169.82899999999998</v>
      </c>
      <c r="F36" s="232">
        <v>28531.271999999997</v>
      </c>
    </row>
    <row r="37" spans="2:6" x14ac:dyDescent="0.25">
      <c r="B37" s="222" t="s">
        <v>342</v>
      </c>
      <c r="C37" s="223">
        <v>269.70999999999998</v>
      </c>
      <c r="D37" s="247">
        <v>45311.28</v>
      </c>
      <c r="E37" s="223">
        <v>296.68099999999998</v>
      </c>
      <c r="F37" s="232">
        <v>49842.407999999996</v>
      </c>
    </row>
    <row r="38" spans="2:6" x14ac:dyDescent="0.25">
      <c r="B38" s="222" t="s">
        <v>343</v>
      </c>
      <c r="C38" s="223">
        <v>110.03</v>
      </c>
      <c r="D38" s="247">
        <v>18485.04</v>
      </c>
      <c r="E38" s="223">
        <v>121.033</v>
      </c>
      <c r="F38" s="232">
        <v>20333.544000000002</v>
      </c>
    </row>
    <row r="39" spans="2:6" x14ac:dyDescent="0.25">
      <c r="B39" s="222" t="s">
        <v>344</v>
      </c>
      <c r="C39" s="223">
        <v>163.26</v>
      </c>
      <c r="D39" s="247">
        <v>27427.68</v>
      </c>
      <c r="E39" s="223">
        <v>179.58599999999998</v>
      </c>
      <c r="F39" s="232">
        <v>30170.447999999997</v>
      </c>
    </row>
    <row r="40" spans="2:6" x14ac:dyDescent="0.25">
      <c r="B40" s="222" t="s">
        <v>345</v>
      </c>
      <c r="C40" s="223">
        <v>243.1</v>
      </c>
      <c r="D40" s="247">
        <v>40840.799999999996</v>
      </c>
      <c r="E40" s="223">
        <v>267.40999999999997</v>
      </c>
      <c r="F40" s="232">
        <v>44924.88</v>
      </c>
    </row>
    <row r="41" spans="2:6" x14ac:dyDescent="0.25">
      <c r="B41" s="222" t="s">
        <v>339</v>
      </c>
      <c r="C41" s="223">
        <v>74.540000000000006</v>
      </c>
      <c r="D41" s="247">
        <v>12522.720000000001</v>
      </c>
      <c r="E41" s="223">
        <v>81.994</v>
      </c>
      <c r="F41" s="232">
        <v>13774.992</v>
      </c>
    </row>
    <row r="42" spans="2:6" x14ac:dyDescent="0.25">
      <c r="B42" s="222" t="s">
        <v>340</v>
      </c>
      <c r="C42" s="223">
        <v>97.61</v>
      </c>
      <c r="D42" s="247">
        <v>16398.48</v>
      </c>
      <c r="E42" s="223">
        <v>107.371</v>
      </c>
      <c r="F42" s="232">
        <v>18038.327999999998</v>
      </c>
    </row>
    <row r="43" spans="2:6" x14ac:dyDescent="0.25">
      <c r="B43" s="222" t="s">
        <v>341</v>
      </c>
      <c r="C43" s="223">
        <v>154.38999999999999</v>
      </c>
      <c r="D43" s="247">
        <v>25937.519999999997</v>
      </c>
      <c r="E43" s="223">
        <v>169.82899999999998</v>
      </c>
      <c r="F43" s="232">
        <v>28531.271999999997</v>
      </c>
    </row>
    <row r="44" spans="2:6" x14ac:dyDescent="0.25">
      <c r="B44" s="222" t="s">
        <v>267</v>
      </c>
      <c r="C44" s="223">
        <v>53.25</v>
      </c>
      <c r="D44" s="247">
        <v>8946</v>
      </c>
      <c r="E44" s="223">
        <v>58.575000000000003</v>
      </c>
      <c r="F44" s="232">
        <v>9840.6</v>
      </c>
    </row>
    <row r="45" spans="2:6" x14ac:dyDescent="0.25">
      <c r="B45" s="222" t="s">
        <v>268</v>
      </c>
      <c r="C45" s="223">
        <v>72.77</v>
      </c>
      <c r="D45" s="247">
        <v>12225.359999999999</v>
      </c>
      <c r="E45" s="223">
        <v>80.046999999999997</v>
      </c>
      <c r="F45" s="232">
        <v>13447.895999999999</v>
      </c>
    </row>
    <row r="46" spans="2:6" x14ac:dyDescent="0.25">
      <c r="B46" s="222" t="s">
        <v>269</v>
      </c>
      <c r="C46" s="223">
        <v>105.59</v>
      </c>
      <c r="D46" s="247">
        <v>17739.12</v>
      </c>
      <c r="E46" s="223">
        <v>116.149</v>
      </c>
      <c r="F46" s="232">
        <v>19513.031999999999</v>
      </c>
    </row>
    <row r="47" spans="2:6" x14ac:dyDescent="0.25">
      <c r="B47" s="222" t="s">
        <v>270</v>
      </c>
      <c r="C47" s="223">
        <v>65.67</v>
      </c>
      <c r="D47" s="247">
        <v>11032.56</v>
      </c>
      <c r="E47" s="223">
        <v>72.236999999999995</v>
      </c>
      <c r="F47" s="232">
        <v>12135.815999999999</v>
      </c>
    </row>
    <row r="48" spans="2:6" x14ac:dyDescent="0.25">
      <c r="B48" s="222" t="s">
        <v>271</v>
      </c>
      <c r="C48" s="223">
        <v>83.42</v>
      </c>
      <c r="D48" s="247">
        <v>14014.56</v>
      </c>
      <c r="E48" s="223">
        <v>91.762</v>
      </c>
      <c r="F48" s="232">
        <v>15416.016</v>
      </c>
    </row>
    <row r="49" spans="2:6" x14ac:dyDescent="0.25">
      <c r="B49" s="222" t="s">
        <v>272</v>
      </c>
      <c r="C49" s="223">
        <v>110.03</v>
      </c>
      <c r="D49" s="247">
        <v>18485.04</v>
      </c>
      <c r="E49" s="223">
        <v>121.033</v>
      </c>
      <c r="F49" s="232">
        <v>20333.544000000002</v>
      </c>
    </row>
    <row r="50" spans="2:6" x14ac:dyDescent="0.25">
      <c r="B50" s="222" t="s">
        <v>1446</v>
      </c>
      <c r="C50" s="223">
        <v>104.71</v>
      </c>
      <c r="D50" s="247">
        <v>17591.28</v>
      </c>
      <c r="E50" s="223">
        <v>115.181</v>
      </c>
      <c r="F50" s="232">
        <v>19350.407999999999</v>
      </c>
    </row>
    <row r="51" spans="2:6" x14ac:dyDescent="0.25">
      <c r="B51" s="222" t="s">
        <v>1447</v>
      </c>
      <c r="C51" s="223">
        <v>173.9</v>
      </c>
      <c r="D51" s="247">
        <v>29215.200000000001</v>
      </c>
      <c r="E51" s="223">
        <v>191.29000000000002</v>
      </c>
      <c r="F51" s="232">
        <v>32136.720000000005</v>
      </c>
    </row>
    <row r="52" spans="2:6" x14ac:dyDescent="0.25">
      <c r="B52" s="222" t="s">
        <v>1448</v>
      </c>
      <c r="C52" s="223">
        <v>225.36</v>
      </c>
      <c r="D52" s="247">
        <v>37860.480000000003</v>
      </c>
      <c r="E52" s="223">
        <v>247.89600000000002</v>
      </c>
      <c r="F52" s="232">
        <v>41646.528000000006</v>
      </c>
    </row>
    <row r="53" spans="2:6" x14ac:dyDescent="0.25">
      <c r="B53" s="222" t="s">
        <v>273</v>
      </c>
      <c r="C53" s="223">
        <v>181</v>
      </c>
      <c r="D53" s="247">
        <v>30408</v>
      </c>
      <c r="E53" s="223">
        <v>199.1</v>
      </c>
      <c r="F53" s="232">
        <v>33448.799999999996</v>
      </c>
    </row>
    <row r="54" spans="2:6" x14ac:dyDescent="0.25">
      <c r="B54" s="222" t="s">
        <v>274</v>
      </c>
      <c r="C54" s="223">
        <v>83.42</v>
      </c>
      <c r="D54" s="247">
        <v>14014.56</v>
      </c>
      <c r="E54" s="223">
        <v>91.762</v>
      </c>
      <c r="F54" s="232">
        <v>15416.016</v>
      </c>
    </row>
    <row r="55" spans="2:6" x14ac:dyDescent="0.25">
      <c r="B55" s="222" t="s">
        <v>275</v>
      </c>
      <c r="C55" s="223">
        <v>110.03</v>
      </c>
      <c r="D55" s="247">
        <v>18485.04</v>
      </c>
      <c r="E55" s="223">
        <v>121.033</v>
      </c>
      <c r="F55" s="232">
        <v>20333.544000000002</v>
      </c>
    </row>
    <row r="56" spans="2:6" x14ac:dyDescent="0.25">
      <c r="B56" s="222" t="s">
        <v>276</v>
      </c>
      <c r="C56" s="223">
        <v>140.19</v>
      </c>
      <c r="D56" s="247">
        <v>23551.919999999998</v>
      </c>
      <c r="E56" s="223">
        <v>154.209</v>
      </c>
      <c r="F56" s="232">
        <v>25907.112000000001</v>
      </c>
    </row>
    <row r="57" spans="2:6" x14ac:dyDescent="0.25">
      <c r="B57" s="222" t="s">
        <v>277</v>
      </c>
      <c r="C57" s="223">
        <v>269.70999999999998</v>
      </c>
      <c r="D57" s="247">
        <v>45311.28</v>
      </c>
      <c r="E57" s="223">
        <v>296.68099999999998</v>
      </c>
      <c r="F57" s="232">
        <v>49842.407999999996</v>
      </c>
    </row>
    <row r="58" spans="2:6" x14ac:dyDescent="0.25">
      <c r="B58" s="222" t="s">
        <v>278</v>
      </c>
      <c r="C58" s="223">
        <v>172.13</v>
      </c>
      <c r="D58" s="247">
        <v>28917.84</v>
      </c>
      <c r="E58" s="223">
        <v>189.34299999999999</v>
      </c>
      <c r="F58" s="232">
        <v>31809.624</v>
      </c>
    </row>
    <row r="59" spans="2:6" x14ac:dyDescent="0.25">
      <c r="B59" s="222" t="s">
        <v>279</v>
      </c>
      <c r="C59" s="223">
        <v>236</v>
      </c>
      <c r="D59" s="247">
        <v>39648</v>
      </c>
      <c r="E59" s="223">
        <v>259.60000000000002</v>
      </c>
      <c r="F59" s="232">
        <v>43612.800000000003</v>
      </c>
    </row>
    <row r="60" spans="2:6" x14ac:dyDescent="0.25">
      <c r="B60" s="222" t="s">
        <v>280</v>
      </c>
      <c r="C60" s="223">
        <v>269.70999999999998</v>
      </c>
      <c r="D60" s="247">
        <v>45311.28</v>
      </c>
      <c r="E60" s="223">
        <v>296.68099999999998</v>
      </c>
      <c r="F60" s="232">
        <v>49842.407999999996</v>
      </c>
    </row>
    <row r="61" spans="2:6" x14ac:dyDescent="0.25">
      <c r="B61" s="222" t="s">
        <v>281</v>
      </c>
      <c r="C61" s="223">
        <v>172.13</v>
      </c>
      <c r="D61" s="247">
        <v>28917.84</v>
      </c>
      <c r="E61" s="223">
        <v>189.34299999999999</v>
      </c>
      <c r="F61" s="232">
        <v>31809.624</v>
      </c>
    </row>
    <row r="62" spans="2:6" x14ac:dyDescent="0.25">
      <c r="B62" s="222" t="s">
        <v>282</v>
      </c>
      <c r="C62" s="223">
        <v>236</v>
      </c>
      <c r="D62" s="247">
        <v>39648</v>
      </c>
      <c r="E62" s="223">
        <v>259.60000000000002</v>
      </c>
      <c r="F62" s="232">
        <v>43612.800000000003</v>
      </c>
    </row>
    <row r="63" spans="2:6" x14ac:dyDescent="0.25">
      <c r="B63" s="222" t="s">
        <v>283</v>
      </c>
      <c r="C63" s="223">
        <v>264.39</v>
      </c>
      <c r="D63" s="247">
        <v>44417.52</v>
      </c>
      <c r="E63" s="223">
        <v>290.82900000000001</v>
      </c>
      <c r="F63" s="232">
        <v>48859.272000000004</v>
      </c>
    </row>
    <row r="64" spans="2:6" x14ac:dyDescent="0.25">
      <c r="B64" s="222" t="s">
        <v>284</v>
      </c>
      <c r="C64" s="223">
        <v>104.71</v>
      </c>
      <c r="D64" s="247">
        <v>17591.28</v>
      </c>
      <c r="E64" s="223">
        <v>115.181</v>
      </c>
      <c r="F64" s="232">
        <v>19350.407999999999</v>
      </c>
    </row>
    <row r="65" spans="2:6" x14ac:dyDescent="0.25">
      <c r="B65" s="222" t="s">
        <v>285</v>
      </c>
      <c r="C65" s="223">
        <v>157.93</v>
      </c>
      <c r="D65" s="247">
        <v>26532.240000000002</v>
      </c>
      <c r="E65" s="223">
        <v>173.72300000000001</v>
      </c>
      <c r="F65" s="232">
        <v>29185.464000000004</v>
      </c>
    </row>
    <row r="66" spans="2:6" x14ac:dyDescent="0.25">
      <c r="B66" s="222" t="s">
        <v>286</v>
      </c>
      <c r="C66" s="223">
        <v>234.23</v>
      </c>
      <c r="D66" s="247">
        <v>39350.639999999999</v>
      </c>
      <c r="E66" s="223">
        <v>257.65300000000002</v>
      </c>
      <c r="F66" s="232">
        <v>43285.704000000005</v>
      </c>
    </row>
    <row r="67" spans="2:6" x14ac:dyDescent="0.25">
      <c r="B67" s="222" t="s">
        <v>1456</v>
      </c>
      <c r="C67" s="223">
        <v>438.27</v>
      </c>
      <c r="D67" s="247">
        <v>73629.36</v>
      </c>
      <c r="E67" s="223">
        <v>482.09699999999998</v>
      </c>
      <c r="F67" s="232">
        <v>80992.296000000002</v>
      </c>
    </row>
    <row r="68" spans="2:6" x14ac:dyDescent="0.25">
      <c r="B68" s="222" t="s">
        <v>1457</v>
      </c>
      <c r="C68" s="223">
        <v>111.8</v>
      </c>
      <c r="D68" s="247">
        <v>18782.399999999998</v>
      </c>
      <c r="E68" s="223">
        <v>122.97999999999999</v>
      </c>
      <c r="F68" s="232">
        <v>20660.64</v>
      </c>
    </row>
    <row r="69" spans="2:6" x14ac:dyDescent="0.25">
      <c r="B69" s="222" t="s">
        <v>1458</v>
      </c>
      <c r="C69" s="223">
        <v>207.61</v>
      </c>
      <c r="D69" s="247">
        <v>34878.480000000003</v>
      </c>
      <c r="E69" s="223">
        <v>228.37100000000001</v>
      </c>
      <c r="F69" s="232">
        <v>38366.328000000001</v>
      </c>
    </row>
    <row r="70" spans="2:6" x14ac:dyDescent="0.25">
      <c r="B70" s="222" t="s">
        <v>1459</v>
      </c>
      <c r="C70" s="223">
        <v>367.3</v>
      </c>
      <c r="D70" s="247">
        <v>61706.400000000001</v>
      </c>
      <c r="E70" s="223">
        <v>404.03000000000003</v>
      </c>
      <c r="F70" s="232">
        <v>67877.040000000008</v>
      </c>
    </row>
    <row r="71" spans="2:6" x14ac:dyDescent="0.25">
      <c r="B71" s="222" t="s">
        <v>1441</v>
      </c>
      <c r="C71" s="223">
        <v>509.24</v>
      </c>
      <c r="D71" s="247">
        <v>85552.320000000007</v>
      </c>
      <c r="E71" s="223">
        <v>560.16399999999999</v>
      </c>
      <c r="F71" s="232">
        <v>94107.551999999996</v>
      </c>
    </row>
    <row r="72" spans="2:6" x14ac:dyDescent="0.25">
      <c r="B72" s="222" t="s">
        <v>1442</v>
      </c>
      <c r="C72" s="223">
        <v>163.26</v>
      </c>
      <c r="D72" s="247">
        <v>27427.68</v>
      </c>
      <c r="E72" s="223">
        <v>179.58599999999998</v>
      </c>
      <c r="F72" s="232">
        <v>30170.447999999997</v>
      </c>
    </row>
    <row r="73" spans="2:6" x14ac:dyDescent="0.25">
      <c r="B73" s="222" t="s">
        <v>1443</v>
      </c>
      <c r="C73" s="223">
        <v>278.58</v>
      </c>
      <c r="D73" s="247">
        <v>46801.439999999995</v>
      </c>
      <c r="E73" s="223">
        <v>306.43799999999999</v>
      </c>
      <c r="F73" s="232">
        <v>51481.583999999995</v>
      </c>
    </row>
    <row r="74" spans="2:6" x14ac:dyDescent="0.25">
      <c r="B74" s="222" t="s">
        <v>1444</v>
      </c>
      <c r="C74" s="223">
        <v>385.04</v>
      </c>
      <c r="D74" s="247">
        <v>64686.720000000001</v>
      </c>
      <c r="E74" s="223">
        <v>423.54400000000004</v>
      </c>
      <c r="F74" s="232">
        <v>71155.392000000007</v>
      </c>
    </row>
    <row r="75" spans="2:6" x14ac:dyDescent="0.25">
      <c r="B75" s="222" t="s">
        <v>1450</v>
      </c>
      <c r="C75" s="223">
        <v>509.24</v>
      </c>
      <c r="D75" s="247">
        <v>85552.320000000007</v>
      </c>
      <c r="E75" s="223">
        <v>560.16399999999999</v>
      </c>
      <c r="F75" s="232">
        <v>94107.551999999996</v>
      </c>
    </row>
    <row r="76" spans="2:6" x14ac:dyDescent="0.25">
      <c r="B76" s="222" t="s">
        <v>1451</v>
      </c>
      <c r="C76" s="223">
        <v>172.13</v>
      </c>
      <c r="D76" s="247">
        <v>28917.84</v>
      </c>
      <c r="E76" s="223">
        <v>189.34299999999999</v>
      </c>
      <c r="F76" s="232">
        <v>31809.624</v>
      </c>
    </row>
    <row r="77" spans="2:6" x14ac:dyDescent="0.25">
      <c r="B77" s="222" t="s">
        <v>1452</v>
      </c>
      <c r="C77" s="223">
        <v>306.97000000000003</v>
      </c>
      <c r="D77" s="247">
        <v>51570.960000000006</v>
      </c>
      <c r="E77" s="223">
        <v>337.66700000000003</v>
      </c>
      <c r="F77" s="232">
        <v>56728.056000000004</v>
      </c>
    </row>
    <row r="78" spans="2:6" x14ac:dyDescent="0.25">
      <c r="B78" s="222" t="s">
        <v>1453</v>
      </c>
      <c r="C78" s="223">
        <v>399.23</v>
      </c>
      <c r="D78" s="247">
        <v>67070.64</v>
      </c>
      <c r="E78" s="223">
        <v>439.15300000000002</v>
      </c>
      <c r="F78" s="232">
        <v>73777.703999999998</v>
      </c>
    </row>
    <row r="79" spans="2:6" x14ac:dyDescent="0.25">
      <c r="B79" s="222" t="s">
        <v>1437</v>
      </c>
      <c r="C79" s="223">
        <v>526.98</v>
      </c>
      <c r="D79" s="247">
        <v>88532.64</v>
      </c>
      <c r="E79" s="223">
        <v>579.678</v>
      </c>
      <c r="F79" s="232">
        <v>97385.903999999995</v>
      </c>
    </row>
    <row r="80" spans="2:6" x14ac:dyDescent="0.25">
      <c r="B80" s="222" t="s">
        <v>1438</v>
      </c>
      <c r="C80" s="223">
        <v>168.58</v>
      </c>
      <c r="D80" s="247">
        <v>28321.440000000002</v>
      </c>
      <c r="E80" s="223">
        <v>185.43800000000002</v>
      </c>
      <c r="F80" s="232">
        <v>31153.584000000003</v>
      </c>
    </row>
    <row r="81" spans="2:6" x14ac:dyDescent="0.25">
      <c r="B81" s="222" t="s">
        <v>1439</v>
      </c>
      <c r="C81" s="223">
        <v>287.45999999999998</v>
      </c>
      <c r="D81" s="247">
        <v>48293.279999999999</v>
      </c>
      <c r="E81" s="223">
        <v>316.20599999999996</v>
      </c>
      <c r="F81" s="232">
        <v>53122.607999999993</v>
      </c>
    </row>
    <row r="82" spans="2:6" x14ac:dyDescent="0.25">
      <c r="B82" s="222" t="s">
        <v>1440</v>
      </c>
      <c r="C82" s="223">
        <v>385.04</v>
      </c>
      <c r="D82" s="247">
        <v>64686.720000000001</v>
      </c>
      <c r="E82" s="223">
        <v>423.54400000000004</v>
      </c>
      <c r="F82" s="232">
        <v>71155.392000000007</v>
      </c>
    </row>
    <row r="83" spans="2:6" x14ac:dyDescent="0.25">
      <c r="B83" s="222" t="s">
        <v>1433</v>
      </c>
      <c r="C83" s="223">
        <v>456.01</v>
      </c>
      <c r="D83" s="247">
        <v>76609.679999999993</v>
      </c>
      <c r="E83" s="223">
        <v>501.61099999999999</v>
      </c>
      <c r="F83" s="232">
        <v>84270.648000000001</v>
      </c>
    </row>
    <row r="84" spans="2:6" x14ac:dyDescent="0.25">
      <c r="B84" s="222" t="s">
        <v>1434</v>
      </c>
      <c r="C84" s="223">
        <v>157.93</v>
      </c>
      <c r="D84" s="247">
        <v>26532.240000000002</v>
      </c>
      <c r="E84" s="223">
        <v>173.72300000000001</v>
      </c>
      <c r="F84" s="232">
        <v>29185.464000000004</v>
      </c>
    </row>
    <row r="85" spans="2:6" x14ac:dyDescent="0.25">
      <c r="B85" s="222" t="s">
        <v>1435</v>
      </c>
      <c r="C85" s="223">
        <v>260.83999999999997</v>
      </c>
      <c r="D85" s="247">
        <v>43821.119999999995</v>
      </c>
      <c r="E85" s="223">
        <v>286.92399999999998</v>
      </c>
      <c r="F85" s="232">
        <v>48203.231999999996</v>
      </c>
    </row>
    <row r="86" spans="2:6" x14ac:dyDescent="0.25">
      <c r="B86" s="222" t="s">
        <v>1436</v>
      </c>
      <c r="C86" s="223">
        <v>376.17</v>
      </c>
      <c r="D86" s="247">
        <v>63196.560000000005</v>
      </c>
      <c r="E86" s="223">
        <v>413.78700000000003</v>
      </c>
      <c r="F86" s="232">
        <v>69516.216</v>
      </c>
    </row>
    <row r="87" spans="2:6" x14ac:dyDescent="0.25">
      <c r="B87" s="222" t="s">
        <v>1429</v>
      </c>
      <c r="C87" s="223">
        <v>456.01</v>
      </c>
      <c r="D87" s="247">
        <v>76609.679999999993</v>
      </c>
      <c r="E87" s="223">
        <v>501.61099999999999</v>
      </c>
      <c r="F87" s="232">
        <v>84270.648000000001</v>
      </c>
    </row>
    <row r="88" spans="2:6" x14ac:dyDescent="0.25">
      <c r="B88" s="225" t="s">
        <v>1430</v>
      </c>
      <c r="C88" s="226">
        <v>154.38999999999999</v>
      </c>
      <c r="D88" s="247">
        <v>25937.519999999997</v>
      </c>
      <c r="E88" s="223">
        <v>169.82899999999998</v>
      </c>
      <c r="F88" s="232">
        <v>28531.271999999997</v>
      </c>
    </row>
    <row r="89" spans="2:6" x14ac:dyDescent="0.25">
      <c r="B89" s="222" t="s">
        <v>1431</v>
      </c>
      <c r="C89" s="223">
        <v>260.83999999999997</v>
      </c>
      <c r="D89" s="247">
        <v>43821.119999999995</v>
      </c>
      <c r="E89" s="223">
        <v>286.92399999999998</v>
      </c>
      <c r="F89" s="232">
        <v>48203.231999999996</v>
      </c>
    </row>
    <row r="90" spans="2:6" x14ac:dyDescent="0.25">
      <c r="B90" s="222" t="s">
        <v>1432</v>
      </c>
      <c r="C90" s="223">
        <v>376.17</v>
      </c>
      <c r="D90" s="247">
        <v>63196.560000000005</v>
      </c>
      <c r="E90" s="223">
        <v>413.78700000000003</v>
      </c>
      <c r="F90" s="232">
        <v>69516.216</v>
      </c>
    </row>
    <row r="91" spans="2:6" x14ac:dyDescent="0.25">
      <c r="B91" s="222" t="s">
        <v>370</v>
      </c>
      <c r="C91" s="223">
        <v>278.58</v>
      </c>
      <c r="D91" s="247">
        <v>46801.439999999995</v>
      </c>
      <c r="E91" s="223">
        <v>306.43799999999999</v>
      </c>
      <c r="F91" s="232">
        <v>51481.583999999995</v>
      </c>
    </row>
    <row r="92" spans="2:6" x14ac:dyDescent="0.25">
      <c r="B92" s="222" t="s">
        <v>365</v>
      </c>
      <c r="C92" s="223">
        <v>260.83999999999997</v>
      </c>
      <c r="D92" s="247">
        <v>43821.119999999995</v>
      </c>
      <c r="E92" s="223">
        <v>286.92399999999998</v>
      </c>
      <c r="F92" s="232">
        <v>48203.231999999996</v>
      </c>
    </row>
    <row r="93" spans="2:6" x14ac:dyDescent="0.25">
      <c r="B93" s="222" t="s">
        <v>366</v>
      </c>
      <c r="C93" s="223">
        <v>83.42</v>
      </c>
      <c r="D93" s="247">
        <v>14014.56</v>
      </c>
      <c r="E93" s="223">
        <v>91.762</v>
      </c>
      <c r="F93" s="232">
        <v>15416.016</v>
      </c>
    </row>
    <row r="94" spans="2:6" x14ac:dyDescent="0.25">
      <c r="B94" s="222" t="s">
        <v>367</v>
      </c>
      <c r="C94" s="223">
        <v>127.77</v>
      </c>
      <c r="D94" s="247">
        <v>21465.360000000001</v>
      </c>
      <c r="E94" s="223">
        <v>140.547</v>
      </c>
      <c r="F94" s="232">
        <v>23611.896000000001</v>
      </c>
    </row>
    <row r="95" spans="2:6" x14ac:dyDescent="0.25">
      <c r="B95" s="222" t="s">
        <v>368</v>
      </c>
      <c r="C95" s="223">
        <v>172.13</v>
      </c>
      <c r="D95" s="247">
        <v>28917.84</v>
      </c>
      <c r="E95" s="223">
        <v>189.34299999999999</v>
      </c>
      <c r="F95" s="232">
        <v>31809.624</v>
      </c>
    </row>
    <row r="96" spans="2:6" x14ac:dyDescent="0.25">
      <c r="B96" s="222" t="s">
        <v>287</v>
      </c>
      <c r="C96" s="223">
        <v>243.1</v>
      </c>
      <c r="D96" s="247">
        <v>40840.799999999996</v>
      </c>
      <c r="E96" s="223">
        <v>267.40999999999997</v>
      </c>
      <c r="F96" s="232">
        <v>44924.88</v>
      </c>
    </row>
    <row r="97" spans="2:6" x14ac:dyDescent="0.25">
      <c r="B97" s="222" t="s">
        <v>288</v>
      </c>
      <c r="C97" s="223">
        <v>99.38</v>
      </c>
      <c r="D97" s="247">
        <v>16695.84</v>
      </c>
      <c r="E97" s="223">
        <v>109.318</v>
      </c>
      <c r="F97" s="232">
        <v>18365.423999999999</v>
      </c>
    </row>
    <row r="98" spans="2:6" x14ac:dyDescent="0.25">
      <c r="B98" s="222" t="s">
        <v>289</v>
      </c>
      <c r="C98" s="223">
        <v>172.13</v>
      </c>
      <c r="D98" s="247">
        <v>28917.84</v>
      </c>
      <c r="E98" s="223">
        <v>189.34299999999999</v>
      </c>
      <c r="F98" s="232">
        <v>31809.624</v>
      </c>
    </row>
    <row r="99" spans="2:6" x14ac:dyDescent="0.25">
      <c r="B99" s="222" t="s">
        <v>290</v>
      </c>
      <c r="C99" s="223">
        <v>207.61</v>
      </c>
      <c r="D99" s="247">
        <v>34878.480000000003</v>
      </c>
      <c r="E99" s="223">
        <v>228.37100000000001</v>
      </c>
      <c r="F99" s="232">
        <v>38366.328000000001</v>
      </c>
    </row>
    <row r="100" spans="2:6" x14ac:dyDescent="0.25">
      <c r="B100" s="222" t="s">
        <v>291</v>
      </c>
      <c r="C100" s="223">
        <v>243.1</v>
      </c>
      <c r="D100" s="247">
        <v>40840.799999999996</v>
      </c>
      <c r="E100" s="223">
        <v>267.40999999999997</v>
      </c>
      <c r="F100" s="232">
        <v>44924.88</v>
      </c>
    </row>
    <row r="101" spans="2:6" x14ac:dyDescent="0.25">
      <c r="B101" s="222" t="s">
        <v>292</v>
      </c>
      <c r="C101" s="223">
        <v>99.38</v>
      </c>
      <c r="D101" s="247">
        <v>16695.84</v>
      </c>
      <c r="E101" s="223">
        <v>109.318</v>
      </c>
      <c r="F101" s="232">
        <v>18365.423999999999</v>
      </c>
    </row>
    <row r="102" spans="2:6" x14ac:dyDescent="0.25">
      <c r="B102" s="222" t="s">
        <v>293</v>
      </c>
      <c r="C102" s="223">
        <v>172.13</v>
      </c>
      <c r="D102" s="247">
        <v>28917.84</v>
      </c>
      <c r="E102" s="223">
        <v>189.34299999999999</v>
      </c>
      <c r="F102" s="232">
        <v>31809.624</v>
      </c>
    </row>
    <row r="103" spans="2:6" x14ac:dyDescent="0.25">
      <c r="B103" s="222" t="s">
        <v>294</v>
      </c>
      <c r="C103" s="223">
        <v>207.61</v>
      </c>
      <c r="D103" s="247">
        <v>34878.480000000003</v>
      </c>
      <c r="E103" s="223">
        <v>228.37100000000001</v>
      </c>
      <c r="F103" s="232">
        <v>38366.328000000001</v>
      </c>
    </row>
    <row r="104" spans="2:6" x14ac:dyDescent="0.25">
      <c r="B104" s="222" t="s">
        <v>295</v>
      </c>
      <c r="C104" s="223">
        <v>253.74</v>
      </c>
      <c r="D104" s="247">
        <v>42628.32</v>
      </c>
      <c r="E104" s="223">
        <v>279.11400000000003</v>
      </c>
      <c r="F104" s="232">
        <v>46891.152000000002</v>
      </c>
    </row>
    <row r="105" spans="2:6" x14ac:dyDescent="0.25">
      <c r="B105" s="222" t="s">
        <v>296</v>
      </c>
      <c r="C105" s="223">
        <v>99.38</v>
      </c>
      <c r="D105" s="247">
        <v>16695.84</v>
      </c>
      <c r="E105" s="223">
        <v>109.318</v>
      </c>
      <c r="F105" s="232">
        <v>18365.423999999999</v>
      </c>
    </row>
    <row r="106" spans="2:6" x14ac:dyDescent="0.25">
      <c r="B106" s="222" t="s">
        <v>297</v>
      </c>
      <c r="C106" s="223">
        <v>179.23</v>
      </c>
      <c r="D106" s="247">
        <v>30110.639999999999</v>
      </c>
      <c r="E106" s="223">
        <v>197.15299999999999</v>
      </c>
      <c r="F106" s="232">
        <v>33121.703999999998</v>
      </c>
    </row>
    <row r="107" spans="2:6" x14ac:dyDescent="0.25">
      <c r="B107" s="222" t="s">
        <v>298</v>
      </c>
      <c r="C107" s="223">
        <v>216.49</v>
      </c>
      <c r="D107" s="247">
        <v>36370.32</v>
      </c>
      <c r="E107" s="223">
        <v>238.13900000000001</v>
      </c>
      <c r="F107" s="232">
        <v>40007.351999999999</v>
      </c>
    </row>
    <row r="108" spans="2:6" x14ac:dyDescent="0.25">
      <c r="B108" s="222" t="s">
        <v>299</v>
      </c>
      <c r="C108" s="223">
        <v>253.74</v>
      </c>
      <c r="D108" s="247">
        <v>42628.32</v>
      </c>
      <c r="E108" s="223">
        <v>279.11400000000003</v>
      </c>
      <c r="F108" s="232">
        <v>46891.152000000002</v>
      </c>
    </row>
    <row r="109" spans="2:6" x14ac:dyDescent="0.25">
      <c r="B109" s="222" t="s">
        <v>300</v>
      </c>
      <c r="C109" s="223">
        <v>99.38</v>
      </c>
      <c r="D109" s="247">
        <v>16695.84</v>
      </c>
      <c r="E109" s="223">
        <v>109.318</v>
      </c>
      <c r="F109" s="232">
        <v>18365.423999999999</v>
      </c>
    </row>
    <row r="110" spans="2:6" x14ac:dyDescent="0.25">
      <c r="B110" s="222" t="s">
        <v>301</v>
      </c>
      <c r="C110" s="223">
        <v>179.23</v>
      </c>
      <c r="D110" s="247">
        <v>30110.639999999999</v>
      </c>
      <c r="E110" s="223">
        <v>197.15299999999999</v>
      </c>
      <c r="F110" s="232">
        <v>33121.703999999998</v>
      </c>
    </row>
    <row r="111" spans="2:6" x14ac:dyDescent="0.25">
      <c r="B111" s="222" t="s">
        <v>302</v>
      </c>
      <c r="C111" s="223">
        <v>216.49</v>
      </c>
      <c r="D111" s="247">
        <v>36370.32</v>
      </c>
      <c r="E111" s="223">
        <v>238.13900000000001</v>
      </c>
      <c r="F111" s="232">
        <v>40007.351999999999</v>
      </c>
    </row>
    <row r="112" spans="2:6" x14ac:dyDescent="0.25">
      <c r="B112" s="222" t="s">
        <v>303</v>
      </c>
      <c r="C112" s="223">
        <v>207.61</v>
      </c>
      <c r="D112" s="247">
        <v>34878.480000000003</v>
      </c>
      <c r="E112" s="223">
        <v>228.37100000000001</v>
      </c>
      <c r="F112" s="232">
        <v>38366.328000000001</v>
      </c>
    </row>
    <row r="113" spans="2:6" x14ac:dyDescent="0.25">
      <c r="B113" s="222" t="s">
        <v>304</v>
      </c>
      <c r="C113" s="223">
        <v>92.29</v>
      </c>
      <c r="D113" s="247">
        <v>15504.720000000001</v>
      </c>
      <c r="E113" s="223">
        <v>101.51900000000001</v>
      </c>
      <c r="F113" s="232">
        <v>17055.192000000003</v>
      </c>
    </row>
    <row r="114" spans="2:6" x14ac:dyDescent="0.25">
      <c r="B114" s="222" t="s">
        <v>305</v>
      </c>
      <c r="C114" s="223">
        <v>136.63999999999999</v>
      </c>
      <c r="D114" s="247">
        <v>22955.519999999997</v>
      </c>
      <c r="E114" s="223">
        <v>150.30399999999997</v>
      </c>
      <c r="F114" s="232">
        <v>25251.071999999996</v>
      </c>
    </row>
    <row r="115" spans="2:6" x14ac:dyDescent="0.25">
      <c r="B115" s="222" t="s">
        <v>306</v>
      </c>
      <c r="C115" s="223">
        <v>172.13</v>
      </c>
      <c r="D115" s="247">
        <v>28917.84</v>
      </c>
      <c r="E115" s="223">
        <v>189.34299999999999</v>
      </c>
      <c r="F115" s="232">
        <v>31809.624</v>
      </c>
    </row>
    <row r="116" spans="2:6" x14ac:dyDescent="0.25">
      <c r="B116" s="222" t="s">
        <v>307</v>
      </c>
      <c r="C116" s="223">
        <v>225.36</v>
      </c>
      <c r="D116" s="247">
        <v>37860.480000000003</v>
      </c>
      <c r="E116" s="223">
        <v>247.89600000000002</v>
      </c>
      <c r="F116" s="232">
        <v>41646.528000000006</v>
      </c>
    </row>
    <row r="117" spans="2:6" x14ac:dyDescent="0.25">
      <c r="B117" s="222" t="s">
        <v>308</v>
      </c>
      <c r="C117" s="223">
        <v>99.38</v>
      </c>
      <c r="D117" s="247">
        <v>16695.84</v>
      </c>
      <c r="E117" s="223">
        <v>109.318</v>
      </c>
      <c r="F117" s="232">
        <v>18365.423999999999</v>
      </c>
    </row>
    <row r="118" spans="2:6" x14ac:dyDescent="0.25">
      <c r="B118" s="222" t="s">
        <v>309</v>
      </c>
      <c r="C118" s="223">
        <v>172.13</v>
      </c>
      <c r="D118" s="247">
        <v>28917.84</v>
      </c>
      <c r="E118" s="223">
        <v>189.34299999999999</v>
      </c>
      <c r="F118" s="232">
        <v>31809.624</v>
      </c>
    </row>
    <row r="119" spans="2:6" x14ac:dyDescent="0.25">
      <c r="B119" s="222" t="s">
        <v>310</v>
      </c>
      <c r="C119" s="223">
        <v>207.61</v>
      </c>
      <c r="D119" s="247">
        <v>34878.480000000003</v>
      </c>
      <c r="E119" s="223">
        <v>228.37100000000001</v>
      </c>
      <c r="F119" s="232">
        <v>38366.328000000001</v>
      </c>
    </row>
    <row r="120" spans="2:6" x14ac:dyDescent="0.25">
      <c r="B120" s="222" t="s">
        <v>352</v>
      </c>
      <c r="C120" s="223">
        <v>260.83999999999997</v>
      </c>
      <c r="D120" s="247">
        <v>43821.119999999995</v>
      </c>
      <c r="E120" s="223">
        <v>286.92399999999998</v>
      </c>
      <c r="F120" s="232">
        <v>48203.231999999996</v>
      </c>
    </row>
    <row r="121" spans="2:6" x14ac:dyDescent="0.25">
      <c r="B121" s="222" t="s">
        <v>353</v>
      </c>
      <c r="C121" s="223">
        <v>101.16</v>
      </c>
      <c r="D121" s="247">
        <v>16994.88</v>
      </c>
      <c r="E121" s="223">
        <v>111.276</v>
      </c>
      <c r="F121" s="232">
        <v>18694.367999999999</v>
      </c>
    </row>
    <row r="122" spans="2:6" x14ac:dyDescent="0.25">
      <c r="B122" s="222" t="s">
        <v>354</v>
      </c>
      <c r="C122" s="223">
        <v>154.38999999999999</v>
      </c>
      <c r="D122" s="247">
        <v>25937.519999999997</v>
      </c>
      <c r="E122" s="223">
        <v>169.82899999999998</v>
      </c>
      <c r="F122" s="232">
        <v>28531.271999999997</v>
      </c>
    </row>
    <row r="123" spans="2:6" x14ac:dyDescent="0.25">
      <c r="B123" s="222" t="s">
        <v>355</v>
      </c>
      <c r="C123" s="223">
        <v>207.61</v>
      </c>
      <c r="D123" s="247">
        <v>34878.480000000003</v>
      </c>
      <c r="E123" s="223">
        <v>228.37100000000001</v>
      </c>
      <c r="F123" s="232">
        <v>38366.328000000001</v>
      </c>
    </row>
    <row r="124" spans="2:6" x14ac:dyDescent="0.25">
      <c r="B124" s="222" t="s">
        <v>311</v>
      </c>
      <c r="C124" s="223">
        <v>216.49</v>
      </c>
      <c r="D124" s="247">
        <v>36370.32</v>
      </c>
      <c r="E124" s="223">
        <v>238.13900000000001</v>
      </c>
      <c r="F124" s="232">
        <v>40007.351999999999</v>
      </c>
    </row>
    <row r="125" spans="2:6" x14ac:dyDescent="0.25">
      <c r="B125" s="222" t="s">
        <v>312</v>
      </c>
      <c r="C125" s="223">
        <v>92.29</v>
      </c>
      <c r="D125" s="247">
        <v>15504.720000000001</v>
      </c>
      <c r="E125" s="223">
        <v>101.51900000000001</v>
      </c>
      <c r="F125" s="232">
        <v>17055.192000000003</v>
      </c>
    </row>
    <row r="126" spans="2:6" x14ac:dyDescent="0.25">
      <c r="B126" s="222" t="s">
        <v>313</v>
      </c>
      <c r="C126" s="223">
        <v>145.51</v>
      </c>
      <c r="D126" s="247">
        <v>24445.68</v>
      </c>
      <c r="E126" s="223">
        <v>160.06099999999998</v>
      </c>
      <c r="F126" s="232">
        <v>26890.247999999996</v>
      </c>
    </row>
    <row r="127" spans="2:6" x14ac:dyDescent="0.25">
      <c r="B127" s="222" t="s">
        <v>314</v>
      </c>
      <c r="C127" s="223">
        <v>189.87</v>
      </c>
      <c r="D127" s="247">
        <v>31898.16</v>
      </c>
      <c r="E127" s="223">
        <v>208.857</v>
      </c>
      <c r="F127" s="232">
        <v>35087.976000000002</v>
      </c>
    </row>
    <row r="128" spans="2:6" x14ac:dyDescent="0.25">
      <c r="B128" s="222" t="s">
        <v>315</v>
      </c>
      <c r="C128" s="223">
        <v>118.9</v>
      </c>
      <c r="D128" s="247">
        <v>19975.2</v>
      </c>
      <c r="E128" s="223">
        <v>130.79000000000002</v>
      </c>
      <c r="F128" s="232">
        <v>21972.720000000005</v>
      </c>
    </row>
    <row r="129" spans="2:6" x14ac:dyDescent="0.25">
      <c r="B129" s="222" t="s">
        <v>316</v>
      </c>
      <c r="C129" s="223">
        <v>145.51</v>
      </c>
      <c r="D129" s="247">
        <v>24445.68</v>
      </c>
      <c r="E129" s="223">
        <v>160.06099999999998</v>
      </c>
      <c r="F129" s="232">
        <v>26890.247999999996</v>
      </c>
    </row>
    <row r="130" spans="2:6" x14ac:dyDescent="0.25">
      <c r="B130" s="222" t="s">
        <v>317</v>
      </c>
      <c r="C130" s="223">
        <v>198.74</v>
      </c>
      <c r="D130" s="247">
        <v>33388.32</v>
      </c>
      <c r="E130" s="223">
        <v>218.614</v>
      </c>
      <c r="F130" s="232">
        <v>36727.152000000002</v>
      </c>
    </row>
    <row r="131" spans="2:6" x14ac:dyDescent="0.25">
      <c r="B131" s="222" t="s">
        <v>318</v>
      </c>
      <c r="C131" s="223">
        <v>278.58</v>
      </c>
      <c r="D131" s="247">
        <v>46801.439999999995</v>
      </c>
      <c r="E131" s="223">
        <v>306.43799999999999</v>
      </c>
      <c r="F131" s="232">
        <v>51481.583999999995</v>
      </c>
    </row>
    <row r="132" spans="2:6" x14ac:dyDescent="0.25">
      <c r="B132" s="222" t="s">
        <v>319</v>
      </c>
      <c r="C132" s="223">
        <v>122.45</v>
      </c>
      <c r="D132" s="247">
        <v>20571.600000000002</v>
      </c>
      <c r="E132" s="223">
        <v>134.69499999999999</v>
      </c>
      <c r="F132" s="232">
        <v>22628.76</v>
      </c>
    </row>
    <row r="133" spans="2:6" x14ac:dyDescent="0.25">
      <c r="B133" s="222" t="s">
        <v>320</v>
      </c>
      <c r="C133" s="223">
        <v>172.13</v>
      </c>
      <c r="D133" s="247">
        <v>28917.84</v>
      </c>
      <c r="E133" s="223">
        <v>189.34299999999999</v>
      </c>
      <c r="F133" s="232">
        <v>31809.624</v>
      </c>
    </row>
    <row r="134" spans="2:6" x14ac:dyDescent="0.25">
      <c r="B134" s="222" t="s">
        <v>321</v>
      </c>
      <c r="C134" s="223">
        <v>243.1</v>
      </c>
      <c r="D134" s="247">
        <v>40840.799999999996</v>
      </c>
      <c r="E134" s="223">
        <v>267.40999999999997</v>
      </c>
      <c r="F134" s="232">
        <v>44924.88</v>
      </c>
    </row>
    <row r="135" spans="2:6" x14ac:dyDescent="0.25">
      <c r="B135" s="222" t="s">
        <v>322</v>
      </c>
      <c r="C135" s="223">
        <v>92.29</v>
      </c>
      <c r="D135" s="247">
        <v>15504.720000000001</v>
      </c>
      <c r="E135" s="223">
        <v>101.51900000000001</v>
      </c>
      <c r="F135" s="232">
        <v>17055.192000000003</v>
      </c>
    </row>
    <row r="136" spans="2:6" x14ac:dyDescent="0.25">
      <c r="B136" s="222" t="s">
        <v>323</v>
      </c>
      <c r="C136" s="223">
        <v>181</v>
      </c>
      <c r="D136" s="247">
        <v>30408</v>
      </c>
      <c r="E136" s="223">
        <v>199.1</v>
      </c>
      <c r="F136" s="232">
        <v>33448.799999999996</v>
      </c>
    </row>
    <row r="137" spans="2:6" x14ac:dyDescent="0.25">
      <c r="B137" s="222" t="s">
        <v>324</v>
      </c>
      <c r="C137" s="223">
        <v>207.61</v>
      </c>
      <c r="D137" s="247">
        <v>34878.480000000003</v>
      </c>
      <c r="E137" s="223">
        <v>228.37100000000001</v>
      </c>
      <c r="F137" s="232">
        <v>38366.328000000001</v>
      </c>
    </row>
    <row r="138" spans="2:6" x14ac:dyDescent="0.25">
      <c r="B138" s="222" t="s">
        <v>325</v>
      </c>
      <c r="C138" s="223">
        <v>216.49</v>
      </c>
      <c r="D138" s="247">
        <v>36370.32</v>
      </c>
      <c r="E138" s="223">
        <v>238.13900000000001</v>
      </c>
      <c r="F138" s="232">
        <v>40007.351999999999</v>
      </c>
    </row>
    <row r="139" spans="2:6" x14ac:dyDescent="0.25">
      <c r="B139" s="222" t="s">
        <v>326</v>
      </c>
      <c r="C139" s="223">
        <v>79.87</v>
      </c>
      <c r="D139" s="247">
        <v>13418.16</v>
      </c>
      <c r="E139" s="223">
        <v>87.856999999999999</v>
      </c>
      <c r="F139" s="232">
        <v>14759.976000000001</v>
      </c>
    </row>
    <row r="140" spans="2:6" x14ac:dyDescent="0.25">
      <c r="B140" s="222" t="s">
        <v>327</v>
      </c>
      <c r="C140" s="223">
        <v>145.51</v>
      </c>
      <c r="D140" s="247">
        <v>24445.68</v>
      </c>
      <c r="E140" s="223">
        <v>160.06099999999998</v>
      </c>
      <c r="F140" s="232">
        <v>26890.247999999996</v>
      </c>
    </row>
    <row r="141" spans="2:6" x14ac:dyDescent="0.25">
      <c r="B141" s="222" t="s">
        <v>328</v>
      </c>
      <c r="C141" s="223">
        <v>189.87</v>
      </c>
      <c r="D141" s="247">
        <v>31898.16</v>
      </c>
      <c r="E141" s="223">
        <v>208.857</v>
      </c>
      <c r="F141" s="232">
        <v>35087.976000000002</v>
      </c>
    </row>
    <row r="142" spans="2:6" x14ac:dyDescent="0.25">
      <c r="B142" s="222" t="s">
        <v>333</v>
      </c>
      <c r="C142" s="223">
        <v>92.29</v>
      </c>
      <c r="D142" s="247">
        <v>15504.720000000001</v>
      </c>
      <c r="E142" s="223">
        <v>101.51900000000001</v>
      </c>
      <c r="F142" s="232">
        <v>17055.192000000003</v>
      </c>
    </row>
    <row r="143" spans="2:6" x14ac:dyDescent="0.25">
      <c r="B143" s="222" t="s">
        <v>334</v>
      </c>
      <c r="C143" s="223">
        <v>154.38999999999999</v>
      </c>
      <c r="D143" s="247">
        <v>25937.519999999997</v>
      </c>
      <c r="E143" s="223">
        <v>169.82899999999998</v>
      </c>
      <c r="F143" s="232">
        <v>28531.271999999997</v>
      </c>
    </row>
    <row r="144" spans="2:6" x14ac:dyDescent="0.25">
      <c r="B144" s="222" t="s">
        <v>335</v>
      </c>
      <c r="C144" s="223">
        <v>198.74</v>
      </c>
      <c r="D144" s="247">
        <v>33388.32</v>
      </c>
      <c r="E144" s="223">
        <v>218.614</v>
      </c>
      <c r="F144" s="232">
        <v>36727.152000000002</v>
      </c>
    </row>
    <row r="145" spans="2:6" x14ac:dyDescent="0.25">
      <c r="B145" s="222" t="s">
        <v>361</v>
      </c>
      <c r="C145" s="223">
        <v>296.33</v>
      </c>
      <c r="D145" s="247">
        <v>49783.439999999995</v>
      </c>
      <c r="E145" s="223">
        <v>325.96299999999997</v>
      </c>
      <c r="F145" s="232">
        <v>54761.783999999992</v>
      </c>
    </row>
    <row r="146" spans="2:6" x14ac:dyDescent="0.25">
      <c r="B146" s="222" t="s">
        <v>362</v>
      </c>
      <c r="C146" s="223">
        <v>118.9</v>
      </c>
      <c r="D146" s="247">
        <v>19975.2</v>
      </c>
      <c r="E146" s="223">
        <v>130.79000000000002</v>
      </c>
      <c r="F146" s="232">
        <v>21972.720000000005</v>
      </c>
    </row>
    <row r="147" spans="2:6" x14ac:dyDescent="0.25">
      <c r="B147" s="222" t="s">
        <v>363</v>
      </c>
      <c r="C147" s="223">
        <v>163.26</v>
      </c>
      <c r="D147" s="247">
        <v>27427.68</v>
      </c>
      <c r="E147" s="223">
        <v>179.58599999999998</v>
      </c>
      <c r="F147" s="232">
        <v>30170.447999999997</v>
      </c>
    </row>
    <row r="148" spans="2:6" x14ac:dyDescent="0.25">
      <c r="B148" s="222" t="s">
        <v>364</v>
      </c>
      <c r="C148" s="223">
        <v>225.36</v>
      </c>
      <c r="D148" s="247">
        <v>37860.480000000003</v>
      </c>
      <c r="E148" s="223">
        <v>247.89600000000002</v>
      </c>
      <c r="F148" s="232">
        <v>41646.528000000006</v>
      </c>
    </row>
    <row r="149" spans="2:6" x14ac:dyDescent="0.25">
      <c r="B149" s="222" t="s">
        <v>336</v>
      </c>
      <c r="C149" s="223">
        <v>269.70999999999998</v>
      </c>
      <c r="D149" s="247">
        <v>45311.28</v>
      </c>
      <c r="E149" s="223">
        <v>296.68099999999998</v>
      </c>
      <c r="F149" s="232">
        <v>49842.407999999996</v>
      </c>
    </row>
    <row r="150" spans="2:6" x14ac:dyDescent="0.25">
      <c r="B150" s="222" t="s">
        <v>337</v>
      </c>
      <c r="C150" s="223">
        <v>198.74</v>
      </c>
      <c r="D150" s="247">
        <v>33388.32</v>
      </c>
      <c r="E150" s="223">
        <v>218.614</v>
      </c>
      <c r="F150" s="232">
        <v>36727.152000000002</v>
      </c>
    </row>
    <row r="151" spans="2:6" x14ac:dyDescent="0.25">
      <c r="B151" s="222" t="s">
        <v>338</v>
      </c>
      <c r="C151" s="223">
        <v>243.1</v>
      </c>
      <c r="D151" s="247">
        <v>40840.799999999996</v>
      </c>
      <c r="E151" s="223">
        <v>267.40999999999997</v>
      </c>
      <c r="F151" s="232">
        <v>44924.88</v>
      </c>
    </row>
  </sheetData>
  <autoFilter ref="B4:F151" xr:uid="{85446D72-37C8-437E-82BD-3091227BE623}">
    <sortState xmlns:xlrd2="http://schemas.microsoft.com/office/spreadsheetml/2017/richdata2" ref="B5:F151">
      <sortCondition ref="B4:B151"/>
    </sortState>
  </autoFilter>
  <mergeCells count="3">
    <mergeCell ref="B2:D2"/>
    <mergeCell ref="C3:D3"/>
    <mergeCell ref="E3:F3"/>
  </mergeCells>
  <conditionalFormatting sqref="B144:B15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C886-DE2F-43B7-ACAE-0F726326E12E}">
  <dimension ref="B2:F151"/>
  <sheetViews>
    <sheetView workbookViewId="0">
      <selection activeCell="B4" sqref="B4"/>
    </sheetView>
  </sheetViews>
  <sheetFormatPr defaultRowHeight="15" x14ac:dyDescent="0.25"/>
  <cols>
    <col min="2" max="2" width="51.140625" bestFit="1" customWidth="1"/>
    <col min="3" max="3" width="10.5703125" bestFit="1" customWidth="1"/>
    <col min="4" max="4" width="13.28515625" bestFit="1" customWidth="1"/>
    <col min="5" max="5" width="10.5703125" bestFit="1" customWidth="1"/>
    <col min="6" max="6" width="13.28515625" bestFit="1" customWidth="1"/>
  </cols>
  <sheetData>
    <row r="2" spans="2:6" ht="21" x14ac:dyDescent="0.35">
      <c r="B2" s="251" t="s">
        <v>1467</v>
      </c>
      <c r="C2" s="251"/>
      <c r="D2" s="251"/>
      <c r="E2" s="233"/>
      <c r="F2" s="233"/>
    </row>
    <row r="3" spans="2:6" x14ac:dyDescent="0.25">
      <c r="C3" s="250" t="s">
        <v>372</v>
      </c>
      <c r="D3" s="250"/>
      <c r="E3" s="253" t="s">
        <v>371</v>
      </c>
      <c r="F3" s="253"/>
    </row>
    <row r="4" spans="2:6" x14ac:dyDescent="0.25">
      <c r="B4" s="221" t="s">
        <v>107</v>
      </c>
      <c r="C4" s="221" t="s">
        <v>375</v>
      </c>
      <c r="D4" s="221" t="s">
        <v>376</v>
      </c>
      <c r="E4" s="221" t="s">
        <v>375</v>
      </c>
      <c r="F4" s="221" t="s">
        <v>376</v>
      </c>
    </row>
    <row r="5" spans="2:6" x14ac:dyDescent="0.25">
      <c r="B5" s="222" t="s">
        <v>218</v>
      </c>
      <c r="C5" s="223">
        <v>70.83</v>
      </c>
      <c r="D5" s="247">
        <v>11899.44</v>
      </c>
      <c r="E5" s="223">
        <v>77.912999999999997</v>
      </c>
      <c r="F5" s="232">
        <v>13089.384</v>
      </c>
    </row>
    <row r="6" spans="2:6" x14ac:dyDescent="0.25">
      <c r="B6" s="222" t="s">
        <v>244</v>
      </c>
      <c r="C6" s="223">
        <v>195.14</v>
      </c>
      <c r="D6" s="247">
        <v>32783.519999999997</v>
      </c>
      <c r="E6" s="223">
        <v>214.654</v>
      </c>
      <c r="F6" s="232">
        <v>36061.872000000003</v>
      </c>
    </row>
    <row r="7" spans="2:6" x14ac:dyDescent="0.25">
      <c r="B7" s="222" t="s">
        <v>245</v>
      </c>
      <c r="C7" s="223">
        <v>114.19</v>
      </c>
      <c r="D7" s="247">
        <v>19183.919999999998</v>
      </c>
      <c r="E7" s="223">
        <v>125.60899999999999</v>
      </c>
      <c r="F7" s="232">
        <v>21102.311999999998</v>
      </c>
    </row>
    <row r="8" spans="2:6" x14ac:dyDescent="0.25">
      <c r="B8" s="222" t="s">
        <v>246</v>
      </c>
      <c r="C8" s="223">
        <v>166.23</v>
      </c>
      <c r="D8" s="247">
        <v>27926.639999999999</v>
      </c>
      <c r="E8" s="223">
        <v>182.85299999999998</v>
      </c>
      <c r="F8" s="232">
        <v>30719.303999999996</v>
      </c>
    </row>
    <row r="9" spans="2:6" x14ac:dyDescent="0.25">
      <c r="B9" s="222" t="s">
        <v>247</v>
      </c>
      <c r="C9" s="223">
        <v>159</v>
      </c>
      <c r="D9" s="247">
        <v>26712</v>
      </c>
      <c r="E9" s="223">
        <v>174.9</v>
      </c>
      <c r="F9" s="232">
        <v>29383.200000000001</v>
      </c>
    </row>
    <row r="10" spans="2:6" x14ac:dyDescent="0.25">
      <c r="B10" s="222" t="s">
        <v>248</v>
      </c>
      <c r="C10" s="223">
        <v>60.71</v>
      </c>
      <c r="D10" s="247">
        <v>10199.280000000001</v>
      </c>
      <c r="E10" s="223">
        <v>66.781000000000006</v>
      </c>
      <c r="F10" s="232">
        <v>11219.208000000001</v>
      </c>
    </row>
    <row r="11" spans="2:6" x14ac:dyDescent="0.25">
      <c r="B11" s="222" t="s">
        <v>249</v>
      </c>
      <c r="C11" s="223">
        <v>108.41</v>
      </c>
      <c r="D11" s="247">
        <v>18212.88</v>
      </c>
      <c r="E11" s="223">
        <v>119.251</v>
      </c>
      <c r="F11" s="232">
        <v>20034.168000000001</v>
      </c>
    </row>
    <row r="12" spans="2:6" x14ac:dyDescent="0.25">
      <c r="B12" s="222" t="s">
        <v>250</v>
      </c>
      <c r="C12" s="223">
        <v>137.32</v>
      </c>
      <c r="D12" s="247">
        <v>23069.759999999998</v>
      </c>
      <c r="E12" s="223">
        <v>151.05199999999999</v>
      </c>
      <c r="F12" s="232">
        <v>25376.735999999997</v>
      </c>
    </row>
    <row r="13" spans="2:6" x14ac:dyDescent="0.25">
      <c r="B13" s="222" t="s">
        <v>251</v>
      </c>
      <c r="C13" s="223">
        <v>195.14</v>
      </c>
      <c r="D13" s="247">
        <v>32783.519999999997</v>
      </c>
      <c r="E13" s="223">
        <v>214.654</v>
      </c>
      <c r="F13" s="232">
        <v>36061.872000000003</v>
      </c>
    </row>
    <row r="14" spans="2:6" x14ac:dyDescent="0.25">
      <c r="B14" s="222" t="s">
        <v>252</v>
      </c>
      <c r="C14" s="223">
        <v>70.83</v>
      </c>
      <c r="D14" s="247">
        <v>11899.44</v>
      </c>
      <c r="E14" s="223">
        <v>77.912999999999997</v>
      </c>
      <c r="F14" s="232">
        <v>13089.384</v>
      </c>
    </row>
    <row r="15" spans="2:6" x14ac:dyDescent="0.25">
      <c r="B15" s="222" t="s">
        <v>253</v>
      </c>
      <c r="C15" s="223">
        <v>108.41</v>
      </c>
      <c r="D15" s="247">
        <v>18212.88</v>
      </c>
      <c r="E15" s="223">
        <v>119.251</v>
      </c>
      <c r="F15" s="232">
        <v>20034.168000000001</v>
      </c>
    </row>
    <row r="16" spans="2:6" x14ac:dyDescent="0.25">
      <c r="B16" s="222" t="s">
        <v>254</v>
      </c>
      <c r="C16" s="223">
        <v>159</v>
      </c>
      <c r="D16" s="247">
        <v>26712</v>
      </c>
      <c r="E16" s="223">
        <v>174.9</v>
      </c>
      <c r="F16" s="232">
        <v>29383.200000000001</v>
      </c>
    </row>
    <row r="17" spans="2:6" x14ac:dyDescent="0.25">
      <c r="B17" s="222" t="s">
        <v>263</v>
      </c>
      <c r="C17" s="223">
        <v>151.77000000000001</v>
      </c>
      <c r="D17" s="247">
        <v>25497.360000000001</v>
      </c>
      <c r="E17" s="223">
        <v>166.947</v>
      </c>
      <c r="F17" s="232">
        <v>28047.096000000001</v>
      </c>
    </row>
    <row r="18" spans="2:6" x14ac:dyDescent="0.25">
      <c r="B18" s="222" t="s">
        <v>264</v>
      </c>
      <c r="C18" s="223">
        <v>69.38</v>
      </c>
      <c r="D18" s="247">
        <v>11655.84</v>
      </c>
      <c r="E18" s="223">
        <v>76.317999999999998</v>
      </c>
      <c r="F18" s="232">
        <v>12821.423999999999</v>
      </c>
    </row>
    <row r="19" spans="2:6" x14ac:dyDescent="0.25">
      <c r="B19" s="222" t="s">
        <v>265</v>
      </c>
      <c r="C19" s="223">
        <v>108.41</v>
      </c>
      <c r="D19" s="247">
        <v>18212.88</v>
      </c>
      <c r="E19" s="223">
        <v>119.251</v>
      </c>
      <c r="F19" s="232">
        <v>20034.168000000001</v>
      </c>
    </row>
    <row r="20" spans="2:6" x14ac:dyDescent="0.25">
      <c r="B20" s="222" t="s">
        <v>266</v>
      </c>
      <c r="C20" s="223">
        <v>151.77000000000001</v>
      </c>
      <c r="D20" s="247">
        <v>25497.360000000001</v>
      </c>
      <c r="E20" s="223">
        <v>166.947</v>
      </c>
      <c r="F20" s="232">
        <v>28047.096000000001</v>
      </c>
    </row>
    <row r="21" spans="2:6" x14ac:dyDescent="0.25">
      <c r="B21" s="222" t="s">
        <v>255</v>
      </c>
      <c r="C21" s="223">
        <v>159</v>
      </c>
      <c r="D21" s="247">
        <v>26712</v>
      </c>
      <c r="E21" s="223">
        <v>174.9</v>
      </c>
      <c r="F21" s="232">
        <v>29383.200000000001</v>
      </c>
    </row>
    <row r="22" spans="2:6" x14ac:dyDescent="0.25">
      <c r="B22" s="222" t="s">
        <v>256</v>
      </c>
      <c r="C22" s="223">
        <v>60.71</v>
      </c>
      <c r="D22" s="247">
        <v>10199.280000000001</v>
      </c>
      <c r="E22" s="223">
        <v>66.781000000000006</v>
      </c>
      <c r="F22" s="232">
        <v>11219.208000000001</v>
      </c>
    </row>
    <row r="23" spans="2:6" x14ac:dyDescent="0.25">
      <c r="B23" s="222" t="s">
        <v>257</v>
      </c>
      <c r="C23" s="223">
        <v>101.18</v>
      </c>
      <c r="D23" s="247">
        <v>16998.240000000002</v>
      </c>
      <c r="E23" s="223">
        <v>111.298</v>
      </c>
      <c r="F23" s="232">
        <v>18698.063999999998</v>
      </c>
    </row>
    <row r="24" spans="2:6" x14ac:dyDescent="0.25">
      <c r="B24" s="222" t="s">
        <v>258</v>
      </c>
      <c r="C24" s="223">
        <v>144.55000000000001</v>
      </c>
      <c r="D24" s="247">
        <v>24284.400000000001</v>
      </c>
      <c r="E24" s="223">
        <v>159.00500000000002</v>
      </c>
      <c r="F24" s="232">
        <v>26712.840000000004</v>
      </c>
    </row>
    <row r="25" spans="2:6" x14ac:dyDescent="0.25">
      <c r="B25" s="222" t="s">
        <v>1462</v>
      </c>
      <c r="C25" s="223">
        <v>173.46</v>
      </c>
      <c r="D25" s="247">
        <v>29141.280000000002</v>
      </c>
      <c r="E25" s="223">
        <v>190.80600000000001</v>
      </c>
      <c r="F25" s="232">
        <v>32055.408000000003</v>
      </c>
    </row>
    <row r="26" spans="2:6" x14ac:dyDescent="0.25">
      <c r="B26" s="222" t="s">
        <v>1463</v>
      </c>
      <c r="C26" s="223">
        <v>60.71</v>
      </c>
      <c r="D26" s="247">
        <v>10199.280000000001</v>
      </c>
      <c r="E26" s="223">
        <v>66.781000000000006</v>
      </c>
      <c r="F26" s="232">
        <v>11219.208000000001</v>
      </c>
    </row>
    <row r="27" spans="2:6" x14ac:dyDescent="0.25">
      <c r="B27" s="222" t="s">
        <v>1464</v>
      </c>
      <c r="C27" s="223">
        <v>108.41</v>
      </c>
      <c r="D27" s="247">
        <v>18212.88</v>
      </c>
      <c r="E27" s="223">
        <v>119.251</v>
      </c>
      <c r="F27" s="232">
        <v>20034.168000000001</v>
      </c>
    </row>
    <row r="28" spans="2:6" x14ac:dyDescent="0.25">
      <c r="B28" s="222" t="s">
        <v>1465</v>
      </c>
      <c r="C28" s="223">
        <v>144.55000000000001</v>
      </c>
      <c r="D28" s="247">
        <v>24284.400000000001</v>
      </c>
      <c r="E28" s="223">
        <v>159.00500000000002</v>
      </c>
      <c r="F28" s="232">
        <v>26712.840000000004</v>
      </c>
    </row>
    <row r="29" spans="2:6" x14ac:dyDescent="0.25">
      <c r="B29" s="222" t="s">
        <v>259</v>
      </c>
      <c r="C29" s="223">
        <v>144.55000000000001</v>
      </c>
      <c r="D29" s="247">
        <v>24284.400000000001</v>
      </c>
      <c r="E29" s="223">
        <v>159.00500000000002</v>
      </c>
      <c r="F29" s="232">
        <v>26712.840000000004</v>
      </c>
    </row>
    <row r="30" spans="2:6" x14ac:dyDescent="0.25">
      <c r="B30" s="222" t="s">
        <v>260</v>
      </c>
      <c r="C30" s="223">
        <v>50.59</v>
      </c>
      <c r="D30" s="247">
        <v>8499.1200000000008</v>
      </c>
      <c r="E30" s="223">
        <v>55.649000000000001</v>
      </c>
      <c r="F30" s="232">
        <v>9349.0319999999992</v>
      </c>
    </row>
    <row r="31" spans="2:6" x14ac:dyDescent="0.25">
      <c r="B31" s="222" t="s">
        <v>261</v>
      </c>
      <c r="C31" s="223">
        <v>79.5</v>
      </c>
      <c r="D31" s="247">
        <v>13356</v>
      </c>
      <c r="E31" s="223">
        <v>87.45</v>
      </c>
      <c r="F31" s="232">
        <v>14691.6</v>
      </c>
    </row>
    <row r="32" spans="2:6" x14ac:dyDescent="0.25">
      <c r="B32" s="222" t="s">
        <v>262</v>
      </c>
      <c r="C32" s="223">
        <v>97.86</v>
      </c>
      <c r="D32" s="247">
        <v>16440.48</v>
      </c>
      <c r="E32" s="223">
        <v>107.646</v>
      </c>
      <c r="F32" s="232">
        <v>18084.527999999998</v>
      </c>
    </row>
    <row r="33" spans="2:6" x14ac:dyDescent="0.25">
      <c r="B33" s="222" t="s">
        <v>357</v>
      </c>
      <c r="C33" s="223">
        <v>159</v>
      </c>
      <c r="D33" s="247">
        <v>26712</v>
      </c>
      <c r="E33" s="223">
        <v>174.9</v>
      </c>
      <c r="F33" s="232">
        <v>29383.200000000001</v>
      </c>
    </row>
    <row r="34" spans="2:6" x14ac:dyDescent="0.25">
      <c r="B34" s="222" t="s">
        <v>358</v>
      </c>
      <c r="C34" s="223">
        <v>57.82</v>
      </c>
      <c r="D34" s="247">
        <v>9713.76</v>
      </c>
      <c r="E34" s="223">
        <v>63.602000000000004</v>
      </c>
      <c r="F34" s="232">
        <v>10685.136</v>
      </c>
    </row>
    <row r="35" spans="2:6" x14ac:dyDescent="0.25">
      <c r="B35" s="222" t="s">
        <v>359</v>
      </c>
      <c r="C35" s="223">
        <v>86.73</v>
      </c>
      <c r="D35" s="247">
        <v>14570.640000000001</v>
      </c>
      <c r="E35" s="223">
        <v>95.403000000000006</v>
      </c>
      <c r="F35" s="232">
        <v>16027.704000000002</v>
      </c>
    </row>
    <row r="36" spans="2:6" x14ac:dyDescent="0.25">
      <c r="B36" s="222" t="s">
        <v>360</v>
      </c>
      <c r="C36" s="223">
        <v>115.64</v>
      </c>
      <c r="D36" s="247">
        <v>19427.52</v>
      </c>
      <c r="E36" s="223">
        <v>127.20400000000001</v>
      </c>
      <c r="F36" s="232">
        <v>21370.272000000001</v>
      </c>
    </row>
    <row r="37" spans="2:6" x14ac:dyDescent="0.25">
      <c r="B37" s="222" t="s">
        <v>342</v>
      </c>
      <c r="C37" s="223">
        <v>209.59</v>
      </c>
      <c r="D37" s="247">
        <v>35211.120000000003</v>
      </c>
      <c r="E37" s="223">
        <v>230.54900000000001</v>
      </c>
      <c r="F37" s="232">
        <v>38732.232000000004</v>
      </c>
    </row>
    <row r="38" spans="2:6" x14ac:dyDescent="0.25">
      <c r="B38" s="222" t="s">
        <v>343</v>
      </c>
      <c r="C38" s="223">
        <v>79.5</v>
      </c>
      <c r="D38" s="247">
        <v>13356</v>
      </c>
      <c r="E38" s="223">
        <v>87.45</v>
      </c>
      <c r="F38" s="232">
        <v>14691.6</v>
      </c>
    </row>
    <row r="39" spans="2:6" x14ac:dyDescent="0.25">
      <c r="B39" s="222" t="s">
        <v>344</v>
      </c>
      <c r="C39" s="223">
        <v>122.86</v>
      </c>
      <c r="D39" s="247">
        <v>20640.48</v>
      </c>
      <c r="E39" s="223">
        <v>135.14600000000002</v>
      </c>
      <c r="F39" s="232">
        <v>22704.528000000002</v>
      </c>
    </row>
    <row r="40" spans="2:6" x14ac:dyDescent="0.25">
      <c r="B40" s="222" t="s">
        <v>345</v>
      </c>
      <c r="C40" s="223">
        <v>187.91</v>
      </c>
      <c r="D40" s="247">
        <v>31568.880000000001</v>
      </c>
      <c r="E40" s="223">
        <v>206.70099999999999</v>
      </c>
      <c r="F40" s="232">
        <v>34725.767999999996</v>
      </c>
    </row>
    <row r="41" spans="2:6" x14ac:dyDescent="0.25">
      <c r="B41" s="222" t="s">
        <v>339</v>
      </c>
      <c r="C41" s="223">
        <v>50.59</v>
      </c>
      <c r="D41" s="247">
        <v>8499.1200000000008</v>
      </c>
      <c r="E41" s="223">
        <v>55.649000000000001</v>
      </c>
      <c r="F41" s="232">
        <v>9349.0319999999992</v>
      </c>
    </row>
    <row r="42" spans="2:6" x14ac:dyDescent="0.25">
      <c r="B42" s="222" t="s">
        <v>340</v>
      </c>
      <c r="C42" s="223">
        <v>69.38</v>
      </c>
      <c r="D42" s="247">
        <v>11655.84</v>
      </c>
      <c r="E42" s="223">
        <v>76.317999999999998</v>
      </c>
      <c r="F42" s="232">
        <v>12821.423999999999</v>
      </c>
    </row>
    <row r="43" spans="2:6" x14ac:dyDescent="0.25">
      <c r="B43" s="222" t="s">
        <v>341</v>
      </c>
      <c r="C43" s="223">
        <v>115.64</v>
      </c>
      <c r="D43" s="247">
        <v>19427.52</v>
      </c>
      <c r="E43" s="223">
        <v>127.20400000000001</v>
      </c>
      <c r="F43" s="232">
        <v>21370.272000000001</v>
      </c>
    </row>
    <row r="44" spans="2:6" x14ac:dyDescent="0.25">
      <c r="B44" s="222" t="s">
        <v>267</v>
      </c>
      <c r="C44" s="223">
        <v>33.24</v>
      </c>
      <c r="D44" s="247">
        <v>5584.3200000000006</v>
      </c>
      <c r="E44" s="223">
        <v>36.564</v>
      </c>
      <c r="F44" s="232">
        <v>6142.7520000000004</v>
      </c>
    </row>
    <row r="45" spans="2:6" x14ac:dyDescent="0.25">
      <c r="B45" s="222" t="s">
        <v>268</v>
      </c>
      <c r="C45" s="223">
        <v>49.14</v>
      </c>
      <c r="D45" s="247">
        <v>8255.52</v>
      </c>
      <c r="E45" s="223">
        <v>54.054000000000002</v>
      </c>
      <c r="F45" s="232">
        <v>9081.0720000000001</v>
      </c>
    </row>
    <row r="46" spans="2:6" x14ac:dyDescent="0.25">
      <c r="B46" s="222" t="s">
        <v>269</v>
      </c>
      <c r="C46" s="223">
        <v>75.88</v>
      </c>
      <c r="D46" s="247">
        <v>12747.84</v>
      </c>
      <c r="E46" s="223">
        <v>83.467999999999989</v>
      </c>
      <c r="F46" s="232">
        <v>14022.623999999998</v>
      </c>
    </row>
    <row r="47" spans="2:6" x14ac:dyDescent="0.25">
      <c r="B47" s="222" t="s">
        <v>270</v>
      </c>
      <c r="C47" s="223">
        <v>43.36</v>
      </c>
      <c r="D47" s="247">
        <v>7284.48</v>
      </c>
      <c r="E47" s="223">
        <v>47.695999999999998</v>
      </c>
      <c r="F47" s="232">
        <v>8012.9279999999999</v>
      </c>
    </row>
    <row r="48" spans="2:6" x14ac:dyDescent="0.25">
      <c r="B48" s="222" t="s">
        <v>271</v>
      </c>
      <c r="C48" s="223">
        <v>57.82</v>
      </c>
      <c r="D48" s="247">
        <v>9713.76</v>
      </c>
      <c r="E48" s="223">
        <v>63.602000000000004</v>
      </c>
      <c r="F48" s="232">
        <v>10685.136</v>
      </c>
    </row>
    <row r="49" spans="2:6" x14ac:dyDescent="0.25">
      <c r="B49" s="222" t="s">
        <v>272</v>
      </c>
      <c r="C49" s="223">
        <v>79.5</v>
      </c>
      <c r="D49" s="247">
        <v>13356</v>
      </c>
      <c r="E49" s="223">
        <v>87.45</v>
      </c>
      <c r="F49" s="232">
        <v>14691.6</v>
      </c>
    </row>
    <row r="50" spans="2:6" x14ac:dyDescent="0.25">
      <c r="B50" s="222" t="s">
        <v>1446</v>
      </c>
      <c r="C50" s="223">
        <v>75.16</v>
      </c>
      <c r="D50" s="247">
        <v>12626.88</v>
      </c>
      <c r="E50" s="223">
        <v>82.676000000000002</v>
      </c>
      <c r="F50" s="232">
        <v>13889.568000000001</v>
      </c>
    </row>
    <row r="51" spans="2:6" x14ac:dyDescent="0.25">
      <c r="B51" s="222" t="s">
        <v>1447</v>
      </c>
      <c r="C51" s="223">
        <v>131.54</v>
      </c>
      <c r="D51" s="247">
        <v>22098.719999999998</v>
      </c>
      <c r="E51" s="223">
        <v>144.69399999999999</v>
      </c>
      <c r="F51" s="232">
        <v>24308.591999999997</v>
      </c>
    </row>
    <row r="52" spans="2:6" x14ac:dyDescent="0.25">
      <c r="B52" s="222" t="s">
        <v>1448</v>
      </c>
      <c r="C52" s="223">
        <v>173.46</v>
      </c>
      <c r="D52" s="247">
        <v>29141.280000000002</v>
      </c>
      <c r="E52" s="223">
        <v>190.80600000000001</v>
      </c>
      <c r="F52" s="232">
        <v>32055.408000000003</v>
      </c>
    </row>
    <row r="53" spans="2:6" x14ac:dyDescent="0.25">
      <c r="B53" s="222" t="s">
        <v>273</v>
      </c>
      <c r="C53" s="223">
        <v>137.32</v>
      </c>
      <c r="D53" s="247">
        <v>23069.759999999998</v>
      </c>
      <c r="E53" s="223">
        <v>151.05199999999999</v>
      </c>
      <c r="F53" s="232">
        <v>25376.735999999997</v>
      </c>
    </row>
    <row r="54" spans="2:6" x14ac:dyDescent="0.25">
      <c r="B54" s="222" t="s">
        <v>274</v>
      </c>
      <c r="C54" s="223">
        <v>57.82</v>
      </c>
      <c r="D54" s="247">
        <v>9713.76</v>
      </c>
      <c r="E54" s="223">
        <v>63.602000000000004</v>
      </c>
      <c r="F54" s="232">
        <v>10685.136</v>
      </c>
    </row>
    <row r="55" spans="2:6" x14ac:dyDescent="0.25">
      <c r="B55" s="222" t="s">
        <v>275</v>
      </c>
      <c r="C55" s="223">
        <v>79.5</v>
      </c>
      <c r="D55" s="247">
        <v>13356</v>
      </c>
      <c r="E55" s="223">
        <v>87.45</v>
      </c>
      <c r="F55" s="232">
        <v>14691.6</v>
      </c>
    </row>
    <row r="56" spans="2:6" x14ac:dyDescent="0.25">
      <c r="B56" s="222" t="s">
        <v>276</v>
      </c>
      <c r="C56" s="223">
        <v>104.07</v>
      </c>
      <c r="D56" s="247">
        <v>17483.759999999998</v>
      </c>
      <c r="E56" s="223">
        <v>114.47699999999999</v>
      </c>
      <c r="F56" s="232">
        <v>19232.135999999999</v>
      </c>
    </row>
    <row r="57" spans="2:6" x14ac:dyDescent="0.25">
      <c r="B57" s="222" t="s">
        <v>277</v>
      </c>
      <c r="C57" s="223">
        <v>209.59</v>
      </c>
      <c r="D57" s="247">
        <v>35211.120000000003</v>
      </c>
      <c r="E57" s="223">
        <v>230.54900000000001</v>
      </c>
      <c r="F57" s="232">
        <v>38732.232000000004</v>
      </c>
    </row>
    <row r="58" spans="2:6" x14ac:dyDescent="0.25">
      <c r="B58" s="222" t="s">
        <v>278</v>
      </c>
      <c r="C58" s="223">
        <v>130.09</v>
      </c>
      <c r="D58" s="247">
        <v>21855.119999999999</v>
      </c>
      <c r="E58" s="223">
        <v>143.09899999999999</v>
      </c>
      <c r="F58" s="232">
        <v>24040.631999999998</v>
      </c>
    </row>
    <row r="59" spans="2:6" x14ac:dyDescent="0.25">
      <c r="B59" s="222" t="s">
        <v>279</v>
      </c>
      <c r="C59" s="223">
        <v>182.13</v>
      </c>
      <c r="D59" s="247">
        <v>30597.84</v>
      </c>
      <c r="E59" s="223">
        <v>200.34299999999999</v>
      </c>
      <c r="F59" s="232">
        <v>33657.623999999996</v>
      </c>
    </row>
    <row r="60" spans="2:6" x14ac:dyDescent="0.25">
      <c r="B60" s="222" t="s">
        <v>280</v>
      </c>
      <c r="C60" s="223">
        <v>209.59</v>
      </c>
      <c r="D60" s="247">
        <v>35211.120000000003</v>
      </c>
      <c r="E60" s="223">
        <v>230.54900000000001</v>
      </c>
      <c r="F60" s="232">
        <v>38732.232000000004</v>
      </c>
    </row>
    <row r="61" spans="2:6" x14ac:dyDescent="0.25">
      <c r="B61" s="222" t="s">
        <v>281</v>
      </c>
      <c r="C61" s="223">
        <v>130.09</v>
      </c>
      <c r="D61" s="247">
        <v>21855.119999999999</v>
      </c>
      <c r="E61" s="223">
        <v>143.09899999999999</v>
      </c>
      <c r="F61" s="232">
        <v>24040.631999999998</v>
      </c>
    </row>
    <row r="62" spans="2:6" x14ac:dyDescent="0.25">
      <c r="B62" s="222" t="s">
        <v>282</v>
      </c>
      <c r="C62" s="223">
        <v>182.13</v>
      </c>
      <c r="D62" s="247">
        <v>30597.84</v>
      </c>
      <c r="E62" s="223">
        <v>200.34299999999999</v>
      </c>
      <c r="F62" s="232">
        <v>33657.623999999996</v>
      </c>
    </row>
    <row r="63" spans="2:6" x14ac:dyDescent="0.25">
      <c r="B63" s="222" t="s">
        <v>283</v>
      </c>
      <c r="C63" s="223">
        <v>205.26</v>
      </c>
      <c r="D63" s="247">
        <v>34483.68</v>
      </c>
      <c r="E63" s="223">
        <v>225.786</v>
      </c>
      <c r="F63" s="232">
        <v>37932.048000000003</v>
      </c>
    </row>
    <row r="64" spans="2:6" x14ac:dyDescent="0.25">
      <c r="B64" s="222" t="s">
        <v>284</v>
      </c>
      <c r="C64" s="223">
        <v>75.16</v>
      </c>
      <c r="D64" s="247">
        <v>12626.88</v>
      </c>
      <c r="E64" s="223">
        <v>82.676000000000002</v>
      </c>
      <c r="F64" s="232">
        <v>13889.568000000001</v>
      </c>
    </row>
    <row r="65" spans="2:6" x14ac:dyDescent="0.25">
      <c r="B65" s="222" t="s">
        <v>285</v>
      </c>
      <c r="C65" s="223">
        <v>118.53</v>
      </c>
      <c r="D65" s="247">
        <v>19913.04</v>
      </c>
      <c r="E65" s="223">
        <v>130.38300000000001</v>
      </c>
      <c r="F65" s="232">
        <v>21904.344000000001</v>
      </c>
    </row>
    <row r="66" spans="2:6" x14ac:dyDescent="0.25">
      <c r="B66" s="222" t="s">
        <v>286</v>
      </c>
      <c r="C66" s="223">
        <v>180.68</v>
      </c>
      <c r="D66" s="247">
        <v>30354.240000000002</v>
      </c>
      <c r="E66" s="223">
        <v>198.74800000000002</v>
      </c>
      <c r="F66" s="232">
        <v>33389.664000000004</v>
      </c>
    </row>
    <row r="67" spans="2:6" x14ac:dyDescent="0.25">
      <c r="B67" s="222" t="s">
        <v>1456</v>
      </c>
      <c r="C67" s="223">
        <v>346.92</v>
      </c>
      <c r="D67" s="247">
        <v>58282.560000000005</v>
      </c>
      <c r="E67" s="223">
        <v>381.61200000000002</v>
      </c>
      <c r="F67" s="232">
        <v>64110.816000000006</v>
      </c>
    </row>
    <row r="68" spans="2:6" x14ac:dyDescent="0.25">
      <c r="B68" s="222" t="s">
        <v>1457</v>
      </c>
      <c r="C68" s="223">
        <v>80.94</v>
      </c>
      <c r="D68" s="247">
        <v>13597.92</v>
      </c>
      <c r="E68" s="223">
        <v>89.033999999999992</v>
      </c>
      <c r="F68" s="232">
        <v>14957.712</v>
      </c>
    </row>
    <row r="69" spans="2:6" x14ac:dyDescent="0.25">
      <c r="B69" s="222" t="s">
        <v>1458</v>
      </c>
      <c r="C69" s="223">
        <v>159</v>
      </c>
      <c r="D69" s="247">
        <v>26712</v>
      </c>
      <c r="E69" s="223">
        <v>174.9</v>
      </c>
      <c r="F69" s="232">
        <v>29383.200000000001</v>
      </c>
    </row>
    <row r="70" spans="2:6" x14ac:dyDescent="0.25">
      <c r="B70" s="222" t="s">
        <v>1459</v>
      </c>
      <c r="C70" s="223">
        <v>289.10000000000002</v>
      </c>
      <c r="D70" s="247">
        <v>48568.800000000003</v>
      </c>
      <c r="E70" s="223">
        <v>318.01000000000005</v>
      </c>
      <c r="F70" s="232">
        <v>53425.680000000008</v>
      </c>
    </row>
    <row r="71" spans="2:6" x14ac:dyDescent="0.25">
      <c r="B71" s="222" t="s">
        <v>1441</v>
      </c>
      <c r="C71" s="223">
        <v>404.74</v>
      </c>
      <c r="D71" s="247">
        <v>67996.320000000007</v>
      </c>
      <c r="E71" s="223">
        <v>445.214</v>
      </c>
      <c r="F71" s="232">
        <v>74795.952000000005</v>
      </c>
    </row>
    <row r="72" spans="2:6" x14ac:dyDescent="0.25">
      <c r="B72" s="222" t="s">
        <v>1442</v>
      </c>
      <c r="C72" s="223">
        <v>122.86</v>
      </c>
      <c r="D72" s="247">
        <v>20640.48</v>
      </c>
      <c r="E72" s="223">
        <v>135.14600000000002</v>
      </c>
      <c r="F72" s="232">
        <v>22704.528000000002</v>
      </c>
    </row>
    <row r="73" spans="2:6" x14ac:dyDescent="0.25">
      <c r="B73" s="222" t="s">
        <v>1443</v>
      </c>
      <c r="C73" s="223">
        <v>216.82</v>
      </c>
      <c r="D73" s="247">
        <v>36425.760000000002</v>
      </c>
      <c r="E73" s="223">
        <v>238.50200000000001</v>
      </c>
      <c r="F73" s="232">
        <v>40068.336000000003</v>
      </c>
    </row>
    <row r="74" spans="2:6" x14ac:dyDescent="0.25">
      <c r="B74" s="222" t="s">
        <v>1444</v>
      </c>
      <c r="C74" s="223">
        <v>303.55</v>
      </c>
      <c r="D74" s="247">
        <v>50996.4</v>
      </c>
      <c r="E74" s="223">
        <v>333.90500000000003</v>
      </c>
      <c r="F74" s="232">
        <v>56096.040000000008</v>
      </c>
    </row>
    <row r="75" spans="2:6" x14ac:dyDescent="0.25">
      <c r="B75" s="222" t="s">
        <v>1450</v>
      </c>
      <c r="C75" s="223">
        <v>404.74</v>
      </c>
      <c r="D75" s="247">
        <v>67996.320000000007</v>
      </c>
      <c r="E75" s="223">
        <v>445.214</v>
      </c>
      <c r="F75" s="232">
        <v>74795.952000000005</v>
      </c>
    </row>
    <row r="76" spans="2:6" x14ac:dyDescent="0.25">
      <c r="B76" s="222" t="s">
        <v>1451</v>
      </c>
      <c r="C76" s="223">
        <v>130.09</v>
      </c>
      <c r="D76" s="247">
        <v>21855.119999999999</v>
      </c>
      <c r="E76" s="223">
        <v>143.09899999999999</v>
      </c>
      <c r="F76" s="232">
        <v>24040.631999999998</v>
      </c>
    </row>
    <row r="77" spans="2:6" x14ac:dyDescent="0.25">
      <c r="B77" s="222" t="s">
        <v>1452</v>
      </c>
      <c r="C77" s="223">
        <v>239.95</v>
      </c>
      <c r="D77" s="247">
        <v>40311.599999999999</v>
      </c>
      <c r="E77" s="223">
        <v>263.94499999999999</v>
      </c>
      <c r="F77" s="232">
        <v>44342.76</v>
      </c>
    </row>
    <row r="78" spans="2:6" x14ac:dyDescent="0.25">
      <c r="B78" s="222" t="s">
        <v>1453</v>
      </c>
      <c r="C78" s="223">
        <v>315.12</v>
      </c>
      <c r="D78" s="247">
        <v>52940.160000000003</v>
      </c>
      <c r="E78" s="223">
        <v>346.63200000000001</v>
      </c>
      <c r="F78" s="232">
        <v>58234.175999999999</v>
      </c>
    </row>
    <row r="79" spans="2:6" x14ac:dyDescent="0.25">
      <c r="B79" s="222" t="s">
        <v>1437</v>
      </c>
      <c r="C79" s="223">
        <v>419.19</v>
      </c>
      <c r="D79" s="247">
        <v>70423.92</v>
      </c>
      <c r="E79" s="223">
        <v>461.10899999999998</v>
      </c>
      <c r="F79" s="232">
        <v>77466.311999999991</v>
      </c>
    </row>
    <row r="80" spans="2:6" x14ac:dyDescent="0.25">
      <c r="B80" s="222" t="s">
        <v>1438</v>
      </c>
      <c r="C80" s="223">
        <v>127.2</v>
      </c>
      <c r="D80" s="247">
        <v>21369.600000000002</v>
      </c>
      <c r="E80" s="223">
        <v>139.92000000000002</v>
      </c>
      <c r="F80" s="232">
        <v>23506.560000000001</v>
      </c>
    </row>
    <row r="81" spans="2:6" x14ac:dyDescent="0.25">
      <c r="B81" s="222" t="s">
        <v>1439</v>
      </c>
      <c r="C81" s="223">
        <v>224.05</v>
      </c>
      <c r="D81" s="247">
        <v>37640.400000000001</v>
      </c>
      <c r="E81" s="223">
        <v>246.45500000000001</v>
      </c>
      <c r="F81" s="232">
        <v>41404.44</v>
      </c>
    </row>
    <row r="82" spans="2:6" x14ac:dyDescent="0.25">
      <c r="B82" s="222" t="s">
        <v>1440</v>
      </c>
      <c r="C82" s="223">
        <v>303.55</v>
      </c>
      <c r="D82" s="247">
        <v>50996.4</v>
      </c>
      <c r="E82" s="223">
        <v>333.90500000000003</v>
      </c>
      <c r="F82" s="232">
        <v>56096.040000000008</v>
      </c>
    </row>
    <row r="83" spans="2:6" x14ac:dyDescent="0.25">
      <c r="B83" s="222" t="s">
        <v>1433</v>
      </c>
      <c r="C83" s="223">
        <v>361.37</v>
      </c>
      <c r="D83" s="247">
        <v>60710.16</v>
      </c>
      <c r="E83" s="223">
        <v>397.50700000000001</v>
      </c>
      <c r="F83" s="232">
        <v>66781.176000000007</v>
      </c>
    </row>
    <row r="84" spans="2:6" x14ac:dyDescent="0.25">
      <c r="B84" s="222" t="s">
        <v>1434</v>
      </c>
      <c r="C84" s="223">
        <v>118.53</v>
      </c>
      <c r="D84" s="247">
        <v>19913.04</v>
      </c>
      <c r="E84" s="223">
        <v>130.38300000000001</v>
      </c>
      <c r="F84" s="232">
        <v>21904.344000000001</v>
      </c>
    </row>
    <row r="85" spans="2:6" x14ac:dyDescent="0.25">
      <c r="B85" s="222" t="s">
        <v>1435</v>
      </c>
      <c r="C85" s="223">
        <v>202.37</v>
      </c>
      <c r="D85" s="247">
        <v>33998.160000000003</v>
      </c>
      <c r="E85" s="223">
        <v>222.607</v>
      </c>
      <c r="F85" s="232">
        <v>37397.976000000002</v>
      </c>
    </row>
    <row r="86" spans="2:6" x14ac:dyDescent="0.25">
      <c r="B86" s="222" t="s">
        <v>1436</v>
      </c>
      <c r="C86" s="223">
        <v>296.32</v>
      </c>
      <c r="D86" s="247">
        <v>49781.760000000002</v>
      </c>
      <c r="E86" s="223">
        <v>325.952</v>
      </c>
      <c r="F86" s="232">
        <v>54759.936000000002</v>
      </c>
    </row>
    <row r="87" spans="2:6" x14ac:dyDescent="0.25">
      <c r="B87" s="222" t="s">
        <v>1429</v>
      </c>
      <c r="C87" s="223">
        <v>361.37</v>
      </c>
      <c r="D87" s="247">
        <v>60710.16</v>
      </c>
      <c r="E87" s="223">
        <v>397.50700000000001</v>
      </c>
      <c r="F87" s="232">
        <v>66781.176000000007</v>
      </c>
    </row>
    <row r="88" spans="2:6" x14ac:dyDescent="0.25">
      <c r="B88" s="222" t="s">
        <v>1430</v>
      </c>
      <c r="C88" s="223">
        <v>115.64</v>
      </c>
      <c r="D88" s="247">
        <v>19427.52</v>
      </c>
      <c r="E88" s="223">
        <v>127.20400000000001</v>
      </c>
      <c r="F88" s="232">
        <v>21370.272000000001</v>
      </c>
    </row>
    <row r="89" spans="2:6" x14ac:dyDescent="0.25">
      <c r="B89" s="222" t="s">
        <v>1431</v>
      </c>
      <c r="C89" s="223">
        <v>202.37</v>
      </c>
      <c r="D89" s="247">
        <v>33998.160000000003</v>
      </c>
      <c r="E89" s="223">
        <v>222.607</v>
      </c>
      <c r="F89" s="232">
        <v>37397.976000000002</v>
      </c>
    </row>
    <row r="90" spans="2:6" x14ac:dyDescent="0.25">
      <c r="B90" s="222" t="s">
        <v>1432</v>
      </c>
      <c r="C90" s="223">
        <v>296.32</v>
      </c>
      <c r="D90" s="247">
        <v>49781.760000000002</v>
      </c>
      <c r="E90" s="223">
        <v>325.952</v>
      </c>
      <c r="F90" s="232">
        <v>54759.936000000002</v>
      </c>
    </row>
    <row r="91" spans="2:6" x14ac:dyDescent="0.25">
      <c r="B91" s="222" t="s">
        <v>370</v>
      </c>
      <c r="C91" s="223">
        <v>216.82</v>
      </c>
      <c r="D91" s="247">
        <v>36425.760000000002</v>
      </c>
      <c r="E91" s="223">
        <v>238.50200000000001</v>
      </c>
      <c r="F91" s="232">
        <v>40068.336000000003</v>
      </c>
    </row>
    <row r="92" spans="2:6" x14ac:dyDescent="0.25">
      <c r="B92" s="222" t="s">
        <v>365</v>
      </c>
      <c r="C92" s="223">
        <v>202.37</v>
      </c>
      <c r="D92" s="247">
        <v>33998.160000000003</v>
      </c>
      <c r="E92" s="223">
        <v>222.607</v>
      </c>
      <c r="F92" s="232">
        <v>37397.976000000002</v>
      </c>
    </row>
    <row r="93" spans="2:6" x14ac:dyDescent="0.25">
      <c r="B93" s="222" t="s">
        <v>366</v>
      </c>
      <c r="C93" s="223">
        <v>57.82</v>
      </c>
      <c r="D93" s="247">
        <v>9713.76</v>
      </c>
      <c r="E93" s="223">
        <v>63.602000000000004</v>
      </c>
      <c r="F93" s="232">
        <v>10685.136</v>
      </c>
    </row>
    <row r="94" spans="2:6" x14ac:dyDescent="0.25">
      <c r="B94" s="222" t="s">
        <v>367</v>
      </c>
      <c r="C94" s="223">
        <v>93.95</v>
      </c>
      <c r="D94" s="247">
        <v>15783.6</v>
      </c>
      <c r="E94" s="223">
        <v>103.345</v>
      </c>
      <c r="F94" s="232">
        <v>17361.96</v>
      </c>
    </row>
    <row r="95" spans="2:6" x14ac:dyDescent="0.25">
      <c r="B95" s="222" t="s">
        <v>368</v>
      </c>
      <c r="C95" s="223">
        <v>130.09</v>
      </c>
      <c r="D95" s="247">
        <v>21855.119999999999</v>
      </c>
      <c r="E95" s="223">
        <v>143.09899999999999</v>
      </c>
      <c r="F95" s="232">
        <v>24040.631999999998</v>
      </c>
    </row>
    <row r="96" spans="2:6" x14ac:dyDescent="0.25">
      <c r="B96" s="222" t="s">
        <v>287</v>
      </c>
      <c r="C96" s="223">
        <v>187.91</v>
      </c>
      <c r="D96" s="247">
        <v>31568.880000000001</v>
      </c>
      <c r="E96" s="223">
        <v>206.70099999999999</v>
      </c>
      <c r="F96" s="232">
        <v>34725.767999999996</v>
      </c>
    </row>
    <row r="97" spans="2:6" x14ac:dyDescent="0.25">
      <c r="B97" s="222" t="s">
        <v>288</v>
      </c>
      <c r="C97" s="223">
        <v>70.83</v>
      </c>
      <c r="D97" s="247">
        <v>11899.44</v>
      </c>
      <c r="E97" s="223">
        <v>77.912999999999997</v>
      </c>
      <c r="F97" s="232">
        <v>13089.384</v>
      </c>
    </row>
    <row r="98" spans="2:6" x14ac:dyDescent="0.25">
      <c r="B98" s="222" t="s">
        <v>289</v>
      </c>
      <c r="C98" s="223">
        <v>130.09</v>
      </c>
      <c r="D98" s="247">
        <v>21855.119999999999</v>
      </c>
      <c r="E98" s="223">
        <v>143.09899999999999</v>
      </c>
      <c r="F98" s="232">
        <v>24040.631999999998</v>
      </c>
    </row>
    <row r="99" spans="2:6" x14ac:dyDescent="0.25">
      <c r="B99" s="222" t="s">
        <v>290</v>
      </c>
      <c r="C99" s="223">
        <v>159</v>
      </c>
      <c r="D99" s="247">
        <v>26712</v>
      </c>
      <c r="E99" s="223">
        <v>174.9</v>
      </c>
      <c r="F99" s="232">
        <v>29383.200000000001</v>
      </c>
    </row>
    <row r="100" spans="2:6" x14ac:dyDescent="0.25">
      <c r="B100" s="222" t="s">
        <v>291</v>
      </c>
      <c r="C100" s="223">
        <v>187.91</v>
      </c>
      <c r="D100" s="247">
        <v>31568.880000000001</v>
      </c>
      <c r="E100" s="223">
        <v>206.70099999999999</v>
      </c>
      <c r="F100" s="232">
        <v>34725.767999999996</v>
      </c>
    </row>
    <row r="101" spans="2:6" x14ac:dyDescent="0.25">
      <c r="B101" s="222" t="s">
        <v>292</v>
      </c>
      <c r="C101" s="223">
        <v>70.83</v>
      </c>
      <c r="D101" s="247">
        <v>11899.44</v>
      </c>
      <c r="E101" s="223">
        <v>77.912999999999997</v>
      </c>
      <c r="F101" s="232">
        <v>13089.384</v>
      </c>
    </row>
    <row r="102" spans="2:6" x14ac:dyDescent="0.25">
      <c r="B102" s="222" t="s">
        <v>293</v>
      </c>
      <c r="C102" s="223">
        <v>130.09</v>
      </c>
      <c r="D102" s="247">
        <v>21855.119999999999</v>
      </c>
      <c r="E102" s="223">
        <v>143.09899999999999</v>
      </c>
      <c r="F102" s="232">
        <v>24040.631999999998</v>
      </c>
    </row>
    <row r="103" spans="2:6" x14ac:dyDescent="0.25">
      <c r="B103" s="222" t="s">
        <v>294</v>
      </c>
      <c r="C103" s="223">
        <v>159</v>
      </c>
      <c r="D103" s="247">
        <v>26712</v>
      </c>
      <c r="E103" s="223">
        <v>174.9</v>
      </c>
      <c r="F103" s="232">
        <v>29383.200000000001</v>
      </c>
    </row>
    <row r="104" spans="2:6" x14ac:dyDescent="0.25">
      <c r="B104" s="222" t="s">
        <v>295</v>
      </c>
      <c r="C104" s="223">
        <v>196.58</v>
      </c>
      <c r="D104" s="247">
        <v>33025.440000000002</v>
      </c>
      <c r="E104" s="223">
        <v>216.238</v>
      </c>
      <c r="F104" s="232">
        <v>36327.983999999997</v>
      </c>
    </row>
    <row r="105" spans="2:6" x14ac:dyDescent="0.25">
      <c r="B105" s="222" t="s">
        <v>296</v>
      </c>
      <c r="C105" s="223">
        <v>70.83</v>
      </c>
      <c r="D105" s="247">
        <v>11899.44</v>
      </c>
      <c r="E105" s="223">
        <v>77.912999999999997</v>
      </c>
      <c r="F105" s="232">
        <v>13089.384</v>
      </c>
    </row>
    <row r="106" spans="2:6" x14ac:dyDescent="0.25">
      <c r="B106" s="222" t="s">
        <v>297</v>
      </c>
      <c r="C106" s="223">
        <v>135.87</v>
      </c>
      <c r="D106" s="247">
        <v>22826.16</v>
      </c>
      <c r="E106" s="223">
        <v>149.45699999999999</v>
      </c>
      <c r="F106" s="232">
        <v>25108.775999999998</v>
      </c>
    </row>
    <row r="107" spans="2:6" x14ac:dyDescent="0.25">
      <c r="B107" s="222" t="s">
        <v>298</v>
      </c>
      <c r="C107" s="223">
        <v>166.23</v>
      </c>
      <c r="D107" s="247">
        <v>27926.639999999999</v>
      </c>
      <c r="E107" s="223">
        <v>182.85299999999998</v>
      </c>
      <c r="F107" s="232">
        <v>30719.303999999996</v>
      </c>
    </row>
    <row r="108" spans="2:6" x14ac:dyDescent="0.25">
      <c r="B108" s="222" t="s">
        <v>299</v>
      </c>
      <c r="C108" s="223">
        <v>196.58</v>
      </c>
      <c r="D108" s="247">
        <v>33025.440000000002</v>
      </c>
      <c r="E108" s="223">
        <v>216.238</v>
      </c>
      <c r="F108" s="232">
        <v>36327.983999999997</v>
      </c>
    </row>
    <row r="109" spans="2:6" x14ac:dyDescent="0.25">
      <c r="B109" s="222" t="s">
        <v>300</v>
      </c>
      <c r="C109" s="223">
        <v>70.83</v>
      </c>
      <c r="D109" s="247">
        <v>11899.44</v>
      </c>
      <c r="E109" s="223">
        <v>77.912999999999997</v>
      </c>
      <c r="F109" s="232">
        <v>13089.384</v>
      </c>
    </row>
    <row r="110" spans="2:6" x14ac:dyDescent="0.25">
      <c r="B110" s="222" t="s">
        <v>301</v>
      </c>
      <c r="C110" s="223">
        <v>135.87</v>
      </c>
      <c r="D110" s="247">
        <v>22826.16</v>
      </c>
      <c r="E110" s="223">
        <v>149.45699999999999</v>
      </c>
      <c r="F110" s="232">
        <v>25108.775999999998</v>
      </c>
    </row>
    <row r="111" spans="2:6" x14ac:dyDescent="0.25">
      <c r="B111" s="222" t="s">
        <v>302</v>
      </c>
      <c r="C111" s="223">
        <v>166.23</v>
      </c>
      <c r="D111" s="247">
        <v>27926.639999999999</v>
      </c>
      <c r="E111" s="223">
        <v>182.85299999999998</v>
      </c>
      <c r="F111" s="232">
        <v>30719.303999999996</v>
      </c>
    </row>
    <row r="112" spans="2:6" x14ac:dyDescent="0.25">
      <c r="B112" s="222" t="s">
        <v>303</v>
      </c>
      <c r="C112" s="223">
        <v>159</v>
      </c>
      <c r="D112" s="247">
        <v>26712</v>
      </c>
      <c r="E112" s="223">
        <v>174.9</v>
      </c>
      <c r="F112" s="232">
        <v>29383.200000000001</v>
      </c>
    </row>
    <row r="113" spans="2:6" x14ac:dyDescent="0.25">
      <c r="B113" s="222" t="s">
        <v>304</v>
      </c>
      <c r="C113" s="223">
        <v>65.040000000000006</v>
      </c>
      <c r="D113" s="247">
        <v>10926.720000000001</v>
      </c>
      <c r="E113" s="223">
        <v>71.544000000000011</v>
      </c>
      <c r="F113" s="232">
        <v>12019.392000000002</v>
      </c>
    </row>
    <row r="114" spans="2:6" x14ac:dyDescent="0.25">
      <c r="B114" s="222" t="s">
        <v>305</v>
      </c>
      <c r="C114" s="223">
        <v>101.18</v>
      </c>
      <c r="D114" s="247">
        <v>16998.240000000002</v>
      </c>
      <c r="E114" s="223">
        <v>111.298</v>
      </c>
      <c r="F114" s="232">
        <v>18698.063999999998</v>
      </c>
    </row>
    <row r="115" spans="2:6" x14ac:dyDescent="0.25">
      <c r="B115" s="222" t="s">
        <v>306</v>
      </c>
      <c r="C115" s="223">
        <v>130.09</v>
      </c>
      <c r="D115" s="247">
        <v>21855.119999999999</v>
      </c>
      <c r="E115" s="223">
        <v>143.09899999999999</v>
      </c>
      <c r="F115" s="232">
        <v>24040.631999999998</v>
      </c>
    </row>
    <row r="116" spans="2:6" x14ac:dyDescent="0.25">
      <c r="B116" s="222" t="s">
        <v>307</v>
      </c>
      <c r="C116" s="223">
        <v>173.46</v>
      </c>
      <c r="D116" s="247">
        <v>29141.280000000002</v>
      </c>
      <c r="E116" s="223">
        <v>190.80600000000001</v>
      </c>
      <c r="F116" s="232">
        <v>32055.408000000003</v>
      </c>
    </row>
    <row r="117" spans="2:6" x14ac:dyDescent="0.25">
      <c r="B117" s="222" t="s">
        <v>308</v>
      </c>
      <c r="C117" s="223">
        <v>70.83</v>
      </c>
      <c r="D117" s="247">
        <v>11899.44</v>
      </c>
      <c r="E117" s="223">
        <v>77.912999999999997</v>
      </c>
      <c r="F117" s="232">
        <v>13089.384</v>
      </c>
    </row>
    <row r="118" spans="2:6" x14ac:dyDescent="0.25">
      <c r="B118" s="222" t="s">
        <v>309</v>
      </c>
      <c r="C118" s="223">
        <v>130.09</v>
      </c>
      <c r="D118" s="247">
        <v>21855.119999999999</v>
      </c>
      <c r="E118" s="223">
        <v>143.09899999999999</v>
      </c>
      <c r="F118" s="232">
        <v>24040.631999999998</v>
      </c>
    </row>
    <row r="119" spans="2:6" x14ac:dyDescent="0.25">
      <c r="B119" s="222" t="s">
        <v>310</v>
      </c>
      <c r="C119" s="223">
        <v>159</v>
      </c>
      <c r="D119" s="247">
        <v>26712</v>
      </c>
      <c r="E119" s="223">
        <v>174.9</v>
      </c>
      <c r="F119" s="232">
        <v>29383.200000000001</v>
      </c>
    </row>
    <row r="120" spans="2:6" x14ac:dyDescent="0.25">
      <c r="B120" s="222" t="s">
        <v>352</v>
      </c>
      <c r="C120" s="223">
        <v>202.37</v>
      </c>
      <c r="D120" s="247">
        <v>33998.160000000003</v>
      </c>
      <c r="E120" s="223">
        <v>222.607</v>
      </c>
      <c r="F120" s="232">
        <v>37397.976000000002</v>
      </c>
    </row>
    <row r="121" spans="2:6" x14ac:dyDescent="0.25">
      <c r="B121" s="222" t="s">
        <v>353</v>
      </c>
      <c r="C121" s="223">
        <v>72.27</v>
      </c>
      <c r="D121" s="247">
        <v>12141.359999999999</v>
      </c>
      <c r="E121" s="223">
        <v>79.497</v>
      </c>
      <c r="F121" s="232">
        <v>13355.495999999999</v>
      </c>
    </row>
    <row r="122" spans="2:6" x14ac:dyDescent="0.25">
      <c r="B122" s="222" t="s">
        <v>354</v>
      </c>
      <c r="C122" s="223">
        <v>115.64</v>
      </c>
      <c r="D122" s="247">
        <v>19427.52</v>
      </c>
      <c r="E122" s="223">
        <v>127.20400000000001</v>
      </c>
      <c r="F122" s="232">
        <v>21370.272000000001</v>
      </c>
    </row>
    <row r="123" spans="2:6" x14ac:dyDescent="0.25">
      <c r="B123" s="222" t="s">
        <v>355</v>
      </c>
      <c r="C123" s="223">
        <v>159</v>
      </c>
      <c r="D123" s="247">
        <v>26712</v>
      </c>
      <c r="E123" s="223">
        <v>174.9</v>
      </c>
      <c r="F123" s="232">
        <v>29383.200000000001</v>
      </c>
    </row>
    <row r="124" spans="2:6" x14ac:dyDescent="0.25">
      <c r="B124" s="222" t="s">
        <v>311</v>
      </c>
      <c r="C124" s="223">
        <v>166.23</v>
      </c>
      <c r="D124" s="247">
        <v>27926.639999999999</v>
      </c>
      <c r="E124" s="223">
        <v>182.85299999999998</v>
      </c>
      <c r="F124" s="232">
        <v>30719.303999999996</v>
      </c>
    </row>
    <row r="125" spans="2:6" x14ac:dyDescent="0.25">
      <c r="B125" s="222" t="s">
        <v>312</v>
      </c>
      <c r="C125" s="223">
        <v>65.040000000000006</v>
      </c>
      <c r="D125" s="247">
        <v>10926.720000000001</v>
      </c>
      <c r="E125" s="223">
        <v>71.544000000000011</v>
      </c>
      <c r="F125" s="232">
        <v>12019.392000000002</v>
      </c>
    </row>
    <row r="126" spans="2:6" x14ac:dyDescent="0.25">
      <c r="B126" s="222" t="s">
        <v>313</v>
      </c>
      <c r="C126" s="223">
        <v>108.41</v>
      </c>
      <c r="D126" s="247">
        <v>18212.88</v>
      </c>
      <c r="E126" s="223">
        <v>119.251</v>
      </c>
      <c r="F126" s="232">
        <v>20034.168000000001</v>
      </c>
    </row>
    <row r="127" spans="2:6" x14ac:dyDescent="0.25">
      <c r="B127" s="222" t="s">
        <v>314</v>
      </c>
      <c r="C127" s="223">
        <v>144.55000000000001</v>
      </c>
      <c r="D127" s="247">
        <v>24284.400000000001</v>
      </c>
      <c r="E127" s="223">
        <v>159.00500000000002</v>
      </c>
      <c r="F127" s="232">
        <v>26712.840000000004</v>
      </c>
    </row>
    <row r="128" spans="2:6" x14ac:dyDescent="0.25">
      <c r="B128" s="222" t="s">
        <v>315</v>
      </c>
      <c r="C128" s="223">
        <v>86.73</v>
      </c>
      <c r="D128" s="247">
        <v>14570.640000000001</v>
      </c>
      <c r="E128" s="223">
        <v>95.403000000000006</v>
      </c>
      <c r="F128" s="232">
        <v>16027.704000000002</v>
      </c>
    </row>
    <row r="129" spans="2:6" x14ac:dyDescent="0.25">
      <c r="B129" s="222" t="s">
        <v>316</v>
      </c>
      <c r="C129" s="223">
        <v>108.41</v>
      </c>
      <c r="D129" s="247">
        <v>18212.88</v>
      </c>
      <c r="E129" s="223">
        <v>119.251</v>
      </c>
      <c r="F129" s="232">
        <v>20034.168000000001</v>
      </c>
    </row>
    <row r="130" spans="2:6" x14ac:dyDescent="0.25">
      <c r="B130" s="222" t="s">
        <v>317</v>
      </c>
      <c r="C130" s="223">
        <v>151.77000000000001</v>
      </c>
      <c r="D130" s="247">
        <v>25497.360000000001</v>
      </c>
      <c r="E130" s="223">
        <v>166.947</v>
      </c>
      <c r="F130" s="232">
        <v>28047.096000000001</v>
      </c>
    </row>
    <row r="131" spans="2:6" x14ac:dyDescent="0.25">
      <c r="B131" s="222" t="s">
        <v>318</v>
      </c>
      <c r="C131" s="223">
        <v>216.82</v>
      </c>
      <c r="D131" s="247">
        <v>36425.760000000002</v>
      </c>
      <c r="E131" s="223">
        <v>238.50200000000001</v>
      </c>
      <c r="F131" s="232">
        <v>40068.336000000003</v>
      </c>
    </row>
    <row r="132" spans="2:6" x14ac:dyDescent="0.25">
      <c r="B132" s="222" t="s">
        <v>319</v>
      </c>
      <c r="C132" s="223">
        <v>89.62</v>
      </c>
      <c r="D132" s="247">
        <v>15056.16</v>
      </c>
      <c r="E132" s="223">
        <v>98.582000000000008</v>
      </c>
      <c r="F132" s="232">
        <v>16561.776000000002</v>
      </c>
    </row>
    <row r="133" spans="2:6" x14ac:dyDescent="0.25">
      <c r="B133" s="222" t="s">
        <v>320</v>
      </c>
      <c r="C133" s="223">
        <v>130.09</v>
      </c>
      <c r="D133" s="247">
        <v>21855.119999999999</v>
      </c>
      <c r="E133" s="223">
        <v>143.09899999999999</v>
      </c>
      <c r="F133" s="232">
        <v>24040.631999999998</v>
      </c>
    </row>
    <row r="134" spans="2:6" x14ac:dyDescent="0.25">
      <c r="B134" s="222" t="s">
        <v>321</v>
      </c>
      <c r="C134" s="223">
        <v>187.91</v>
      </c>
      <c r="D134" s="247">
        <v>31568.880000000001</v>
      </c>
      <c r="E134" s="223">
        <v>206.70099999999999</v>
      </c>
      <c r="F134" s="232">
        <v>34725.767999999996</v>
      </c>
    </row>
    <row r="135" spans="2:6" x14ac:dyDescent="0.25">
      <c r="B135" s="222" t="s">
        <v>322</v>
      </c>
      <c r="C135" s="223">
        <v>65.040000000000006</v>
      </c>
      <c r="D135" s="247">
        <v>10926.720000000001</v>
      </c>
      <c r="E135" s="223">
        <v>71.544000000000011</v>
      </c>
      <c r="F135" s="232">
        <v>12019.392000000002</v>
      </c>
    </row>
    <row r="136" spans="2:6" x14ac:dyDescent="0.25">
      <c r="B136" s="222" t="s">
        <v>323</v>
      </c>
      <c r="C136" s="223">
        <v>137.32</v>
      </c>
      <c r="D136" s="247">
        <v>23069.759999999998</v>
      </c>
      <c r="E136" s="223">
        <v>151.05199999999999</v>
      </c>
      <c r="F136" s="232">
        <v>25376.735999999997</v>
      </c>
    </row>
    <row r="137" spans="2:6" x14ac:dyDescent="0.25">
      <c r="B137" s="222" t="s">
        <v>324</v>
      </c>
      <c r="C137" s="223">
        <v>159</v>
      </c>
      <c r="D137" s="247">
        <v>26712</v>
      </c>
      <c r="E137" s="223">
        <v>174.9</v>
      </c>
      <c r="F137" s="232">
        <v>29383.200000000001</v>
      </c>
    </row>
    <row r="138" spans="2:6" x14ac:dyDescent="0.25">
      <c r="B138" s="222" t="s">
        <v>325</v>
      </c>
      <c r="C138" s="223">
        <v>166.23</v>
      </c>
      <c r="D138" s="247">
        <v>27926.639999999999</v>
      </c>
      <c r="E138" s="223">
        <v>182.85299999999998</v>
      </c>
      <c r="F138" s="232">
        <v>30719.303999999996</v>
      </c>
    </row>
    <row r="139" spans="2:6" x14ac:dyDescent="0.25">
      <c r="B139" s="222" t="s">
        <v>326</v>
      </c>
      <c r="C139" s="223">
        <v>54.92</v>
      </c>
      <c r="D139" s="247">
        <v>9226.56</v>
      </c>
      <c r="E139" s="223">
        <v>60.412000000000006</v>
      </c>
      <c r="F139" s="232">
        <v>10149.216</v>
      </c>
    </row>
    <row r="140" spans="2:6" x14ac:dyDescent="0.25">
      <c r="B140" s="222" t="s">
        <v>327</v>
      </c>
      <c r="C140" s="223">
        <v>108.41</v>
      </c>
      <c r="D140" s="247">
        <v>18212.88</v>
      </c>
      <c r="E140" s="223">
        <v>119.251</v>
      </c>
      <c r="F140" s="232">
        <v>20034.168000000001</v>
      </c>
    </row>
    <row r="141" spans="2:6" x14ac:dyDescent="0.25">
      <c r="B141" s="222" t="s">
        <v>328</v>
      </c>
      <c r="C141" s="223">
        <v>144.55000000000001</v>
      </c>
      <c r="D141" s="247">
        <v>24284.400000000001</v>
      </c>
      <c r="E141" s="223">
        <v>159.00500000000002</v>
      </c>
      <c r="F141" s="232">
        <v>26712.840000000004</v>
      </c>
    </row>
    <row r="142" spans="2:6" x14ac:dyDescent="0.25">
      <c r="B142" s="222" t="s">
        <v>333</v>
      </c>
      <c r="C142" s="223">
        <v>65.040000000000006</v>
      </c>
      <c r="D142" s="247">
        <v>10926.720000000001</v>
      </c>
      <c r="E142" s="223">
        <v>71.544000000000011</v>
      </c>
      <c r="F142" s="232">
        <v>12019.392000000002</v>
      </c>
    </row>
    <row r="143" spans="2:6" x14ac:dyDescent="0.25">
      <c r="B143" s="222" t="s">
        <v>334</v>
      </c>
      <c r="C143" s="223">
        <v>115.64</v>
      </c>
      <c r="D143" s="247">
        <v>19427.52</v>
      </c>
      <c r="E143" s="223">
        <v>127.20400000000001</v>
      </c>
      <c r="F143" s="232">
        <v>21370.272000000001</v>
      </c>
    </row>
    <row r="144" spans="2:6" x14ac:dyDescent="0.25">
      <c r="B144" s="222" t="s">
        <v>335</v>
      </c>
      <c r="C144" s="223">
        <v>151.77000000000001</v>
      </c>
      <c r="D144" s="247">
        <v>25497.360000000001</v>
      </c>
      <c r="E144" s="223">
        <v>166.947</v>
      </c>
      <c r="F144" s="232">
        <v>28047.096000000001</v>
      </c>
    </row>
    <row r="145" spans="2:6" x14ac:dyDescent="0.25">
      <c r="B145" s="222" t="s">
        <v>361</v>
      </c>
      <c r="C145" s="223">
        <v>231.28</v>
      </c>
      <c r="D145" s="247">
        <v>38855.040000000001</v>
      </c>
      <c r="E145" s="223">
        <v>254.40800000000002</v>
      </c>
      <c r="F145" s="232">
        <v>42740.544000000002</v>
      </c>
    </row>
    <row r="146" spans="2:6" x14ac:dyDescent="0.25">
      <c r="B146" s="222" t="s">
        <v>362</v>
      </c>
      <c r="C146" s="223">
        <v>86.73</v>
      </c>
      <c r="D146" s="247">
        <v>14570.640000000001</v>
      </c>
      <c r="E146" s="223">
        <v>95.403000000000006</v>
      </c>
      <c r="F146" s="232">
        <v>16027.704000000002</v>
      </c>
    </row>
    <row r="147" spans="2:6" x14ac:dyDescent="0.25">
      <c r="B147" s="222" t="s">
        <v>363</v>
      </c>
      <c r="C147" s="223">
        <v>122.86</v>
      </c>
      <c r="D147" s="247">
        <v>20640.48</v>
      </c>
      <c r="E147" s="223">
        <v>135.14600000000002</v>
      </c>
      <c r="F147" s="232">
        <v>22704.528000000002</v>
      </c>
    </row>
    <row r="148" spans="2:6" x14ac:dyDescent="0.25">
      <c r="B148" s="222" t="s">
        <v>364</v>
      </c>
      <c r="C148" s="223">
        <v>173.46</v>
      </c>
      <c r="D148" s="247">
        <v>29141.280000000002</v>
      </c>
      <c r="E148" s="223">
        <v>190.80600000000001</v>
      </c>
      <c r="F148" s="232">
        <v>32055.408000000003</v>
      </c>
    </row>
    <row r="149" spans="2:6" x14ac:dyDescent="0.25">
      <c r="B149" s="222" t="s">
        <v>336</v>
      </c>
      <c r="C149" s="223">
        <v>209.59</v>
      </c>
      <c r="D149" s="247">
        <v>35211.120000000003</v>
      </c>
      <c r="E149" s="223">
        <v>230.54900000000001</v>
      </c>
      <c r="F149" s="232">
        <v>38732.232000000004</v>
      </c>
    </row>
    <row r="150" spans="2:6" x14ac:dyDescent="0.25">
      <c r="B150" s="222" t="s">
        <v>337</v>
      </c>
      <c r="C150" s="223">
        <v>151.77000000000001</v>
      </c>
      <c r="D150" s="247">
        <v>25497.360000000001</v>
      </c>
      <c r="E150" s="223">
        <v>166.947</v>
      </c>
      <c r="F150" s="232">
        <v>28047.096000000001</v>
      </c>
    </row>
    <row r="151" spans="2:6" x14ac:dyDescent="0.25">
      <c r="B151" s="222" t="s">
        <v>338</v>
      </c>
      <c r="C151" s="223">
        <v>187.91</v>
      </c>
      <c r="D151" s="247">
        <v>31568.880000000001</v>
      </c>
      <c r="E151" s="223">
        <v>206.70099999999999</v>
      </c>
      <c r="F151" s="232">
        <v>34725.767999999996</v>
      </c>
    </row>
  </sheetData>
  <autoFilter ref="B4:F151" xr:uid="{B7E2C886-DE2F-43B7-ACAE-0F726326E12E}">
    <sortState xmlns:xlrd2="http://schemas.microsoft.com/office/spreadsheetml/2017/richdata2" ref="B5:F151">
      <sortCondition ref="B4:B151"/>
    </sortState>
  </autoFilter>
  <mergeCells count="3">
    <mergeCell ref="B2:D2"/>
    <mergeCell ref="C3:D3"/>
    <mergeCell ref="E3:F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AE52-0801-467C-9BCF-A801FBF1CD7F}">
  <sheetPr filterMode="1">
    <tabColor rgb="FF7030A0"/>
  </sheetPr>
  <dimension ref="B1:J522"/>
  <sheetViews>
    <sheetView workbookViewId="0">
      <selection activeCell="B540" sqref="B540"/>
    </sheetView>
  </sheetViews>
  <sheetFormatPr defaultRowHeight="15" x14ac:dyDescent="0.25"/>
  <cols>
    <col min="2" max="2" width="56.5703125" bestFit="1" customWidth="1"/>
    <col min="3" max="3" width="64.28515625" bestFit="1" customWidth="1"/>
    <col min="4" max="4" width="12.85546875" style="140" hidden="1" customWidth="1"/>
    <col min="5" max="5" width="16.7109375" style="140" customWidth="1"/>
    <col min="6" max="6" width="17" customWidth="1"/>
    <col min="9" max="9" width="19" bestFit="1" customWidth="1"/>
  </cols>
  <sheetData>
    <row r="1" spans="2:10" x14ac:dyDescent="0.25">
      <c r="E1" s="237">
        <v>0.11</v>
      </c>
      <c r="F1">
        <v>176</v>
      </c>
      <c r="I1" s="238" t="s">
        <v>1421</v>
      </c>
      <c r="J1">
        <v>4.83</v>
      </c>
    </row>
    <row r="2" spans="2:10" x14ac:dyDescent="0.25">
      <c r="B2" s="235" t="s">
        <v>107</v>
      </c>
      <c r="C2" s="235" t="s">
        <v>1418</v>
      </c>
      <c r="D2" s="236" t="s">
        <v>1420</v>
      </c>
      <c r="E2" s="239" t="s">
        <v>1424</v>
      </c>
      <c r="F2" s="234" t="s">
        <v>1419</v>
      </c>
      <c r="I2" s="238" t="s">
        <v>1422</v>
      </c>
      <c r="J2">
        <v>4.26</v>
      </c>
    </row>
    <row r="3" spans="2:10" hidden="1" x14ac:dyDescent="0.25">
      <c r="B3" t="s">
        <v>378</v>
      </c>
      <c r="C3" t="s">
        <v>379</v>
      </c>
      <c r="D3" s="140">
        <v>88.2</v>
      </c>
      <c r="E3" s="140">
        <f>(D3*$E$1) + D3</f>
        <v>97.902000000000001</v>
      </c>
      <c r="F3" s="229">
        <f>E3*$F$1</f>
        <v>17230.752</v>
      </c>
      <c r="I3" s="238" t="s">
        <v>1423</v>
      </c>
      <c r="J3">
        <v>1.92</v>
      </c>
    </row>
    <row r="4" spans="2:10" hidden="1" x14ac:dyDescent="0.25">
      <c r="B4" t="s">
        <v>380</v>
      </c>
      <c r="C4" t="s">
        <v>381</v>
      </c>
      <c r="D4" s="140">
        <v>92.61</v>
      </c>
      <c r="E4" s="140">
        <f t="shared" ref="E4:E67" si="0">(D4*$E$1) + D4</f>
        <v>102.7971</v>
      </c>
      <c r="F4" s="229">
        <f t="shared" ref="F4:F67" si="1">E4*$F$1</f>
        <v>18092.2896</v>
      </c>
    </row>
    <row r="5" spans="2:10" hidden="1" x14ac:dyDescent="0.25">
      <c r="B5" t="s">
        <v>382</v>
      </c>
      <c r="C5" t="s">
        <v>383</v>
      </c>
      <c r="D5" s="140">
        <v>37.24</v>
      </c>
      <c r="E5" s="140">
        <f t="shared" si="0"/>
        <v>41.336400000000005</v>
      </c>
      <c r="F5" s="229">
        <f t="shared" si="1"/>
        <v>7275.2064000000009</v>
      </c>
    </row>
    <row r="6" spans="2:10" hidden="1" x14ac:dyDescent="0.25">
      <c r="B6" t="s">
        <v>384</v>
      </c>
      <c r="C6" t="s">
        <v>385</v>
      </c>
      <c r="D6" s="140">
        <v>39.1</v>
      </c>
      <c r="E6" s="140">
        <f t="shared" si="0"/>
        <v>43.401000000000003</v>
      </c>
      <c r="F6" s="229">
        <f t="shared" si="1"/>
        <v>7638.5760000000009</v>
      </c>
    </row>
    <row r="7" spans="2:10" hidden="1" x14ac:dyDescent="0.25">
      <c r="B7" t="s">
        <v>386</v>
      </c>
      <c r="C7" t="s">
        <v>387</v>
      </c>
      <c r="D7" s="140">
        <v>51.94</v>
      </c>
      <c r="E7" s="140">
        <f t="shared" si="0"/>
        <v>57.653399999999998</v>
      </c>
      <c r="F7" s="229">
        <f t="shared" si="1"/>
        <v>10146.9984</v>
      </c>
    </row>
    <row r="8" spans="2:10" hidden="1" x14ac:dyDescent="0.25">
      <c r="B8" t="s">
        <v>388</v>
      </c>
      <c r="C8" t="s">
        <v>389</v>
      </c>
      <c r="D8" s="140">
        <v>54.54</v>
      </c>
      <c r="E8" s="140">
        <f t="shared" si="0"/>
        <v>60.539400000000001</v>
      </c>
      <c r="F8" s="229">
        <f t="shared" si="1"/>
        <v>10654.9344</v>
      </c>
    </row>
    <row r="9" spans="2:10" hidden="1" x14ac:dyDescent="0.25">
      <c r="B9" t="s">
        <v>390</v>
      </c>
      <c r="C9" t="s">
        <v>391</v>
      </c>
      <c r="D9" s="140">
        <v>70.56</v>
      </c>
      <c r="E9" s="140">
        <f t="shared" si="0"/>
        <v>78.321600000000004</v>
      </c>
      <c r="F9" s="229">
        <f t="shared" si="1"/>
        <v>13784.6016</v>
      </c>
    </row>
    <row r="10" spans="2:10" hidden="1" x14ac:dyDescent="0.25">
      <c r="B10" t="s">
        <v>392</v>
      </c>
      <c r="C10" t="s">
        <v>393</v>
      </c>
      <c r="D10" s="140">
        <v>74.09</v>
      </c>
      <c r="E10" s="140">
        <f t="shared" si="0"/>
        <v>82.239900000000006</v>
      </c>
      <c r="F10" s="229">
        <f t="shared" si="1"/>
        <v>14474.222400000001</v>
      </c>
    </row>
    <row r="11" spans="2:10" hidden="1" x14ac:dyDescent="0.25">
      <c r="B11" t="s">
        <v>394</v>
      </c>
      <c r="C11" t="s">
        <v>395</v>
      </c>
      <c r="D11" s="140">
        <v>133.53</v>
      </c>
      <c r="E11" s="140">
        <f t="shared" si="0"/>
        <v>148.2183</v>
      </c>
      <c r="F11" s="229">
        <f t="shared" si="1"/>
        <v>26086.4208</v>
      </c>
    </row>
    <row r="12" spans="2:10" hidden="1" x14ac:dyDescent="0.25">
      <c r="B12" t="s">
        <v>396</v>
      </c>
      <c r="C12" t="s">
        <v>397</v>
      </c>
      <c r="D12" s="140">
        <v>125.26</v>
      </c>
      <c r="E12" s="140">
        <f t="shared" si="0"/>
        <v>139.0386</v>
      </c>
      <c r="F12" s="229">
        <f t="shared" si="1"/>
        <v>24470.793600000001</v>
      </c>
    </row>
    <row r="13" spans="2:10" hidden="1" x14ac:dyDescent="0.25">
      <c r="B13" t="s">
        <v>398</v>
      </c>
      <c r="C13" t="s">
        <v>399</v>
      </c>
      <c r="D13" s="140">
        <v>77.42</v>
      </c>
      <c r="E13" s="140">
        <f t="shared" si="0"/>
        <v>85.936199999999999</v>
      </c>
      <c r="F13" s="229">
        <f t="shared" si="1"/>
        <v>15124.771199999999</v>
      </c>
    </row>
    <row r="14" spans="2:10" hidden="1" x14ac:dyDescent="0.25">
      <c r="B14" t="s">
        <v>400</v>
      </c>
      <c r="C14" t="s">
        <v>401</v>
      </c>
      <c r="D14" s="140">
        <v>83.55</v>
      </c>
      <c r="E14" s="140">
        <f t="shared" si="0"/>
        <v>92.740499999999997</v>
      </c>
      <c r="F14" s="229">
        <f t="shared" si="1"/>
        <v>16322.328</v>
      </c>
    </row>
    <row r="15" spans="2:10" hidden="1" x14ac:dyDescent="0.25">
      <c r="B15" t="s">
        <v>402</v>
      </c>
      <c r="C15" t="s">
        <v>403</v>
      </c>
      <c r="D15" s="140">
        <v>113.68</v>
      </c>
      <c r="E15" s="140">
        <f t="shared" si="0"/>
        <v>126.18480000000001</v>
      </c>
      <c r="F15" s="229">
        <f t="shared" si="1"/>
        <v>22208.524800000003</v>
      </c>
    </row>
    <row r="16" spans="2:10" hidden="1" x14ac:dyDescent="0.25">
      <c r="B16" t="s">
        <v>404</v>
      </c>
      <c r="C16" t="s">
        <v>405</v>
      </c>
      <c r="D16" s="140">
        <v>118.36</v>
      </c>
      <c r="E16" s="140">
        <f t="shared" si="0"/>
        <v>131.37960000000001</v>
      </c>
      <c r="F16" s="229">
        <f t="shared" si="1"/>
        <v>23122.809600000001</v>
      </c>
    </row>
    <row r="17" spans="2:6" hidden="1" x14ac:dyDescent="0.25">
      <c r="B17" t="s">
        <v>406</v>
      </c>
      <c r="C17" t="s">
        <v>407</v>
      </c>
      <c r="D17" s="140">
        <v>148.88</v>
      </c>
      <c r="E17" s="140">
        <f t="shared" si="0"/>
        <v>165.2568</v>
      </c>
      <c r="F17" s="229">
        <f t="shared" si="1"/>
        <v>29085.196799999998</v>
      </c>
    </row>
    <row r="18" spans="2:6" hidden="1" x14ac:dyDescent="0.25">
      <c r="B18" t="s">
        <v>408</v>
      </c>
      <c r="C18" t="s">
        <v>409</v>
      </c>
      <c r="D18" s="140">
        <v>141.79</v>
      </c>
      <c r="E18" s="140">
        <f t="shared" si="0"/>
        <v>157.3869</v>
      </c>
      <c r="F18" s="229">
        <f t="shared" si="1"/>
        <v>27700.094399999998</v>
      </c>
    </row>
    <row r="19" spans="2:6" x14ac:dyDescent="0.25">
      <c r="B19" t="s">
        <v>410</v>
      </c>
      <c r="C19" t="s">
        <v>411</v>
      </c>
      <c r="D19" s="140">
        <v>133.53</v>
      </c>
      <c r="E19" s="140">
        <f t="shared" si="0"/>
        <v>148.2183</v>
      </c>
      <c r="F19" s="229">
        <f t="shared" si="1"/>
        <v>26086.4208</v>
      </c>
    </row>
    <row r="20" spans="2:6" x14ac:dyDescent="0.25">
      <c r="B20" t="s">
        <v>412</v>
      </c>
      <c r="C20" t="s">
        <v>413</v>
      </c>
      <c r="D20" s="140">
        <v>125.26</v>
      </c>
      <c r="E20" s="140">
        <f t="shared" si="0"/>
        <v>139.0386</v>
      </c>
      <c r="F20" s="229">
        <f t="shared" si="1"/>
        <v>24470.793600000001</v>
      </c>
    </row>
    <row r="21" spans="2:6" x14ac:dyDescent="0.25">
      <c r="B21" t="s">
        <v>414</v>
      </c>
      <c r="C21" t="s">
        <v>415</v>
      </c>
      <c r="D21" s="140">
        <v>71.540000000000006</v>
      </c>
      <c r="E21" s="140">
        <f t="shared" si="0"/>
        <v>79.409400000000005</v>
      </c>
      <c r="F21" s="229">
        <f t="shared" si="1"/>
        <v>13976.054400000001</v>
      </c>
    </row>
    <row r="22" spans="2:6" x14ac:dyDescent="0.25">
      <c r="B22" t="s">
        <v>416</v>
      </c>
      <c r="C22" t="s">
        <v>417</v>
      </c>
      <c r="D22" s="140">
        <v>82.32</v>
      </c>
      <c r="E22" s="140">
        <f t="shared" si="0"/>
        <v>91.375199999999992</v>
      </c>
      <c r="F22" s="229">
        <f t="shared" si="1"/>
        <v>16082.035199999998</v>
      </c>
    </row>
    <row r="23" spans="2:6" x14ac:dyDescent="0.25">
      <c r="B23" t="s">
        <v>418</v>
      </c>
      <c r="C23" t="s">
        <v>419</v>
      </c>
      <c r="D23" s="140">
        <v>102.9</v>
      </c>
      <c r="E23" s="140">
        <f t="shared" si="0"/>
        <v>114.21900000000001</v>
      </c>
      <c r="F23" s="229">
        <f t="shared" si="1"/>
        <v>20102.544000000002</v>
      </c>
    </row>
    <row r="24" spans="2:6" x14ac:dyDescent="0.25">
      <c r="B24" t="s">
        <v>420</v>
      </c>
      <c r="C24" t="s">
        <v>421</v>
      </c>
      <c r="D24" s="140">
        <v>124.46</v>
      </c>
      <c r="E24" s="140">
        <f t="shared" si="0"/>
        <v>138.1506</v>
      </c>
      <c r="F24" s="229">
        <f t="shared" si="1"/>
        <v>24314.5056</v>
      </c>
    </row>
    <row r="25" spans="2:6" x14ac:dyDescent="0.25">
      <c r="B25" t="s">
        <v>422</v>
      </c>
      <c r="C25" t="s">
        <v>423</v>
      </c>
      <c r="D25" s="140">
        <v>133.53</v>
      </c>
      <c r="E25" s="140">
        <f t="shared" si="0"/>
        <v>148.2183</v>
      </c>
      <c r="F25" s="229">
        <f t="shared" si="1"/>
        <v>26086.4208</v>
      </c>
    </row>
    <row r="26" spans="2:6" x14ac:dyDescent="0.25">
      <c r="B26" t="s">
        <v>424</v>
      </c>
      <c r="C26" t="s">
        <v>425</v>
      </c>
      <c r="D26" s="140">
        <v>125.26</v>
      </c>
      <c r="E26" s="140">
        <f t="shared" si="0"/>
        <v>139.0386</v>
      </c>
      <c r="F26" s="229">
        <f t="shared" si="1"/>
        <v>24470.793600000001</v>
      </c>
    </row>
    <row r="27" spans="2:6" hidden="1" x14ac:dyDescent="0.25">
      <c r="B27" t="s">
        <v>426</v>
      </c>
      <c r="C27" t="s">
        <v>427</v>
      </c>
      <c r="D27" s="140">
        <v>83.9</v>
      </c>
      <c r="E27" s="140">
        <f t="shared" si="0"/>
        <v>93.129000000000005</v>
      </c>
      <c r="F27" s="229">
        <f t="shared" si="1"/>
        <v>16390.704000000002</v>
      </c>
    </row>
    <row r="28" spans="2:6" hidden="1" x14ac:dyDescent="0.25">
      <c r="B28" t="s">
        <v>428</v>
      </c>
      <c r="C28" t="s">
        <v>429</v>
      </c>
      <c r="D28" s="140">
        <v>77.989999999999995</v>
      </c>
      <c r="E28" s="140">
        <f t="shared" si="0"/>
        <v>86.568899999999999</v>
      </c>
      <c r="F28" s="229">
        <f t="shared" si="1"/>
        <v>15236.126399999999</v>
      </c>
    </row>
    <row r="29" spans="2:6" hidden="1" x14ac:dyDescent="0.25">
      <c r="B29" t="s">
        <v>430</v>
      </c>
      <c r="C29" t="s">
        <v>431</v>
      </c>
      <c r="D29" s="140">
        <v>53.9</v>
      </c>
      <c r="E29" s="140">
        <f t="shared" si="0"/>
        <v>59.829000000000001</v>
      </c>
      <c r="F29" s="229">
        <f t="shared" si="1"/>
        <v>10529.904</v>
      </c>
    </row>
    <row r="30" spans="2:6" hidden="1" x14ac:dyDescent="0.25">
      <c r="B30" t="s">
        <v>432</v>
      </c>
      <c r="C30" t="s">
        <v>433</v>
      </c>
      <c r="D30" s="140">
        <v>56.6</v>
      </c>
      <c r="E30" s="140">
        <f t="shared" si="0"/>
        <v>62.826000000000001</v>
      </c>
      <c r="F30" s="229">
        <f t="shared" si="1"/>
        <v>11057.376</v>
      </c>
    </row>
    <row r="31" spans="2:6" hidden="1" x14ac:dyDescent="0.25">
      <c r="B31" t="s">
        <v>434</v>
      </c>
      <c r="C31" t="s">
        <v>435</v>
      </c>
      <c r="D31" s="140">
        <v>78.400000000000006</v>
      </c>
      <c r="E31" s="140">
        <f t="shared" si="0"/>
        <v>87.024000000000001</v>
      </c>
      <c r="F31" s="229">
        <f t="shared" si="1"/>
        <v>15316.224</v>
      </c>
    </row>
    <row r="32" spans="2:6" hidden="1" x14ac:dyDescent="0.25">
      <c r="B32" t="s">
        <v>436</v>
      </c>
      <c r="C32" t="s">
        <v>437</v>
      </c>
      <c r="D32" s="140">
        <v>82.32</v>
      </c>
      <c r="E32" s="140">
        <f t="shared" si="0"/>
        <v>91.375199999999992</v>
      </c>
      <c r="F32" s="229">
        <f t="shared" si="1"/>
        <v>16082.035199999998</v>
      </c>
    </row>
    <row r="33" spans="2:6" hidden="1" x14ac:dyDescent="0.25">
      <c r="B33" t="s">
        <v>438</v>
      </c>
      <c r="C33" t="s">
        <v>439</v>
      </c>
      <c r="D33" s="140">
        <v>117.6</v>
      </c>
      <c r="E33" s="140">
        <f t="shared" si="0"/>
        <v>130.536</v>
      </c>
      <c r="F33" s="229">
        <f t="shared" si="1"/>
        <v>22974.335999999999</v>
      </c>
    </row>
    <row r="34" spans="2:6" hidden="1" x14ac:dyDescent="0.25">
      <c r="B34" t="s">
        <v>440</v>
      </c>
      <c r="C34" t="s">
        <v>441</v>
      </c>
      <c r="D34" s="140">
        <v>122.5</v>
      </c>
      <c r="E34" s="140">
        <f t="shared" si="0"/>
        <v>135.97499999999999</v>
      </c>
      <c r="F34" s="229">
        <f t="shared" si="1"/>
        <v>23931.599999999999</v>
      </c>
    </row>
    <row r="35" spans="2:6" hidden="1" x14ac:dyDescent="0.25">
      <c r="B35" t="s">
        <v>442</v>
      </c>
      <c r="C35" t="s">
        <v>443</v>
      </c>
      <c r="D35" s="140">
        <v>100.44</v>
      </c>
      <c r="E35" s="140">
        <f t="shared" si="0"/>
        <v>111.4884</v>
      </c>
      <c r="F35" s="229">
        <f t="shared" si="1"/>
        <v>19621.9584</v>
      </c>
    </row>
    <row r="36" spans="2:6" hidden="1" x14ac:dyDescent="0.25">
      <c r="B36" t="s">
        <v>444</v>
      </c>
      <c r="C36" t="s">
        <v>445</v>
      </c>
      <c r="D36" s="140">
        <v>93.35</v>
      </c>
      <c r="E36" s="140">
        <f t="shared" si="0"/>
        <v>103.6185</v>
      </c>
      <c r="F36" s="229">
        <f t="shared" si="1"/>
        <v>18236.856</v>
      </c>
    </row>
    <row r="37" spans="2:6" hidden="1" x14ac:dyDescent="0.25">
      <c r="B37" t="s">
        <v>446</v>
      </c>
      <c r="C37" t="s">
        <v>447</v>
      </c>
      <c r="D37" s="140">
        <v>63.7</v>
      </c>
      <c r="E37" s="140">
        <f t="shared" si="0"/>
        <v>70.707000000000008</v>
      </c>
      <c r="F37" s="229">
        <f t="shared" si="1"/>
        <v>12444.432000000001</v>
      </c>
    </row>
    <row r="38" spans="2:6" hidden="1" x14ac:dyDescent="0.25">
      <c r="B38" t="s">
        <v>448</v>
      </c>
      <c r="C38" t="s">
        <v>449</v>
      </c>
      <c r="D38" s="140">
        <v>68.599999999999994</v>
      </c>
      <c r="E38" s="140">
        <f t="shared" si="0"/>
        <v>76.145999999999987</v>
      </c>
      <c r="F38" s="229">
        <f t="shared" si="1"/>
        <v>13401.695999999998</v>
      </c>
    </row>
    <row r="39" spans="2:6" hidden="1" x14ac:dyDescent="0.25">
      <c r="B39" t="s">
        <v>450</v>
      </c>
      <c r="C39" t="s">
        <v>451</v>
      </c>
      <c r="D39" s="140">
        <v>93.1</v>
      </c>
      <c r="E39" s="140">
        <f t="shared" si="0"/>
        <v>103.34099999999999</v>
      </c>
      <c r="F39" s="229">
        <f t="shared" si="1"/>
        <v>18188.016</v>
      </c>
    </row>
    <row r="40" spans="2:6" hidden="1" x14ac:dyDescent="0.25">
      <c r="B40" t="s">
        <v>452</v>
      </c>
      <c r="C40" t="s">
        <v>453</v>
      </c>
      <c r="D40" s="140">
        <v>98</v>
      </c>
      <c r="E40" s="140">
        <f t="shared" si="0"/>
        <v>108.78</v>
      </c>
      <c r="F40" s="229">
        <f t="shared" si="1"/>
        <v>19145.28</v>
      </c>
    </row>
    <row r="41" spans="2:6" hidden="1" x14ac:dyDescent="0.25">
      <c r="B41" t="s">
        <v>454</v>
      </c>
      <c r="C41" t="s">
        <v>455</v>
      </c>
      <c r="D41" s="140">
        <v>116.99</v>
      </c>
      <c r="E41" s="140">
        <f t="shared" si="0"/>
        <v>129.85890000000001</v>
      </c>
      <c r="F41" s="229">
        <f t="shared" si="1"/>
        <v>22855.166400000002</v>
      </c>
    </row>
    <row r="42" spans="2:6" hidden="1" x14ac:dyDescent="0.25">
      <c r="B42" t="s">
        <v>456</v>
      </c>
      <c r="C42" t="s">
        <v>457</v>
      </c>
      <c r="D42" s="140">
        <v>109.9</v>
      </c>
      <c r="E42" s="140">
        <f t="shared" si="0"/>
        <v>121.989</v>
      </c>
      <c r="F42" s="229">
        <f t="shared" si="1"/>
        <v>21470.064000000002</v>
      </c>
    </row>
    <row r="43" spans="2:6" hidden="1" x14ac:dyDescent="0.25">
      <c r="B43" t="s">
        <v>458</v>
      </c>
      <c r="C43" t="s">
        <v>459</v>
      </c>
      <c r="D43" s="140">
        <v>67.36</v>
      </c>
      <c r="E43" s="140">
        <f t="shared" si="0"/>
        <v>74.769599999999997</v>
      </c>
      <c r="F43" s="229">
        <f t="shared" si="1"/>
        <v>13159.4496</v>
      </c>
    </row>
    <row r="44" spans="2:6" hidden="1" x14ac:dyDescent="0.25">
      <c r="B44" t="s">
        <v>460</v>
      </c>
      <c r="C44" t="s">
        <v>461</v>
      </c>
      <c r="D44" s="140">
        <v>62.63</v>
      </c>
      <c r="E44" s="140">
        <f t="shared" si="0"/>
        <v>69.519300000000001</v>
      </c>
      <c r="F44" s="229">
        <f t="shared" si="1"/>
        <v>12235.3968</v>
      </c>
    </row>
    <row r="45" spans="2:6" hidden="1" x14ac:dyDescent="0.25">
      <c r="B45" t="s">
        <v>462</v>
      </c>
      <c r="C45" t="s">
        <v>463</v>
      </c>
      <c r="D45" s="140">
        <v>32.5</v>
      </c>
      <c r="E45" s="140">
        <f t="shared" si="0"/>
        <v>36.075000000000003</v>
      </c>
      <c r="F45" s="229">
        <f t="shared" si="1"/>
        <v>6349.2000000000007</v>
      </c>
    </row>
    <row r="46" spans="2:6" hidden="1" x14ac:dyDescent="0.25">
      <c r="B46" t="s">
        <v>464</v>
      </c>
      <c r="C46" t="s">
        <v>465</v>
      </c>
      <c r="D46" s="140">
        <v>41.37</v>
      </c>
      <c r="E46" s="140">
        <f t="shared" si="0"/>
        <v>45.920699999999997</v>
      </c>
      <c r="F46" s="229">
        <f t="shared" si="1"/>
        <v>8082.0431999999992</v>
      </c>
    </row>
    <row r="47" spans="2:6" hidden="1" x14ac:dyDescent="0.25">
      <c r="B47" t="s">
        <v>466</v>
      </c>
      <c r="C47" t="s">
        <v>467</v>
      </c>
      <c r="D47" s="140">
        <v>51.71</v>
      </c>
      <c r="E47" s="140">
        <f t="shared" si="0"/>
        <v>57.398099999999999</v>
      </c>
      <c r="F47" s="229">
        <f t="shared" si="1"/>
        <v>10102.0656</v>
      </c>
    </row>
    <row r="48" spans="2:6" hidden="1" x14ac:dyDescent="0.25">
      <c r="B48" t="s">
        <v>468</v>
      </c>
      <c r="C48" t="s">
        <v>469</v>
      </c>
      <c r="D48" s="140">
        <v>62.05</v>
      </c>
      <c r="E48" s="140">
        <f t="shared" si="0"/>
        <v>68.875500000000002</v>
      </c>
      <c r="F48" s="229">
        <f t="shared" si="1"/>
        <v>12122.088</v>
      </c>
    </row>
    <row r="49" spans="2:6" hidden="1" x14ac:dyDescent="0.25">
      <c r="B49" t="s">
        <v>470</v>
      </c>
      <c r="C49" t="s">
        <v>471</v>
      </c>
      <c r="D49" s="140">
        <v>74.510000000000005</v>
      </c>
      <c r="E49" s="140">
        <f t="shared" si="0"/>
        <v>82.706100000000006</v>
      </c>
      <c r="F49" s="229">
        <f t="shared" si="1"/>
        <v>14556.2736</v>
      </c>
    </row>
    <row r="50" spans="2:6" hidden="1" x14ac:dyDescent="0.25">
      <c r="B50" t="s">
        <v>472</v>
      </c>
      <c r="C50" t="s">
        <v>473</v>
      </c>
      <c r="D50" s="140">
        <v>61.23</v>
      </c>
      <c r="E50" s="140">
        <f t="shared" si="0"/>
        <v>67.965299999999999</v>
      </c>
      <c r="F50" s="229">
        <f t="shared" si="1"/>
        <v>11961.8928</v>
      </c>
    </row>
    <row r="51" spans="2:6" hidden="1" x14ac:dyDescent="0.25">
      <c r="B51" t="s">
        <v>474</v>
      </c>
      <c r="C51" t="s">
        <v>475</v>
      </c>
      <c r="D51" s="140">
        <v>83.9</v>
      </c>
      <c r="E51" s="140">
        <f t="shared" si="0"/>
        <v>93.129000000000005</v>
      </c>
      <c r="F51" s="229">
        <f t="shared" si="1"/>
        <v>16390.704000000002</v>
      </c>
    </row>
    <row r="52" spans="2:6" hidden="1" x14ac:dyDescent="0.25">
      <c r="B52" t="s">
        <v>476</v>
      </c>
      <c r="C52" t="s">
        <v>477</v>
      </c>
      <c r="D52" s="140">
        <v>77.989999999999995</v>
      </c>
      <c r="E52" s="140">
        <f t="shared" si="0"/>
        <v>86.568899999999999</v>
      </c>
      <c r="F52" s="229">
        <f t="shared" si="1"/>
        <v>15236.126399999999</v>
      </c>
    </row>
    <row r="53" spans="2:6" hidden="1" x14ac:dyDescent="0.25">
      <c r="B53" t="s">
        <v>478</v>
      </c>
      <c r="C53" t="s">
        <v>479</v>
      </c>
      <c r="D53" s="140">
        <v>73.5</v>
      </c>
      <c r="E53" s="140">
        <f t="shared" si="0"/>
        <v>81.585000000000008</v>
      </c>
      <c r="F53" s="229">
        <f t="shared" si="1"/>
        <v>14358.960000000001</v>
      </c>
    </row>
    <row r="54" spans="2:6" hidden="1" x14ac:dyDescent="0.25">
      <c r="B54" t="s">
        <v>480</v>
      </c>
      <c r="C54" t="s">
        <v>481</v>
      </c>
      <c r="D54" s="140">
        <v>79.75</v>
      </c>
      <c r="E54" s="140">
        <f t="shared" si="0"/>
        <v>88.522500000000008</v>
      </c>
      <c r="F54" s="229">
        <f t="shared" si="1"/>
        <v>15579.960000000001</v>
      </c>
    </row>
    <row r="55" spans="2:6" hidden="1" x14ac:dyDescent="0.25">
      <c r="B55" t="s">
        <v>482</v>
      </c>
      <c r="C55" t="s">
        <v>483</v>
      </c>
      <c r="D55" s="140">
        <v>106.82</v>
      </c>
      <c r="E55" s="140">
        <f t="shared" si="0"/>
        <v>118.5702</v>
      </c>
      <c r="F55" s="229">
        <f t="shared" si="1"/>
        <v>20868.355199999998</v>
      </c>
    </row>
    <row r="56" spans="2:6" hidden="1" x14ac:dyDescent="0.25">
      <c r="B56" t="s">
        <v>484</v>
      </c>
      <c r="C56" t="s">
        <v>485</v>
      </c>
      <c r="D56" s="140">
        <v>109.9</v>
      </c>
      <c r="E56" s="140">
        <f t="shared" si="0"/>
        <v>121.989</v>
      </c>
      <c r="F56" s="229">
        <f t="shared" si="1"/>
        <v>21470.064000000002</v>
      </c>
    </row>
    <row r="57" spans="2:6" hidden="1" x14ac:dyDescent="0.25">
      <c r="B57" t="s">
        <v>486</v>
      </c>
      <c r="C57" t="s">
        <v>487</v>
      </c>
      <c r="D57" s="140">
        <v>133.53</v>
      </c>
      <c r="E57" s="140">
        <f t="shared" si="0"/>
        <v>148.2183</v>
      </c>
      <c r="F57" s="229">
        <f t="shared" si="1"/>
        <v>26086.4208</v>
      </c>
    </row>
    <row r="58" spans="2:6" hidden="1" x14ac:dyDescent="0.25">
      <c r="B58" t="s">
        <v>488</v>
      </c>
      <c r="C58" t="s">
        <v>489</v>
      </c>
      <c r="D58" s="140">
        <v>125.26</v>
      </c>
      <c r="E58" s="140">
        <f t="shared" si="0"/>
        <v>139.0386</v>
      </c>
      <c r="F58" s="229">
        <f t="shared" si="1"/>
        <v>24470.793600000001</v>
      </c>
    </row>
    <row r="59" spans="2:6" hidden="1" x14ac:dyDescent="0.25">
      <c r="B59" t="s">
        <v>490</v>
      </c>
      <c r="C59" t="s">
        <v>491</v>
      </c>
      <c r="D59" s="140">
        <v>62.22</v>
      </c>
      <c r="E59" s="140">
        <f t="shared" si="0"/>
        <v>69.0642</v>
      </c>
      <c r="F59" s="229">
        <f t="shared" si="1"/>
        <v>12155.299199999999</v>
      </c>
    </row>
    <row r="60" spans="2:6" hidden="1" x14ac:dyDescent="0.25">
      <c r="B60" t="s">
        <v>492</v>
      </c>
      <c r="C60" t="s">
        <v>493</v>
      </c>
      <c r="D60" s="140">
        <v>66.37</v>
      </c>
      <c r="E60" s="140">
        <f t="shared" si="0"/>
        <v>73.670700000000011</v>
      </c>
      <c r="F60" s="229">
        <f t="shared" si="1"/>
        <v>12966.043200000002</v>
      </c>
    </row>
    <row r="61" spans="2:6" hidden="1" x14ac:dyDescent="0.25">
      <c r="B61" t="s">
        <v>494</v>
      </c>
      <c r="C61" t="s">
        <v>495</v>
      </c>
      <c r="D61" s="140">
        <v>99.71</v>
      </c>
      <c r="E61" s="140">
        <f t="shared" si="0"/>
        <v>110.6781</v>
      </c>
      <c r="F61" s="229">
        <f t="shared" si="1"/>
        <v>19479.345600000001</v>
      </c>
    </row>
    <row r="62" spans="2:6" hidden="1" x14ac:dyDescent="0.25">
      <c r="B62" t="s">
        <v>496</v>
      </c>
      <c r="C62" t="s">
        <v>497</v>
      </c>
      <c r="D62" s="140">
        <v>106.36</v>
      </c>
      <c r="E62" s="140">
        <f t="shared" si="0"/>
        <v>118.0596</v>
      </c>
      <c r="F62" s="229">
        <f t="shared" si="1"/>
        <v>20778.489600000001</v>
      </c>
    </row>
    <row r="63" spans="2:6" hidden="1" x14ac:dyDescent="0.25">
      <c r="B63" t="s">
        <v>498</v>
      </c>
      <c r="C63" t="s">
        <v>499</v>
      </c>
      <c r="D63" s="140">
        <v>127.37</v>
      </c>
      <c r="E63" s="140">
        <f t="shared" si="0"/>
        <v>141.38069999999999</v>
      </c>
      <c r="F63" s="229">
        <f t="shared" si="1"/>
        <v>24883.003199999999</v>
      </c>
    </row>
    <row r="64" spans="2:6" hidden="1" x14ac:dyDescent="0.25">
      <c r="B64" t="s">
        <v>500</v>
      </c>
      <c r="C64" t="s">
        <v>501</v>
      </c>
      <c r="D64" s="140">
        <v>135.87</v>
      </c>
      <c r="E64" s="140">
        <f t="shared" si="0"/>
        <v>150.81569999999999</v>
      </c>
      <c r="F64" s="229">
        <f t="shared" si="1"/>
        <v>26543.563199999997</v>
      </c>
    </row>
    <row r="65" spans="2:6" hidden="1" x14ac:dyDescent="0.25">
      <c r="B65" t="s">
        <v>502</v>
      </c>
      <c r="C65" t="s">
        <v>503</v>
      </c>
      <c r="D65" s="140">
        <v>77.42</v>
      </c>
      <c r="E65" s="140">
        <f t="shared" si="0"/>
        <v>85.936199999999999</v>
      </c>
      <c r="F65" s="229">
        <f t="shared" si="1"/>
        <v>15124.771199999999</v>
      </c>
    </row>
    <row r="66" spans="2:6" hidden="1" x14ac:dyDescent="0.25">
      <c r="B66" t="s">
        <v>504</v>
      </c>
      <c r="C66" t="s">
        <v>505</v>
      </c>
      <c r="D66" s="140">
        <v>83.55</v>
      </c>
      <c r="E66" s="140">
        <f t="shared" si="0"/>
        <v>92.740499999999997</v>
      </c>
      <c r="F66" s="229">
        <f t="shared" si="1"/>
        <v>16322.328</v>
      </c>
    </row>
    <row r="67" spans="2:6" hidden="1" x14ac:dyDescent="0.25">
      <c r="B67" t="s">
        <v>506</v>
      </c>
      <c r="C67" t="s">
        <v>507</v>
      </c>
      <c r="D67" s="140">
        <v>113.68</v>
      </c>
      <c r="E67" s="140">
        <f t="shared" si="0"/>
        <v>126.18480000000001</v>
      </c>
      <c r="F67" s="229">
        <f t="shared" si="1"/>
        <v>22208.524800000003</v>
      </c>
    </row>
    <row r="68" spans="2:6" hidden="1" x14ac:dyDescent="0.25">
      <c r="B68" t="s">
        <v>508</v>
      </c>
      <c r="C68" t="s">
        <v>509</v>
      </c>
      <c r="D68" s="140">
        <v>135.58000000000001</v>
      </c>
      <c r="E68" s="140">
        <f t="shared" ref="E68:E131" si="2">(D68*$E$1) + D68</f>
        <v>150.49380000000002</v>
      </c>
      <c r="F68" s="229">
        <f t="shared" ref="F68:F131" si="3">E68*$F$1</f>
        <v>26486.908800000005</v>
      </c>
    </row>
    <row r="69" spans="2:6" hidden="1" x14ac:dyDescent="0.25">
      <c r="B69" t="s">
        <v>510</v>
      </c>
      <c r="C69" t="s">
        <v>511</v>
      </c>
      <c r="D69" s="140">
        <v>162.68</v>
      </c>
      <c r="E69" s="140">
        <f t="shared" si="2"/>
        <v>180.57480000000001</v>
      </c>
      <c r="F69" s="229">
        <f t="shared" si="3"/>
        <v>31781.164800000002</v>
      </c>
    </row>
    <row r="70" spans="2:6" hidden="1" x14ac:dyDescent="0.25">
      <c r="B70" t="s">
        <v>512</v>
      </c>
      <c r="C70" t="s">
        <v>513</v>
      </c>
      <c r="D70" s="140">
        <v>166.31</v>
      </c>
      <c r="E70" s="140">
        <f t="shared" si="2"/>
        <v>184.60410000000002</v>
      </c>
      <c r="F70" s="229">
        <f t="shared" si="3"/>
        <v>32490.321600000003</v>
      </c>
    </row>
    <row r="71" spans="2:6" hidden="1" x14ac:dyDescent="0.25">
      <c r="B71" t="s">
        <v>514</v>
      </c>
      <c r="C71" t="s">
        <v>515</v>
      </c>
      <c r="D71" s="140">
        <v>75.44</v>
      </c>
      <c r="E71" s="140">
        <f t="shared" si="2"/>
        <v>83.738399999999999</v>
      </c>
      <c r="F71" s="229">
        <f t="shared" si="3"/>
        <v>14737.9584</v>
      </c>
    </row>
    <row r="72" spans="2:6" hidden="1" x14ac:dyDescent="0.25">
      <c r="B72" t="s">
        <v>516</v>
      </c>
      <c r="C72" t="s">
        <v>517</v>
      </c>
      <c r="D72" s="140">
        <v>78.59</v>
      </c>
      <c r="E72" s="140">
        <f t="shared" si="2"/>
        <v>87.23490000000001</v>
      </c>
      <c r="F72" s="229">
        <f t="shared" si="3"/>
        <v>15353.342400000001</v>
      </c>
    </row>
    <row r="73" spans="2:6" hidden="1" x14ac:dyDescent="0.25">
      <c r="B73" t="s">
        <v>518</v>
      </c>
      <c r="C73" t="s">
        <v>519</v>
      </c>
      <c r="D73" s="140">
        <v>37.72</v>
      </c>
      <c r="E73" s="140">
        <f t="shared" si="2"/>
        <v>41.869199999999999</v>
      </c>
      <c r="F73" s="229">
        <f t="shared" si="3"/>
        <v>7368.9791999999998</v>
      </c>
    </row>
    <row r="74" spans="2:6" hidden="1" x14ac:dyDescent="0.25">
      <c r="B74" t="s">
        <v>520</v>
      </c>
      <c r="C74" t="s">
        <v>521</v>
      </c>
      <c r="D74" s="140">
        <v>40.72</v>
      </c>
      <c r="E74" s="140">
        <f t="shared" si="2"/>
        <v>45.199199999999998</v>
      </c>
      <c r="F74" s="229">
        <f t="shared" si="3"/>
        <v>7955.0591999999997</v>
      </c>
    </row>
    <row r="75" spans="2:6" hidden="1" x14ac:dyDescent="0.25">
      <c r="B75" t="s">
        <v>522</v>
      </c>
      <c r="C75" t="s">
        <v>523</v>
      </c>
      <c r="D75" s="140">
        <v>57.61</v>
      </c>
      <c r="E75" s="140">
        <f t="shared" si="2"/>
        <v>63.947099999999999</v>
      </c>
      <c r="F75" s="229">
        <f t="shared" si="3"/>
        <v>11254.6896</v>
      </c>
    </row>
    <row r="76" spans="2:6" hidden="1" x14ac:dyDescent="0.25">
      <c r="B76" t="s">
        <v>524</v>
      </c>
      <c r="C76" t="s">
        <v>525</v>
      </c>
      <c r="D76" s="140">
        <v>60.01</v>
      </c>
      <c r="E76" s="140">
        <f t="shared" si="2"/>
        <v>66.611099999999993</v>
      </c>
      <c r="F76" s="229">
        <f t="shared" si="3"/>
        <v>11723.553599999999</v>
      </c>
    </row>
    <row r="77" spans="2:6" hidden="1" x14ac:dyDescent="0.25">
      <c r="B77" t="s">
        <v>526</v>
      </c>
      <c r="C77" t="s">
        <v>527</v>
      </c>
      <c r="D77" s="140">
        <v>68.58</v>
      </c>
      <c r="E77" s="140">
        <f t="shared" si="2"/>
        <v>76.123800000000003</v>
      </c>
      <c r="F77" s="229">
        <f t="shared" si="3"/>
        <v>13397.7888</v>
      </c>
    </row>
    <row r="78" spans="2:6" hidden="1" x14ac:dyDescent="0.25">
      <c r="B78" t="s">
        <v>528</v>
      </c>
      <c r="C78" t="s">
        <v>529</v>
      </c>
      <c r="D78" s="140">
        <v>71.44</v>
      </c>
      <c r="E78" s="140">
        <f t="shared" si="2"/>
        <v>79.298400000000001</v>
      </c>
      <c r="F78" s="229">
        <f t="shared" si="3"/>
        <v>13956.518400000001</v>
      </c>
    </row>
    <row r="79" spans="2:6" hidden="1" x14ac:dyDescent="0.25">
      <c r="B79" t="s">
        <v>530</v>
      </c>
      <c r="C79" t="s">
        <v>531</v>
      </c>
      <c r="D79" s="140">
        <v>142.1</v>
      </c>
      <c r="E79" s="140">
        <f t="shared" si="2"/>
        <v>157.73099999999999</v>
      </c>
      <c r="F79" s="229">
        <f t="shared" si="3"/>
        <v>27760.655999999999</v>
      </c>
    </row>
    <row r="80" spans="2:6" hidden="1" x14ac:dyDescent="0.25">
      <c r="B80" t="s">
        <v>532</v>
      </c>
      <c r="C80" t="s">
        <v>533</v>
      </c>
      <c r="D80" s="140">
        <v>147.97999999999999</v>
      </c>
      <c r="E80" s="140">
        <f t="shared" si="2"/>
        <v>164.25779999999997</v>
      </c>
      <c r="F80" s="229">
        <f t="shared" si="3"/>
        <v>28909.372799999997</v>
      </c>
    </row>
    <row r="81" spans="2:6" hidden="1" x14ac:dyDescent="0.25">
      <c r="B81" t="s">
        <v>534</v>
      </c>
      <c r="C81" t="s">
        <v>535</v>
      </c>
      <c r="D81" s="140">
        <v>72.48</v>
      </c>
      <c r="E81" s="140">
        <f t="shared" si="2"/>
        <v>80.452800000000011</v>
      </c>
      <c r="F81" s="229">
        <f t="shared" si="3"/>
        <v>14159.692800000003</v>
      </c>
    </row>
    <row r="82" spans="2:6" hidden="1" x14ac:dyDescent="0.25">
      <c r="B82" t="s">
        <v>536</v>
      </c>
      <c r="C82" t="s">
        <v>537</v>
      </c>
      <c r="D82" s="140">
        <v>81.540000000000006</v>
      </c>
      <c r="E82" s="140">
        <f t="shared" si="2"/>
        <v>90.509399999999999</v>
      </c>
      <c r="F82" s="229">
        <f t="shared" si="3"/>
        <v>15929.654399999999</v>
      </c>
    </row>
    <row r="83" spans="2:6" hidden="1" x14ac:dyDescent="0.25">
      <c r="B83" t="s">
        <v>538</v>
      </c>
      <c r="C83" t="s">
        <v>539</v>
      </c>
      <c r="D83" s="140">
        <v>102.41</v>
      </c>
      <c r="E83" s="140">
        <f t="shared" si="2"/>
        <v>113.6751</v>
      </c>
      <c r="F83" s="229">
        <f t="shared" si="3"/>
        <v>20006.817599999998</v>
      </c>
    </row>
    <row r="84" spans="2:6" hidden="1" x14ac:dyDescent="0.25">
      <c r="B84" t="s">
        <v>540</v>
      </c>
      <c r="C84" t="s">
        <v>541</v>
      </c>
      <c r="D84" s="140">
        <v>112.11</v>
      </c>
      <c r="E84" s="140">
        <f t="shared" si="2"/>
        <v>124.4421</v>
      </c>
      <c r="F84" s="229">
        <f t="shared" si="3"/>
        <v>21901.809600000001</v>
      </c>
    </row>
    <row r="85" spans="2:6" hidden="1" x14ac:dyDescent="0.25">
      <c r="B85" t="s">
        <v>542</v>
      </c>
      <c r="C85" t="s">
        <v>543</v>
      </c>
      <c r="D85" s="140">
        <v>127.4</v>
      </c>
      <c r="E85" s="140">
        <f t="shared" si="2"/>
        <v>141.41400000000002</v>
      </c>
      <c r="F85" s="229">
        <f t="shared" si="3"/>
        <v>24888.864000000001</v>
      </c>
    </row>
    <row r="86" spans="2:6" hidden="1" x14ac:dyDescent="0.25">
      <c r="B86" t="s">
        <v>544</v>
      </c>
      <c r="C86" t="s">
        <v>545</v>
      </c>
      <c r="D86" s="140">
        <v>137.19999999999999</v>
      </c>
      <c r="E86" s="140">
        <f t="shared" si="2"/>
        <v>152.29199999999997</v>
      </c>
      <c r="F86" s="229">
        <f t="shared" si="3"/>
        <v>26803.391999999996</v>
      </c>
    </row>
    <row r="87" spans="2:6" hidden="1" x14ac:dyDescent="0.25">
      <c r="B87" t="s">
        <v>546</v>
      </c>
      <c r="C87" t="s">
        <v>547</v>
      </c>
      <c r="D87" s="140">
        <v>62.37</v>
      </c>
      <c r="E87" s="140">
        <f t="shared" si="2"/>
        <v>69.230699999999999</v>
      </c>
      <c r="F87" s="229">
        <f t="shared" si="3"/>
        <v>12184.6032</v>
      </c>
    </row>
    <row r="88" spans="2:6" hidden="1" x14ac:dyDescent="0.25">
      <c r="B88" t="s">
        <v>548</v>
      </c>
      <c r="C88" t="s">
        <v>549</v>
      </c>
      <c r="D88" s="140">
        <v>57.99</v>
      </c>
      <c r="E88" s="140">
        <f t="shared" si="2"/>
        <v>64.368899999999996</v>
      </c>
      <c r="F88" s="229">
        <f t="shared" si="3"/>
        <v>11328.9264</v>
      </c>
    </row>
    <row r="89" spans="2:6" hidden="1" x14ac:dyDescent="0.25">
      <c r="B89" t="s">
        <v>550</v>
      </c>
      <c r="C89" t="s">
        <v>551</v>
      </c>
      <c r="D89" s="140">
        <v>31.73</v>
      </c>
      <c r="E89" s="140">
        <f t="shared" si="2"/>
        <v>35.220300000000002</v>
      </c>
      <c r="F89" s="229">
        <f t="shared" si="3"/>
        <v>6198.7728000000006</v>
      </c>
    </row>
    <row r="90" spans="2:6" hidden="1" x14ac:dyDescent="0.25">
      <c r="B90" t="s">
        <v>552</v>
      </c>
      <c r="C90" t="s">
        <v>553</v>
      </c>
      <c r="D90" s="140">
        <v>29.54</v>
      </c>
      <c r="E90" s="140">
        <f t="shared" si="2"/>
        <v>32.789400000000001</v>
      </c>
      <c r="F90" s="229">
        <f t="shared" si="3"/>
        <v>5770.9344000000001</v>
      </c>
    </row>
    <row r="91" spans="2:6" hidden="1" x14ac:dyDescent="0.25">
      <c r="B91" t="s">
        <v>554</v>
      </c>
      <c r="C91" t="s">
        <v>555</v>
      </c>
      <c r="D91" s="140">
        <v>39.39</v>
      </c>
      <c r="E91" s="140">
        <f t="shared" si="2"/>
        <v>43.722900000000003</v>
      </c>
      <c r="F91" s="229">
        <f t="shared" si="3"/>
        <v>7695.2304000000004</v>
      </c>
    </row>
    <row r="92" spans="2:6" hidden="1" x14ac:dyDescent="0.25">
      <c r="B92" t="s">
        <v>556</v>
      </c>
      <c r="C92" t="s">
        <v>557</v>
      </c>
      <c r="D92" s="140">
        <v>36.11</v>
      </c>
      <c r="E92" s="140">
        <f t="shared" si="2"/>
        <v>40.082099999999997</v>
      </c>
      <c r="F92" s="229">
        <f t="shared" si="3"/>
        <v>7054.4495999999999</v>
      </c>
    </row>
    <row r="93" spans="2:6" hidden="1" x14ac:dyDescent="0.25">
      <c r="B93" t="s">
        <v>558</v>
      </c>
      <c r="C93" t="s">
        <v>559</v>
      </c>
      <c r="D93" s="140">
        <v>47.05</v>
      </c>
      <c r="E93" s="140">
        <f t="shared" si="2"/>
        <v>52.225499999999997</v>
      </c>
      <c r="F93" s="229">
        <f t="shared" si="3"/>
        <v>9191.6880000000001</v>
      </c>
    </row>
    <row r="94" spans="2:6" hidden="1" x14ac:dyDescent="0.25">
      <c r="B94" t="s">
        <v>560</v>
      </c>
      <c r="C94" t="s">
        <v>561</v>
      </c>
      <c r="D94" s="140">
        <v>43.77</v>
      </c>
      <c r="E94" s="140">
        <f t="shared" si="2"/>
        <v>48.584700000000005</v>
      </c>
      <c r="F94" s="229">
        <f t="shared" si="3"/>
        <v>8550.9072000000015</v>
      </c>
    </row>
    <row r="95" spans="2:6" hidden="1" x14ac:dyDescent="0.25">
      <c r="B95" t="s">
        <v>562</v>
      </c>
      <c r="C95" t="s">
        <v>563</v>
      </c>
      <c r="D95" s="140">
        <v>147.38</v>
      </c>
      <c r="E95" s="140">
        <f t="shared" si="2"/>
        <v>163.59180000000001</v>
      </c>
      <c r="F95" s="229">
        <f t="shared" si="3"/>
        <v>28792.156800000001</v>
      </c>
    </row>
    <row r="96" spans="2:6" hidden="1" x14ac:dyDescent="0.25">
      <c r="B96" t="s">
        <v>564</v>
      </c>
      <c r="C96" t="s">
        <v>565</v>
      </c>
      <c r="D96" s="140">
        <v>140.36000000000001</v>
      </c>
      <c r="E96" s="140">
        <f t="shared" si="2"/>
        <v>155.79960000000003</v>
      </c>
      <c r="F96" s="229">
        <f t="shared" si="3"/>
        <v>27420.729600000006</v>
      </c>
    </row>
    <row r="97" spans="2:6" hidden="1" x14ac:dyDescent="0.25">
      <c r="B97" t="s">
        <v>566</v>
      </c>
      <c r="C97" t="s">
        <v>567</v>
      </c>
      <c r="D97" s="140">
        <v>59.09</v>
      </c>
      <c r="E97" s="140">
        <f t="shared" si="2"/>
        <v>65.5899</v>
      </c>
      <c r="F97" s="229">
        <f t="shared" si="3"/>
        <v>11543.822400000001</v>
      </c>
    </row>
    <row r="98" spans="2:6" hidden="1" x14ac:dyDescent="0.25">
      <c r="B98" t="s">
        <v>568</v>
      </c>
      <c r="C98" t="s">
        <v>569</v>
      </c>
      <c r="D98" s="140">
        <v>72.22</v>
      </c>
      <c r="E98" s="140">
        <f t="shared" si="2"/>
        <v>80.164199999999994</v>
      </c>
      <c r="F98" s="229">
        <f t="shared" si="3"/>
        <v>14108.8992</v>
      </c>
    </row>
    <row r="99" spans="2:6" hidden="1" x14ac:dyDescent="0.25">
      <c r="B99" t="s">
        <v>570</v>
      </c>
      <c r="C99" t="s">
        <v>571</v>
      </c>
      <c r="D99" s="140">
        <v>102.94</v>
      </c>
      <c r="E99" s="140">
        <f t="shared" si="2"/>
        <v>114.26339999999999</v>
      </c>
      <c r="F99" s="229">
        <f t="shared" si="3"/>
        <v>20110.358399999997</v>
      </c>
    </row>
    <row r="100" spans="2:6" hidden="1" x14ac:dyDescent="0.25">
      <c r="B100" t="s">
        <v>572</v>
      </c>
      <c r="C100" t="s">
        <v>573</v>
      </c>
      <c r="D100" s="140">
        <v>101.76</v>
      </c>
      <c r="E100" s="140">
        <f t="shared" si="2"/>
        <v>112.95360000000001</v>
      </c>
      <c r="F100" s="229">
        <f t="shared" si="3"/>
        <v>19879.833600000002</v>
      </c>
    </row>
    <row r="101" spans="2:6" hidden="1" x14ac:dyDescent="0.25">
      <c r="B101" t="s">
        <v>574</v>
      </c>
      <c r="C101" t="s">
        <v>575</v>
      </c>
      <c r="D101" s="140">
        <v>133.97999999999999</v>
      </c>
      <c r="E101" s="140">
        <f t="shared" si="2"/>
        <v>148.71779999999998</v>
      </c>
      <c r="F101" s="229">
        <f t="shared" si="3"/>
        <v>26174.332799999996</v>
      </c>
    </row>
    <row r="102" spans="2:6" hidden="1" x14ac:dyDescent="0.25">
      <c r="B102" t="s">
        <v>576</v>
      </c>
      <c r="C102" t="s">
        <v>577</v>
      </c>
      <c r="D102" s="140">
        <v>127.6</v>
      </c>
      <c r="E102" s="140">
        <f t="shared" si="2"/>
        <v>141.636</v>
      </c>
      <c r="F102" s="229">
        <f t="shared" si="3"/>
        <v>24927.935999999998</v>
      </c>
    </row>
    <row r="103" spans="2:6" hidden="1" x14ac:dyDescent="0.25">
      <c r="B103" t="s">
        <v>578</v>
      </c>
      <c r="C103" t="s">
        <v>579</v>
      </c>
      <c r="D103" s="140">
        <v>154.84</v>
      </c>
      <c r="E103" s="140">
        <f t="shared" si="2"/>
        <v>171.8724</v>
      </c>
      <c r="F103" s="229">
        <f t="shared" si="3"/>
        <v>30249.542399999998</v>
      </c>
    </row>
    <row r="104" spans="2:6" hidden="1" x14ac:dyDescent="0.25">
      <c r="B104" t="s">
        <v>580</v>
      </c>
      <c r="C104" t="s">
        <v>581</v>
      </c>
      <c r="D104" s="140">
        <v>158.65</v>
      </c>
      <c r="E104" s="140">
        <f t="shared" si="2"/>
        <v>176.10150000000002</v>
      </c>
      <c r="F104" s="229">
        <f t="shared" si="3"/>
        <v>30993.864000000001</v>
      </c>
    </row>
    <row r="105" spans="2:6" hidden="1" x14ac:dyDescent="0.25">
      <c r="B105" t="s">
        <v>582</v>
      </c>
      <c r="C105" t="s">
        <v>583</v>
      </c>
      <c r="D105" s="140">
        <v>58.8</v>
      </c>
      <c r="E105" s="140">
        <f t="shared" si="2"/>
        <v>65.268000000000001</v>
      </c>
      <c r="F105" s="229">
        <f t="shared" si="3"/>
        <v>11487.168</v>
      </c>
    </row>
    <row r="106" spans="2:6" hidden="1" x14ac:dyDescent="0.25">
      <c r="B106" t="s">
        <v>584</v>
      </c>
      <c r="C106" t="s">
        <v>585</v>
      </c>
      <c r="D106" s="140">
        <v>61.74</v>
      </c>
      <c r="E106" s="140">
        <f t="shared" si="2"/>
        <v>68.531400000000005</v>
      </c>
      <c r="F106" s="229">
        <f t="shared" si="3"/>
        <v>12061.526400000001</v>
      </c>
    </row>
    <row r="107" spans="2:6" hidden="1" x14ac:dyDescent="0.25">
      <c r="B107" t="s">
        <v>586</v>
      </c>
      <c r="C107" t="s">
        <v>587</v>
      </c>
      <c r="D107" s="140">
        <v>88.2</v>
      </c>
      <c r="E107" s="140">
        <f t="shared" si="2"/>
        <v>97.902000000000001</v>
      </c>
      <c r="F107" s="229">
        <f t="shared" si="3"/>
        <v>17230.752</v>
      </c>
    </row>
    <row r="108" spans="2:6" hidden="1" x14ac:dyDescent="0.25">
      <c r="B108" t="s">
        <v>588</v>
      </c>
      <c r="C108" t="s">
        <v>589</v>
      </c>
      <c r="D108" s="140">
        <v>92.61</v>
      </c>
      <c r="E108" s="140">
        <f t="shared" si="2"/>
        <v>102.7971</v>
      </c>
      <c r="F108" s="229">
        <f t="shared" si="3"/>
        <v>18092.2896</v>
      </c>
    </row>
    <row r="109" spans="2:6" hidden="1" x14ac:dyDescent="0.25">
      <c r="B109" t="s">
        <v>590</v>
      </c>
      <c r="C109" t="s">
        <v>591</v>
      </c>
      <c r="D109" s="140">
        <v>107.8</v>
      </c>
      <c r="E109" s="140">
        <f t="shared" si="2"/>
        <v>119.658</v>
      </c>
      <c r="F109" s="229">
        <f t="shared" si="3"/>
        <v>21059.808000000001</v>
      </c>
    </row>
    <row r="110" spans="2:6" hidden="1" x14ac:dyDescent="0.25">
      <c r="B110" t="s">
        <v>592</v>
      </c>
      <c r="C110" t="s">
        <v>593</v>
      </c>
      <c r="D110" s="140">
        <v>113.19</v>
      </c>
      <c r="E110" s="140">
        <f t="shared" si="2"/>
        <v>125.6409</v>
      </c>
      <c r="F110" s="229">
        <f t="shared" si="3"/>
        <v>22112.7984</v>
      </c>
    </row>
    <row r="111" spans="2:6" hidden="1" x14ac:dyDescent="0.25">
      <c r="B111" t="s">
        <v>594</v>
      </c>
      <c r="C111" t="s">
        <v>595</v>
      </c>
      <c r="D111" s="140">
        <v>108.32</v>
      </c>
      <c r="E111" s="140">
        <f t="shared" si="2"/>
        <v>120.23519999999999</v>
      </c>
      <c r="F111" s="229">
        <f t="shared" si="3"/>
        <v>21161.395199999999</v>
      </c>
    </row>
    <row r="112" spans="2:6" hidden="1" x14ac:dyDescent="0.25">
      <c r="B112" t="s">
        <v>596</v>
      </c>
      <c r="C112" t="s">
        <v>597</v>
      </c>
      <c r="D112" s="140">
        <v>101.76</v>
      </c>
      <c r="E112" s="140">
        <f t="shared" si="2"/>
        <v>112.95360000000001</v>
      </c>
      <c r="F112" s="229">
        <f t="shared" si="3"/>
        <v>19879.833600000002</v>
      </c>
    </row>
    <row r="113" spans="2:6" hidden="1" x14ac:dyDescent="0.25">
      <c r="B113" t="s">
        <v>598</v>
      </c>
      <c r="C113" t="s">
        <v>599</v>
      </c>
      <c r="D113" s="140">
        <v>62.09</v>
      </c>
      <c r="E113" s="140">
        <f t="shared" si="2"/>
        <v>68.919899999999998</v>
      </c>
      <c r="F113" s="229">
        <f t="shared" si="3"/>
        <v>12129.902399999999</v>
      </c>
    </row>
    <row r="114" spans="2:6" hidden="1" x14ac:dyDescent="0.25">
      <c r="B114" t="s">
        <v>600</v>
      </c>
      <c r="C114" t="s">
        <v>601</v>
      </c>
      <c r="D114" s="140">
        <v>65.650000000000006</v>
      </c>
      <c r="E114" s="140">
        <f t="shared" si="2"/>
        <v>72.871500000000012</v>
      </c>
      <c r="F114" s="229">
        <f t="shared" si="3"/>
        <v>12825.384000000002</v>
      </c>
    </row>
    <row r="115" spans="2:6" hidden="1" x14ac:dyDescent="0.25">
      <c r="B115" t="s">
        <v>602</v>
      </c>
      <c r="C115" t="s">
        <v>603</v>
      </c>
      <c r="D115" s="140">
        <v>85.35</v>
      </c>
      <c r="E115" s="140">
        <f t="shared" si="2"/>
        <v>94.738499999999988</v>
      </c>
      <c r="F115" s="229">
        <f t="shared" si="3"/>
        <v>16673.975999999999</v>
      </c>
    </row>
    <row r="116" spans="2:6" hidden="1" x14ac:dyDescent="0.25">
      <c r="B116" t="s">
        <v>604</v>
      </c>
      <c r="C116" t="s">
        <v>605</v>
      </c>
      <c r="D116" s="140">
        <v>79.87</v>
      </c>
      <c r="E116" s="140">
        <f t="shared" si="2"/>
        <v>88.65570000000001</v>
      </c>
      <c r="F116" s="229">
        <f t="shared" si="3"/>
        <v>15603.403200000002</v>
      </c>
    </row>
    <row r="117" spans="2:6" hidden="1" x14ac:dyDescent="0.25">
      <c r="B117" t="s">
        <v>606</v>
      </c>
      <c r="C117" t="s">
        <v>607</v>
      </c>
      <c r="D117" s="140">
        <v>100.66</v>
      </c>
      <c r="E117" s="140">
        <f t="shared" si="2"/>
        <v>111.73259999999999</v>
      </c>
      <c r="F117" s="229">
        <f t="shared" si="3"/>
        <v>19664.937599999997</v>
      </c>
    </row>
    <row r="118" spans="2:6" hidden="1" x14ac:dyDescent="0.25">
      <c r="B118" t="s">
        <v>608</v>
      </c>
      <c r="C118" t="s">
        <v>609</v>
      </c>
      <c r="D118" s="140">
        <v>94.1</v>
      </c>
      <c r="E118" s="140">
        <f t="shared" si="2"/>
        <v>104.45099999999999</v>
      </c>
      <c r="F118" s="229">
        <f t="shared" si="3"/>
        <v>18383.376</v>
      </c>
    </row>
    <row r="119" spans="2:6" hidden="1" x14ac:dyDescent="0.25">
      <c r="B119" t="s">
        <v>610</v>
      </c>
      <c r="C119" t="s">
        <v>611</v>
      </c>
      <c r="D119" s="140">
        <v>93</v>
      </c>
      <c r="E119" s="140">
        <f t="shared" si="2"/>
        <v>103.23</v>
      </c>
      <c r="F119" s="229">
        <f t="shared" si="3"/>
        <v>18168.48</v>
      </c>
    </row>
    <row r="120" spans="2:6" hidden="1" x14ac:dyDescent="0.25">
      <c r="B120" t="s">
        <v>612</v>
      </c>
      <c r="C120" t="s">
        <v>613</v>
      </c>
      <c r="D120" s="140">
        <v>86.44</v>
      </c>
      <c r="E120" s="140">
        <f t="shared" si="2"/>
        <v>95.948399999999992</v>
      </c>
      <c r="F120" s="229">
        <f t="shared" si="3"/>
        <v>16886.918399999999</v>
      </c>
    </row>
    <row r="121" spans="2:6" hidden="1" x14ac:dyDescent="0.25">
      <c r="B121" t="s">
        <v>614</v>
      </c>
      <c r="C121" t="s">
        <v>615</v>
      </c>
      <c r="D121" s="140">
        <v>62.09</v>
      </c>
      <c r="E121" s="140">
        <f t="shared" si="2"/>
        <v>68.919899999999998</v>
      </c>
      <c r="F121" s="229">
        <f t="shared" si="3"/>
        <v>12129.902399999999</v>
      </c>
    </row>
    <row r="122" spans="2:6" hidden="1" x14ac:dyDescent="0.25">
      <c r="B122" t="s">
        <v>616</v>
      </c>
      <c r="C122" t="s">
        <v>617</v>
      </c>
      <c r="D122" s="140">
        <v>57.99</v>
      </c>
      <c r="E122" s="140">
        <f t="shared" si="2"/>
        <v>64.368899999999996</v>
      </c>
      <c r="F122" s="229">
        <f t="shared" si="3"/>
        <v>11328.9264</v>
      </c>
    </row>
    <row r="123" spans="2:6" hidden="1" x14ac:dyDescent="0.25">
      <c r="B123" t="s">
        <v>618</v>
      </c>
      <c r="C123" t="s">
        <v>619</v>
      </c>
      <c r="D123" s="140">
        <v>70.03</v>
      </c>
      <c r="E123" s="140">
        <f t="shared" si="2"/>
        <v>77.7333</v>
      </c>
      <c r="F123" s="229">
        <f t="shared" si="3"/>
        <v>13681.060799999999</v>
      </c>
    </row>
    <row r="124" spans="2:6" hidden="1" x14ac:dyDescent="0.25">
      <c r="B124" t="s">
        <v>620</v>
      </c>
      <c r="C124" t="s">
        <v>621</v>
      </c>
      <c r="D124" s="140">
        <v>65.650000000000006</v>
      </c>
      <c r="E124" s="140">
        <f t="shared" si="2"/>
        <v>72.871500000000012</v>
      </c>
      <c r="F124" s="229">
        <f t="shared" si="3"/>
        <v>12825.384000000002</v>
      </c>
    </row>
    <row r="125" spans="2:6" hidden="1" x14ac:dyDescent="0.25">
      <c r="B125" t="s">
        <v>622</v>
      </c>
      <c r="C125" t="s">
        <v>623</v>
      </c>
      <c r="D125" s="140">
        <v>77.69</v>
      </c>
      <c r="E125" s="140">
        <f t="shared" si="2"/>
        <v>86.235900000000001</v>
      </c>
      <c r="F125" s="229">
        <f t="shared" si="3"/>
        <v>15177.518400000001</v>
      </c>
    </row>
    <row r="126" spans="2:6" hidden="1" x14ac:dyDescent="0.25">
      <c r="B126" t="s">
        <v>624</v>
      </c>
      <c r="C126" t="s">
        <v>625</v>
      </c>
      <c r="D126" s="140">
        <v>72.22</v>
      </c>
      <c r="E126" s="140">
        <f t="shared" si="2"/>
        <v>80.164199999999994</v>
      </c>
      <c r="F126" s="229">
        <f t="shared" si="3"/>
        <v>14108.8992</v>
      </c>
    </row>
    <row r="127" spans="2:6" hidden="1" x14ac:dyDescent="0.25">
      <c r="B127" t="s">
        <v>626</v>
      </c>
      <c r="C127" t="s">
        <v>627</v>
      </c>
      <c r="D127" s="140">
        <v>93</v>
      </c>
      <c r="E127" s="140">
        <f t="shared" si="2"/>
        <v>103.23</v>
      </c>
      <c r="F127" s="229">
        <f t="shared" si="3"/>
        <v>18168.48</v>
      </c>
    </row>
    <row r="128" spans="2:6" hidden="1" x14ac:dyDescent="0.25">
      <c r="B128" t="s">
        <v>628</v>
      </c>
      <c r="C128" t="s">
        <v>629</v>
      </c>
      <c r="D128" s="140">
        <v>86.44</v>
      </c>
      <c r="E128" s="140">
        <f t="shared" si="2"/>
        <v>95.948399999999992</v>
      </c>
      <c r="F128" s="229">
        <f t="shared" si="3"/>
        <v>16886.918399999999</v>
      </c>
    </row>
    <row r="129" spans="2:6" hidden="1" x14ac:dyDescent="0.25">
      <c r="B129" t="s">
        <v>630</v>
      </c>
      <c r="C129" t="s">
        <v>631</v>
      </c>
      <c r="D129" s="140">
        <v>62.09</v>
      </c>
      <c r="E129" s="140">
        <f t="shared" si="2"/>
        <v>68.919899999999998</v>
      </c>
      <c r="F129" s="229">
        <f t="shared" si="3"/>
        <v>12129.902399999999</v>
      </c>
    </row>
    <row r="130" spans="2:6" hidden="1" x14ac:dyDescent="0.25">
      <c r="B130" t="s">
        <v>632</v>
      </c>
      <c r="C130" t="s">
        <v>633</v>
      </c>
      <c r="D130" s="140">
        <v>57.99</v>
      </c>
      <c r="E130" s="140">
        <f t="shared" si="2"/>
        <v>64.368899999999996</v>
      </c>
      <c r="F130" s="229">
        <f t="shared" si="3"/>
        <v>11328.9264</v>
      </c>
    </row>
    <row r="131" spans="2:6" hidden="1" x14ac:dyDescent="0.25">
      <c r="B131" t="s">
        <v>634</v>
      </c>
      <c r="C131" t="s">
        <v>635</v>
      </c>
      <c r="D131" s="140">
        <v>70.03</v>
      </c>
      <c r="E131" s="140">
        <f t="shared" si="2"/>
        <v>77.7333</v>
      </c>
      <c r="F131" s="229">
        <f t="shared" si="3"/>
        <v>13681.060799999999</v>
      </c>
    </row>
    <row r="132" spans="2:6" hidden="1" x14ac:dyDescent="0.25">
      <c r="B132" t="s">
        <v>636</v>
      </c>
      <c r="C132" t="s">
        <v>637</v>
      </c>
      <c r="D132" s="140">
        <v>65.650000000000006</v>
      </c>
      <c r="E132" s="140">
        <f t="shared" ref="E132:E195" si="4">(D132*$E$1) + D132</f>
        <v>72.871500000000012</v>
      </c>
      <c r="F132" s="229">
        <f t="shared" ref="F132:F195" si="5">E132*$F$1</f>
        <v>12825.384000000002</v>
      </c>
    </row>
    <row r="133" spans="2:6" hidden="1" x14ac:dyDescent="0.25">
      <c r="B133" t="s">
        <v>638</v>
      </c>
      <c r="C133" t="s">
        <v>639</v>
      </c>
      <c r="D133" s="140">
        <v>77.69</v>
      </c>
      <c r="E133" s="140">
        <f t="shared" si="4"/>
        <v>86.235900000000001</v>
      </c>
      <c r="F133" s="229">
        <f t="shared" si="5"/>
        <v>15177.518400000001</v>
      </c>
    </row>
    <row r="134" spans="2:6" hidden="1" x14ac:dyDescent="0.25">
      <c r="B134" t="s">
        <v>640</v>
      </c>
      <c r="C134" t="s">
        <v>641</v>
      </c>
      <c r="D134" s="140">
        <v>72.22</v>
      </c>
      <c r="E134" s="140">
        <f t="shared" si="4"/>
        <v>80.164199999999994</v>
      </c>
      <c r="F134" s="229">
        <f t="shared" si="5"/>
        <v>14108.8992</v>
      </c>
    </row>
    <row r="135" spans="2:6" hidden="1" x14ac:dyDescent="0.25">
      <c r="B135" t="s">
        <v>642</v>
      </c>
      <c r="C135" t="s">
        <v>643</v>
      </c>
      <c r="D135" s="140">
        <v>148.96</v>
      </c>
      <c r="E135" s="140">
        <f t="shared" si="4"/>
        <v>165.34560000000002</v>
      </c>
      <c r="F135" s="229">
        <f t="shared" si="5"/>
        <v>29100.825600000004</v>
      </c>
    </row>
    <row r="136" spans="2:6" hidden="1" x14ac:dyDescent="0.25">
      <c r="B136" t="s">
        <v>644</v>
      </c>
      <c r="C136" t="s">
        <v>645</v>
      </c>
      <c r="D136" s="140">
        <v>153.86000000000001</v>
      </c>
      <c r="E136" s="140">
        <f t="shared" si="4"/>
        <v>170.78460000000001</v>
      </c>
      <c r="F136" s="229">
        <f t="shared" si="5"/>
        <v>30058.089600000003</v>
      </c>
    </row>
    <row r="137" spans="2:6" hidden="1" x14ac:dyDescent="0.25">
      <c r="B137" t="s">
        <v>646</v>
      </c>
      <c r="C137" t="s">
        <v>647</v>
      </c>
      <c r="D137" s="140">
        <v>60.96</v>
      </c>
      <c r="E137" s="140">
        <f t="shared" si="4"/>
        <v>67.665599999999998</v>
      </c>
      <c r="F137" s="229">
        <f t="shared" si="5"/>
        <v>11909.1456</v>
      </c>
    </row>
    <row r="138" spans="2:6" hidden="1" x14ac:dyDescent="0.25">
      <c r="B138" t="s">
        <v>648</v>
      </c>
      <c r="C138" t="s">
        <v>649</v>
      </c>
      <c r="D138" s="140">
        <v>66.23</v>
      </c>
      <c r="E138" s="140">
        <f t="shared" si="4"/>
        <v>73.515300000000011</v>
      </c>
      <c r="F138" s="229">
        <f t="shared" si="5"/>
        <v>12938.692800000003</v>
      </c>
    </row>
    <row r="139" spans="2:6" hidden="1" x14ac:dyDescent="0.25">
      <c r="B139" t="s">
        <v>650</v>
      </c>
      <c r="C139" t="s">
        <v>651</v>
      </c>
      <c r="D139" s="140">
        <v>107.13</v>
      </c>
      <c r="E139" s="140">
        <f t="shared" si="4"/>
        <v>118.9143</v>
      </c>
      <c r="F139" s="229">
        <f t="shared" si="5"/>
        <v>20928.916799999999</v>
      </c>
    </row>
    <row r="140" spans="2:6" hidden="1" x14ac:dyDescent="0.25">
      <c r="B140" t="s">
        <v>652</v>
      </c>
      <c r="C140" t="s">
        <v>653</v>
      </c>
      <c r="D140" s="140">
        <v>113.19</v>
      </c>
      <c r="E140" s="140">
        <f t="shared" si="4"/>
        <v>125.6409</v>
      </c>
      <c r="F140" s="229">
        <f t="shared" si="5"/>
        <v>22112.7984</v>
      </c>
    </row>
    <row r="141" spans="2:6" hidden="1" x14ac:dyDescent="0.25">
      <c r="B141" t="s">
        <v>654</v>
      </c>
      <c r="C141" t="s">
        <v>655</v>
      </c>
      <c r="D141" s="140">
        <v>132.30000000000001</v>
      </c>
      <c r="E141" s="140">
        <f t="shared" si="4"/>
        <v>146.85300000000001</v>
      </c>
      <c r="F141" s="229">
        <f t="shared" si="5"/>
        <v>25846.128000000001</v>
      </c>
    </row>
    <row r="142" spans="2:6" hidden="1" x14ac:dyDescent="0.25">
      <c r="B142" t="s">
        <v>656</v>
      </c>
      <c r="C142" t="s">
        <v>657</v>
      </c>
      <c r="D142" s="140">
        <v>137.19999999999999</v>
      </c>
      <c r="E142" s="140">
        <f t="shared" si="4"/>
        <v>152.29199999999997</v>
      </c>
      <c r="F142" s="229">
        <f t="shared" si="5"/>
        <v>26803.391999999996</v>
      </c>
    </row>
    <row r="143" spans="2:6" hidden="1" x14ac:dyDescent="0.25">
      <c r="B143" t="s">
        <v>658</v>
      </c>
      <c r="C143" t="s">
        <v>659</v>
      </c>
      <c r="D143" s="140">
        <v>140.05000000000001</v>
      </c>
      <c r="E143" s="140">
        <f t="shared" si="4"/>
        <v>155.4555</v>
      </c>
      <c r="F143" s="229">
        <f t="shared" si="5"/>
        <v>27360.168000000001</v>
      </c>
    </row>
    <row r="144" spans="2:6" hidden="1" x14ac:dyDescent="0.25">
      <c r="B144" t="s">
        <v>660</v>
      </c>
      <c r="C144" t="s">
        <v>661</v>
      </c>
      <c r="D144" s="140">
        <v>130.21</v>
      </c>
      <c r="E144" s="140">
        <f t="shared" si="4"/>
        <v>144.53310000000002</v>
      </c>
      <c r="F144" s="229">
        <f t="shared" si="5"/>
        <v>25437.825600000004</v>
      </c>
    </row>
    <row r="145" spans="2:6" hidden="1" x14ac:dyDescent="0.25">
      <c r="B145" t="s">
        <v>662</v>
      </c>
      <c r="C145" t="s">
        <v>663</v>
      </c>
      <c r="D145" s="140">
        <v>65.069999999999993</v>
      </c>
      <c r="E145" s="140">
        <f t="shared" si="4"/>
        <v>72.227699999999999</v>
      </c>
      <c r="F145" s="229">
        <f t="shared" si="5"/>
        <v>12712.075199999999</v>
      </c>
    </row>
    <row r="146" spans="2:6" hidden="1" x14ac:dyDescent="0.25">
      <c r="B146" t="s">
        <v>664</v>
      </c>
      <c r="C146" t="s">
        <v>665</v>
      </c>
      <c r="D146" s="140">
        <v>72.22</v>
      </c>
      <c r="E146" s="140">
        <f t="shared" si="4"/>
        <v>80.164199999999994</v>
      </c>
      <c r="F146" s="229">
        <f t="shared" si="5"/>
        <v>14108.8992</v>
      </c>
    </row>
    <row r="147" spans="2:6" hidden="1" x14ac:dyDescent="0.25">
      <c r="B147" t="s">
        <v>666</v>
      </c>
      <c r="C147" t="s">
        <v>667</v>
      </c>
      <c r="D147" s="140">
        <v>100.66</v>
      </c>
      <c r="E147" s="140">
        <f t="shared" si="4"/>
        <v>111.73259999999999</v>
      </c>
      <c r="F147" s="229">
        <f t="shared" si="5"/>
        <v>19664.937599999997</v>
      </c>
    </row>
    <row r="148" spans="2:6" hidden="1" x14ac:dyDescent="0.25">
      <c r="B148" t="s">
        <v>668</v>
      </c>
      <c r="C148" t="s">
        <v>669</v>
      </c>
      <c r="D148" s="140">
        <v>94.1</v>
      </c>
      <c r="E148" s="140">
        <f t="shared" si="4"/>
        <v>104.45099999999999</v>
      </c>
      <c r="F148" s="229">
        <f t="shared" si="5"/>
        <v>18383.376</v>
      </c>
    </row>
    <row r="149" spans="2:6" hidden="1" x14ac:dyDescent="0.25">
      <c r="B149" t="s">
        <v>670</v>
      </c>
      <c r="C149" t="s">
        <v>671</v>
      </c>
      <c r="D149" s="140">
        <v>123.64</v>
      </c>
      <c r="E149" s="140">
        <f t="shared" si="4"/>
        <v>137.24039999999999</v>
      </c>
      <c r="F149" s="229">
        <f t="shared" si="5"/>
        <v>24154.310399999998</v>
      </c>
    </row>
    <row r="150" spans="2:6" hidden="1" x14ac:dyDescent="0.25">
      <c r="B150" t="s">
        <v>672</v>
      </c>
      <c r="C150" t="s">
        <v>673</v>
      </c>
      <c r="D150" s="140">
        <v>115.98</v>
      </c>
      <c r="E150" s="140">
        <f t="shared" si="4"/>
        <v>128.73779999999999</v>
      </c>
      <c r="F150" s="229">
        <f t="shared" si="5"/>
        <v>22657.852800000001</v>
      </c>
    </row>
    <row r="151" spans="2:6" hidden="1" x14ac:dyDescent="0.25">
      <c r="B151" t="s">
        <v>674</v>
      </c>
      <c r="C151" t="s">
        <v>675</v>
      </c>
      <c r="D151" s="140">
        <v>28.45</v>
      </c>
      <c r="E151" s="140">
        <f t="shared" si="4"/>
        <v>31.579499999999999</v>
      </c>
      <c r="F151" s="229">
        <f t="shared" si="5"/>
        <v>5557.9920000000002</v>
      </c>
    </row>
    <row r="152" spans="2:6" hidden="1" x14ac:dyDescent="0.25">
      <c r="B152" t="s">
        <v>676</v>
      </c>
      <c r="C152" t="s">
        <v>677</v>
      </c>
      <c r="D152" s="140">
        <v>26.26</v>
      </c>
      <c r="E152" s="140">
        <f t="shared" si="4"/>
        <v>29.148600000000002</v>
      </c>
      <c r="F152" s="229">
        <f t="shared" si="5"/>
        <v>5130.1536000000006</v>
      </c>
    </row>
    <row r="153" spans="2:6" hidden="1" x14ac:dyDescent="0.25">
      <c r="B153" t="s">
        <v>678</v>
      </c>
      <c r="C153" t="s">
        <v>679</v>
      </c>
      <c r="D153" s="140">
        <v>39.39</v>
      </c>
      <c r="E153" s="140">
        <f t="shared" si="4"/>
        <v>43.722900000000003</v>
      </c>
      <c r="F153" s="229">
        <f t="shared" si="5"/>
        <v>7695.2304000000004</v>
      </c>
    </row>
    <row r="154" spans="2:6" hidden="1" x14ac:dyDescent="0.25">
      <c r="B154" t="s">
        <v>680</v>
      </c>
      <c r="C154" t="s">
        <v>681</v>
      </c>
      <c r="D154" s="140">
        <v>36.11</v>
      </c>
      <c r="E154" s="140">
        <f t="shared" si="4"/>
        <v>40.082099999999997</v>
      </c>
      <c r="F154" s="229">
        <f t="shared" si="5"/>
        <v>7054.4495999999999</v>
      </c>
    </row>
    <row r="155" spans="2:6" hidden="1" x14ac:dyDescent="0.25">
      <c r="B155" t="s">
        <v>682</v>
      </c>
      <c r="C155" t="s">
        <v>683</v>
      </c>
      <c r="D155" s="140">
        <v>35.01</v>
      </c>
      <c r="E155" s="140">
        <f t="shared" si="4"/>
        <v>38.8611</v>
      </c>
      <c r="F155" s="229">
        <f t="shared" si="5"/>
        <v>6839.5536000000002</v>
      </c>
    </row>
    <row r="156" spans="2:6" hidden="1" x14ac:dyDescent="0.25">
      <c r="B156" t="s">
        <v>684</v>
      </c>
      <c r="C156" t="s">
        <v>685</v>
      </c>
      <c r="D156" s="140">
        <v>31.73</v>
      </c>
      <c r="E156" s="140">
        <f t="shared" si="4"/>
        <v>35.220300000000002</v>
      </c>
      <c r="F156" s="229">
        <f t="shared" si="5"/>
        <v>6198.7728000000006</v>
      </c>
    </row>
    <row r="157" spans="2:6" hidden="1" x14ac:dyDescent="0.25">
      <c r="B157" t="s">
        <v>686</v>
      </c>
      <c r="C157" t="s">
        <v>687</v>
      </c>
      <c r="D157" s="140">
        <v>43.77</v>
      </c>
      <c r="E157" s="140">
        <f t="shared" si="4"/>
        <v>48.584700000000005</v>
      </c>
      <c r="F157" s="229">
        <f t="shared" si="5"/>
        <v>8550.9072000000015</v>
      </c>
    </row>
    <row r="158" spans="2:6" hidden="1" x14ac:dyDescent="0.25">
      <c r="B158" t="s">
        <v>688</v>
      </c>
      <c r="C158" t="s">
        <v>689</v>
      </c>
      <c r="D158" s="140">
        <v>40.479999999999997</v>
      </c>
      <c r="E158" s="140">
        <f t="shared" si="4"/>
        <v>44.9328</v>
      </c>
      <c r="F158" s="229">
        <f t="shared" si="5"/>
        <v>7908.1728000000003</v>
      </c>
    </row>
    <row r="159" spans="2:6" hidden="1" x14ac:dyDescent="0.25">
      <c r="B159" t="s">
        <v>690</v>
      </c>
      <c r="C159" t="s">
        <v>691</v>
      </c>
      <c r="D159" s="140">
        <v>74.400000000000006</v>
      </c>
      <c r="E159" s="140">
        <f t="shared" si="4"/>
        <v>82.584000000000003</v>
      </c>
      <c r="F159" s="229">
        <f t="shared" si="5"/>
        <v>14534.784</v>
      </c>
    </row>
    <row r="160" spans="2:6" hidden="1" x14ac:dyDescent="0.25">
      <c r="B160" t="s">
        <v>692</v>
      </c>
      <c r="C160" t="s">
        <v>693</v>
      </c>
      <c r="D160" s="140">
        <v>70.03</v>
      </c>
      <c r="E160" s="140">
        <f t="shared" si="4"/>
        <v>77.7333</v>
      </c>
      <c r="F160" s="229">
        <f t="shared" si="5"/>
        <v>13681.060799999999</v>
      </c>
    </row>
    <row r="161" spans="2:6" hidden="1" x14ac:dyDescent="0.25">
      <c r="B161" t="s">
        <v>694</v>
      </c>
      <c r="C161" t="s">
        <v>695</v>
      </c>
      <c r="D161" s="140">
        <v>43.77</v>
      </c>
      <c r="E161" s="140">
        <f t="shared" si="4"/>
        <v>48.584700000000005</v>
      </c>
      <c r="F161" s="229">
        <f t="shared" si="5"/>
        <v>8550.9072000000015</v>
      </c>
    </row>
    <row r="162" spans="2:6" hidden="1" x14ac:dyDescent="0.25">
      <c r="B162" t="s">
        <v>696</v>
      </c>
      <c r="C162" t="s">
        <v>697</v>
      </c>
      <c r="D162" s="140">
        <v>40.479999999999997</v>
      </c>
      <c r="E162" s="140">
        <f t="shared" si="4"/>
        <v>44.9328</v>
      </c>
      <c r="F162" s="229">
        <f t="shared" si="5"/>
        <v>7908.1728000000003</v>
      </c>
    </row>
    <row r="163" spans="2:6" hidden="1" x14ac:dyDescent="0.25">
      <c r="B163" t="s">
        <v>698</v>
      </c>
      <c r="C163" t="s">
        <v>699</v>
      </c>
      <c r="D163" s="140">
        <v>51.43</v>
      </c>
      <c r="E163" s="140">
        <f t="shared" si="4"/>
        <v>57.087299999999999</v>
      </c>
      <c r="F163" s="229">
        <f t="shared" si="5"/>
        <v>10047.364799999999</v>
      </c>
    </row>
    <row r="164" spans="2:6" hidden="1" x14ac:dyDescent="0.25">
      <c r="B164" t="s">
        <v>700</v>
      </c>
      <c r="C164" t="s">
        <v>701</v>
      </c>
      <c r="D164" s="140">
        <v>48.14</v>
      </c>
      <c r="E164" s="140">
        <f t="shared" si="4"/>
        <v>53.435400000000001</v>
      </c>
      <c r="F164" s="229">
        <f t="shared" si="5"/>
        <v>9404.6304</v>
      </c>
    </row>
    <row r="165" spans="2:6" hidden="1" x14ac:dyDescent="0.25">
      <c r="B165" t="s">
        <v>702</v>
      </c>
      <c r="C165" t="s">
        <v>703</v>
      </c>
      <c r="D165" s="140">
        <v>59.09</v>
      </c>
      <c r="E165" s="140">
        <f t="shared" si="4"/>
        <v>65.5899</v>
      </c>
      <c r="F165" s="229">
        <f t="shared" si="5"/>
        <v>11543.822400000001</v>
      </c>
    </row>
    <row r="166" spans="2:6" hidden="1" x14ac:dyDescent="0.25">
      <c r="B166" t="s">
        <v>704</v>
      </c>
      <c r="C166" t="s">
        <v>705</v>
      </c>
      <c r="D166" s="140">
        <v>55.8</v>
      </c>
      <c r="E166" s="140">
        <f t="shared" si="4"/>
        <v>61.937999999999995</v>
      </c>
      <c r="F166" s="229">
        <f t="shared" si="5"/>
        <v>10901.088</v>
      </c>
    </row>
    <row r="167" spans="2:6" hidden="1" x14ac:dyDescent="0.25">
      <c r="B167" t="s">
        <v>706</v>
      </c>
      <c r="C167" t="s">
        <v>707</v>
      </c>
      <c r="D167" s="140">
        <v>62.37</v>
      </c>
      <c r="E167" s="140">
        <f t="shared" si="4"/>
        <v>69.230699999999999</v>
      </c>
      <c r="F167" s="229">
        <f t="shared" si="5"/>
        <v>12184.6032</v>
      </c>
    </row>
    <row r="168" spans="2:6" hidden="1" x14ac:dyDescent="0.25">
      <c r="B168" t="s">
        <v>708</v>
      </c>
      <c r="C168" t="s">
        <v>709</v>
      </c>
      <c r="D168" s="140">
        <v>57.99</v>
      </c>
      <c r="E168" s="140">
        <f t="shared" si="4"/>
        <v>64.368899999999996</v>
      </c>
      <c r="F168" s="229">
        <f t="shared" si="5"/>
        <v>11328.9264</v>
      </c>
    </row>
    <row r="169" spans="2:6" hidden="1" x14ac:dyDescent="0.25">
      <c r="B169" t="s">
        <v>710</v>
      </c>
      <c r="C169" t="s">
        <v>711</v>
      </c>
      <c r="D169" s="140">
        <v>31.73</v>
      </c>
      <c r="E169" s="140">
        <f t="shared" si="4"/>
        <v>35.220300000000002</v>
      </c>
      <c r="F169" s="229">
        <f t="shared" si="5"/>
        <v>6198.7728000000006</v>
      </c>
    </row>
    <row r="170" spans="2:6" hidden="1" x14ac:dyDescent="0.25">
      <c r="B170" t="s">
        <v>712</v>
      </c>
      <c r="C170" t="s">
        <v>713</v>
      </c>
      <c r="D170" s="140">
        <v>29.54</v>
      </c>
      <c r="E170" s="140">
        <f t="shared" si="4"/>
        <v>32.789400000000001</v>
      </c>
      <c r="F170" s="229">
        <f t="shared" si="5"/>
        <v>5770.9344000000001</v>
      </c>
    </row>
    <row r="171" spans="2:6" hidden="1" x14ac:dyDescent="0.25">
      <c r="B171" t="s">
        <v>714</v>
      </c>
      <c r="C171" t="s">
        <v>715</v>
      </c>
      <c r="D171" s="140">
        <v>39.39</v>
      </c>
      <c r="E171" s="140">
        <f t="shared" si="4"/>
        <v>43.722900000000003</v>
      </c>
      <c r="F171" s="229">
        <f t="shared" si="5"/>
        <v>7695.2304000000004</v>
      </c>
    </row>
    <row r="172" spans="2:6" hidden="1" x14ac:dyDescent="0.25">
      <c r="B172" t="s">
        <v>716</v>
      </c>
      <c r="C172" t="s">
        <v>717</v>
      </c>
      <c r="D172" s="140">
        <v>36.11</v>
      </c>
      <c r="E172" s="140">
        <f t="shared" si="4"/>
        <v>40.082099999999997</v>
      </c>
      <c r="F172" s="229">
        <f t="shared" si="5"/>
        <v>7054.4495999999999</v>
      </c>
    </row>
    <row r="173" spans="2:6" hidden="1" x14ac:dyDescent="0.25">
      <c r="B173" t="s">
        <v>718</v>
      </c>
      <c r="C173" t="s">
        <v>719</v>
      </c>
      <c r="D173" s="140">
        <v>47.05</v>
      </c>
      <c r="E173" s="140">
        <f t="shared" si="4"/>
        <v>52.225499999999997</v>
      </c>
      <c r="F173" s="229">
        <f t="shared" si="5"/>
        <v>9191.6880000000001</v>
      </c>
    </row>
    <row r="174" spans="2:6" hidden="1" x14ac:dyDescent="0.25">
      <c r="B174" t="s">
        <v>720</v>
      </c>
      <c r="C174" t="s">
        <v>721</v>
      </c>
      <c r="D174" s="140">
        <v>43.77</v>
      </c>
      <c r="E174" s="140">
        <f t="shared" si="4"/>
        <v>48.584700000000005</v>
      </c>
      <c r="F174" s="229">
        <f t="shared" si="5"/>
        <v>8550.9072000000015</v>
      </c>
    </row>
    <row r="175" spans="2:6" hidden="1" x14ac:dyDescent="0.25">
      <c r="B175" t="s">
        <v>722</v>
      </c>
      <c r="C175" t="s">
        <v>723</v>
      </c>
      <c r="D175" s="140">
        <v>108.32</v>
      </c>
      <c r="E175" s="140">
        <f t="shared" si="4"/>
        <v>120.23519999999999</v>
      </c>
      <c r="F175" s="229">
        <f t="shared" si="5"/>
        <v>21161.395199999999</v>
      </c>
    </row>
    <row r="176" spans="2:6" hidden="1" x14ac:dyDescent="0.25">
      <c r="B176" t="s">
        <v>724</v>
      </c>
      <c r="C176" t="s">
        <v>725</v>
      </c>
      <c r="D176" s="140">
        <v>101.76</v>
      </c>
      <c r="E176" s="140">
        <f t="shared" si="4"/>
        <v>112.95360000000001</v>
      </c>
      <c r="F176" s="229">
        <f t="shared" si="5"/>
        <v>19879.833600000002</v>
      </c>
    </row>
    <row r="177" spans="2:6" hidden="1" x14ac:dyDescent="0.25">
      <c r="B177" t="s">
        <v>726</v>
      </c>
      <c r="C177" t="s">
        <v>727</v>
      </c>
      <c r="D177" s="140">
        <v>61.45</v>
      </c>
      <c r="E177" s="140">
        <f t="shared" si="4"/>
        <v>68.209500000000006</v>
      </c>
      <c r="F177" s="229">
        <f t="shared" si="5"/>
        <v>12004.872000000001</v>
      </c>
    </row>
    <row r="178" spans="2:6" hidden="1" x14ac:dyDescent="0.25">
      <c r="B178" t="s">
        <v>728</v>
      </c>
      <c r="C178" t="s">
        <v>729</v>
      </c>
      <c r="D178" s="140">
        <v>65.650000000000006</v>
      </c>
      <c r="E178" s="140">
        <f t="shared" si="4"/>
        <v>72.871500000000012</v>
      </c>
      <c r="F178" s="229">
        <f t="shared" si="5"/>
        <v>12825.384000000002</v>
      </c>
    </row>
    <row r="179" spans="2:6" hidden="1" x14ac:dyDescent="0.25">
      <c r="B179" t="s">
        <v>730</v>
      </c>
      <c r="C179" t="s">
        <v>731</v>
      </c>
      <c r="D179" s="140">
        <v>85.35</v>
      </c>
      <c r="E179" s="140">
        <f t="shared" si="4"/>
        <v>94.738499999999988</v>
      </c>
      <c r="F179" s="229">
        <f t="shared" si="5"/>
        <v>16673.975999999999</v>
      </c>
    </row>
    <row r="180" spans="2:6" hidden="1" x14ac:dyDescent="0.25">
      <c r="B180" t="s">
        <v>732</v>
      </c>
      <c r="C180" t="s">
        <v>733</v>
      </c>
      <c r="D180" s="140">
        <v>79.87</v>
      </c>
      <c r="E180" s="140">
        <f t="shared" si="4"/>
        <v>88.65570000000001</v>
      </c>
      <c r="F180" s="229">
        <f t="shared" si="5"/>
        <v>15603.403200000002</v>
      </c>
    </row>
    <row r="181" spans="2:6" hidden="1" x14ac:dyDescent="0.25">
      <c r="B181" t="s">
        <v>734</v>
      </c>
      <c r="C181" t="s">
        <v>735</v>
      </c>
      <c r="D181" s="140">
        <v>100.66</v>
      </c>
      <c r="E181" s="140">
        <f t="shared" si="4"/>
        <v>111.73259999999999</v>
      </c>
      <c r="F181" s="229">
        <f t="shared" si="5"/>
        <v>19664.937599999997</v>
      </c>
    </row>
    <row r="182" spans="2:6" hidden="1" x14ac:dyDescent="0.25">
      <c r="B182" t="s">
        <v>736</v>
      </c>
      <c r="C182" t="s">
        <v>737</v>
      </c>
      <c r="D182" s="140">
        <v>94.1</v>
      </c>
      <c r="E182" s="140">
        <f t="shared" si="4"/>
        <v>104.45099999999999</v>
      </c>
      <c r="F182" s="229">
        <f t="shared" si="5"/>
        <v>18383.376</v>
      </c>
    </row>
    <row r="183" spans="2:6" hidden="1" x14ac:dyDescent="0.25">
      <c r="B183" t="s">
        <v>738</v>
      </c>
      <c r="C183" t="s">
        <v>739</v>
      </c>
      <c r="D183" s="140">
        <v>170.52</v>
      </c>
      <c r="E183" s="140">
        <f t="shared" si="4"/>
        <v>189.27720000000002</v>
      </c>
      <c r="F183" s="229">
        <f t="shared" si="5"/>
        <v>33312.787200000006</v>
      </c>
    </row>
    <row r="184" spans="2:6" hidden="1" x14ac:dyDescent="0.25">
      <c r="B184" t="s">
        <v>740</v>
      </c>
      <c r="C184" t="s">
        <v>741</v>
      </c>
      <c r="D184" s="140">
        <v>175.42</v>
      </c>
      <c r="E184" s="140">
        <f t="shared" si="4"/>
        <v>194.71619999999999</v>
      </c>
      <c r="F184" s="229">
        <f t="shared" si="5"/>
        <v>34270.051199999994</v>
      </c>
    </row>
    <row r="185" spans="2:6" hidden="1" x14ac:dyDescent="0.25">
      <c r="B185" t="s">
        <v>742</v>
      </c>
      <c r="C185" t="s">
        <v>743</v>
      </c>
      <c r="D185" s="140">
        <v>77.42</v>
      </c>
      <c r="E185" s="140">
        <f t="shared" si="4"/>
        <v>85.936199999999999</v>
      </c>
      <c r="F185" s="229">
        <f t="shared" si="5"/>
        <v>15124.771199999999</v>
      </c>
    </row>
    <row r="186" spans="2:6" hidden="1" x14ac:dyDescent="0.25">
      <c r="B186" t="s">
        <v>744</v>
      </c>
      <c r="C186" t="s">
        <v>745</v>
      </c>
      <c r="D186" s="140">
        <v>83.55</v>
      </c>
      <c r="E186" s="140">
        <f t="shared" si="4"/>
        <v>92.740499999999997</v>
      </c>
      <c r="F186" s="229">
        <f t="shared" si="5"/>
        <v>16322.328</v>
      </c>
    </row>
    <row r="187" spans="2:6" hidden="1" x14ac:dyDescent="0.25">
      <c r="B187" t="s">
        <v>746</v>
      </c>
      <c r="C187" t="s">
        <v>747</v>
      </c>
      <c r="D187" s="140">
        <v>113.68</v>
      </c>
      <c r="E187" s="140">
        <f t="shared" si="4"/>
        <v>126.18480000000001</v>
      </c>
      <c r="F187" s="229">
        <f t="shared" si="5"/>
        <v>22208.524800000003</v>
      </c>
    </row>
    <row r="188" spans="2:6" hidden="1" x14ac:dyDescent="0.25">
      <c r="B188" t="s">
        <v>748</v>
      </c>
      <c r="C188" t="s">
        <v>749</v>
      </c>
      <c r="D188" s="140">
        <v>128.38</v>
      </c>
      <c r="E188" s="140">
        <f t="shared" si="4"/>
        <v>142.5018</v>
      </c>
      <c r="F188" s="229">
        <f t="shared" si="5"/>
        <v>25080.316800000001</v>
      </c>
    </row>
    <row r="189" spans="2:6" hidden="1" x14ac:dyDescent="0.25">
      <c r="B189" t="s">
        <v>750</v>
      </c>
      <c r="C189" t="s">
        <v>751</v>
      </c>
      <c r="D189" s="140">
        <v>148.18</v>
      </c>
      <c r="E189" s="140">
        <f t="shared" si="4"/>
        <v>164.47980000000001</v>
      </c>
      <c r="F189" s="229">
        <f t="shared" si="5"/>
        <v>28948.444800000001</v>
      </c>
    </row>
    <row r="190" spans="2:6" hidden="1" x14ac:dyDescent="0.25">
      <c r="B190" t="s">
        <v>752</v>
      </c>
      <c r="C190" t="s">
        <v>753</v>
      </c>
      <c r="D190" s="140">
        <v>156.80000000000001</v>
      </c>
      <c r="E190" s="140">
        <f t="shared" si="4"/>
        <v>174.048</v>
      </c>
      <c r="F190" s="229">
        <f t="shared" si="5"/>
        <v>30632.448</v>
      </c>
    </row>
    <row r="191" spans="2:6" hidden="1" x14ac:dyDescent="0.25">
      <c r="B191" t="s">
        <v>754</v>
      </c>
      <c r="C191" t="s">
        <v>755</v>
      </c>
      <c r="D191" s="140">
        <v>93</v>
      </c>
      <c r="E191" s="140">
        <f t="shared" si="4"/>
        <v>103.23</v>
      </c>
      <c r="F191" s="229">
        <f t="shared" si="5"/>
        <v>18168.48</v>
      </c>
    </row>
    <row r="192" spans="2:6" hidden="1" x14ac:dyDescent="0.25">
      <c r="B192" t="s">
        <v>756</v>
      </c>
      <c r="C192" t="s">
        <v>757</v>
      </c>
      <c r="D192" s="140">
        <v>86.44</v>
      </c>
      <c r="E192" s="140">
        <f t="shared" si="4"/>
        <v>95.948399999999992</v>
      </c>
      <c r="F192" s="229">
        <f t="shared" si="5"/>
        <v>16886.918399999999</v>
      </c>
    </row>
    <row r="193" spans="2:6" hidden="1" x14ac:dyDescent="0.25">
      <c r="B193" t="s">
        <v>758</v>
      </c>
      <c r="C193" t="s">
        <v>759</v>
      </c>
      <c r="D193" s="140">
        <v>47.05</v>
      </c>
      <c r="E193" s="140">
        <f t="shared" si="4"/>
        <v>52.225499999999997</v>
      </c>
      <c r="F193" s="229">
        <f t="shared" si="5"/>
        <v>9191.6880000000001</v>
      </c>
    </row>
    <row r="194" spans="2:6" hidden="1" x14ac:dyDescent="0.25">
      <c r="B194" t="s">
        <v>760</v>
      </c>
      <c r="C194" t="s">
        <v>761</v>
      </c>
      <c r="D194" s="140">
        <v>43.77</v>
      </c>
      <c r="E194" s="140">
        <f t="shared" si="4"/>
        <v>48.584700000000005</v>
      </c>
      <c r="F194" s="229">
        <f t="shared" si="5"/>
        <v>8550.9072000000015</v>
      </c>
    </row>
    <row r="195" spans="2:6" hidden="1" x14ac:dyDescent="0.25">
      <c r="B195" t="s">
        <v>762</v>
      </c>
      <c r="C195" t="s">
        <v>763</v>
      </c>
      <c r="D195" s="140">
        <v>62.37</v>
      </c>
      <c r="E195" s="140">
        <f t="shared" si="4"/>
        <v>69.230699999999999</v>
      </c>
      <c r="F195" s="229">
        <f t="shared" si="5"/>
        <v>12184.6032</v>
      </c>
    </row>
    <row r="196" spans="2:6" hidden="1" x14ac:dyDescent="0.25">
      <c r="B196" t="s">
        <v>764</v>
      </c>
      <c r="C196" t="s">
        <v>765</v>
      </c>
      <c r="D196" s="140">
        <v>57.99</v>
      </c>
      <c r="E196" s="140">
        <f t="shared" ref="E196:E259" si="6">(D196*$E$1) + D196</f>
        <v>64.368899999999996</v>
      </c>
      <c r="F196" s="229">
        <f t="shared" ref="F196:F259" si="7">E196*$F$1</f>
        <v>11328.9264</v>
      </c>
    </row>
    <row r="197" spans="2:6" hidden="1" x14ac:dyDescent="0.25">
      <c r="B197" t="s">
        <v>766</v>
      </c>
      <c r="C197" t="s">
        <v>767</v>
      </c>
      <c r="D197" s="140">
        <v>77.69</v>
      </c>
      <c r="E197" s="140">
        <f t="shared" si="6"/>
        <v>86.235900000000001</v>
      </c>
      <c r="F197" s="229">
        <f t="shared" si="7"/>
        <v>15177.518400000001</v>
      </c>
    </row>
    <row r="198" spans="2:6" hidden="1" x14ac:dyDescent="0.25">
      <c r="B198" t="s">
        <v>768</v>
      </c>
      <c r="C198" t="s">
        <v>769</v>
      </c>
      <c r="D198" s="140">
        <v>72.22</v>
      </c>
      <c r="E198" s="140">
        <f t="shared" si="6"/>
        <v>80.164199999999994</v>
      </c>
      <c r="F198" s="229">
        <f t="shared" si="7"/>
        <v>14108.8992</v>
      </c>
    </row>
    <row r="199" spans="2:6" hidden="1" x14ac:dyDescent="0.25">
      <c r="B199" t="s">
        <v>770</v>
      </c>
      <c r="C199" t="s">
        <v>771</v>
      </c>
      <c r="D199" s="140">
        <v>155.37</v>
      </c>
      <c r="E199" s="140">
        <f t="shared" si="6"/>
        <v>172.4607</v>
      </c>
      <c r="F199" s="229">
        <f t="shared" si="7"/>
        <v>30353.083200000001</v>
      </c>
    </row>
    <row r="200" spans="2:6" hidden="1" x14ac:dyDescent="0.25">
      <c r="B200" t="s">
        <v>772</v>
      </c>
      <c r="C200" t="s">
        <v>773</v>
      </c>
      <c r="D200" s="140">
        <v>144.43</v>
      </c>
      <c r="E200" s="140">
        <f t="shared" si="6"/>
        <v>160.31730000000002</v>
      </c>
      <c r="F200" s="229">
        <f t="shared" si="7"/>
        <v>28215.844800000003</v>
      </c>
    </row>
    <row r="201" spans="2:6" hidden="1" x14ac:dyDescent="0.25">
      <c r="B201" t="s">
        <v>774</v>
      </c>
      <c r="C201" t="s">
        <v>775</v>
      </c>
      <c r="D201" s="140">
        <v>61.45</v>
      </c>
      <c r="E201" s="140">
        <f t="shared" si="6"/>
        <v>68.209500000000006</v>
      </c>
      <c r="F201" s="229">
        <f t="shared" si="7"/>
        <v>12004.872000000001</v>
      </c>
    </row>
    <row r="202" spans="2:6" hidden="1" x14ac:dyDescent="0.25">
      <c r="B202" t="s">
        <v>776</v>
      </c>
      <c r="C202" t="s">
        <v>777</v>
      </c>
      <c r="D202" s="140">
        <v>66.84</v>
      </c>
      <c r="E202" s="140">
        <f t="shared" si="6"/>
        <v>74.192400000000006</v>
      </c>
      <c r="F202" s="229">
        <f t="shared" si="7"/>
        <v>13057.862400000002</v>
      </c>
    </row>
    <row r="203" spans="2:6" hidden="1" x14ac:dyDescent="0.25">
      <c r="B203" t="s">
        <v>778</v>
      </c>
      <c r="C203" t="s">
        <v>779</v>
      </c>
      <c r="D203" s="140">
        <v>107.8</v>
      </c>
      <c r="E203" s="140">
        <f t="shared" si="6"/>
        <v>119.658</v>
      </c>
      <c r="F203" s="229">
        <f t="shared" si="7"/>
        <v>21059.808000000001</v>
      </c>
    </row>
    <row r="204" spans="2:6" hidden="1" x14ac:dyDescent="0.25">
      <c r="B204" t="s">
        <v>780</v>
      </c>
      <c r="C204" t="s">
        <v>781</v>
      </c>
      <c r="D204" s="140">
        <v>115.98</v>
      </c>
      <c r="E204" s="140">
        <f t="shared" si="6"/>
        <v>128.73779999999999</v>
      </c>
      <c r="F204" s="229">
        <f t="shared" si="7"/>
        <v>22657.852800000001</v>
      </c>
    </row>
    <row r="205" spans="2:6" hidden="1" x14ac:dyDescent="0.25">
      <c r="B205" t="s">
        <v>782</v>
      </c>
      <c r="C205" t="s">
        <v>783</v>
      </c>
      <c r="D205" s="140">
        <v>140.05000000000001</v>
      </c>
      <c r="E205" s="140">
        <f t="shared" si="6"/>
        <v>155.4555</v>
      </c>
      <c r="F205" s="229">
        <f t="shared" si="7"/>
        <v>27360.168000000001</v>
      </c>
    </row>
    <row r="206" spans="2:6" hidden="1" x14ac:dyDescent="0.25">
      <c r="B206" t="s">
        <v>784</v>
      </c>
      <c r="C206" t="s">
        <v>785</v>
      </c>
      <c r="D206" s="140">
        <v>130.21</v>
      </c>
      <c r="E206" s="140">
        <f t="shared" si="6"/>
        <v>144.53310000000002</v>
      </c>
      <c r="F206" s="229">
        <f t="shared" si="7"/>
        <v>25437.825600000004</v>
      </c>
    </row>
    <row r="207" spans="2:6" hidden="1" x14ac:dyDescent="0.25">
      <c r="B207" t="s">
        <v>786</v>
      </c>
      <c r="C207" t="s">
        <v>787</v>
      </c>
      <c r="D207" s="140">
        <v>168.56</v>
      </c>
      <c r="E207" s="140">
        <f t="shared" si="6"/>
        <v>187.10159999999999</v>
      </c>
      <c r="F207" s="229">
        <f t="shared" si="7"/>
        <v>32929.881600000001</v>
      </c>
    </row>
    <row r="208" spans="2:6" hidden="1" x14ac:dyDescent="0.25">
      <c r="B208" t="s">
        <v>788</v>
      </c>
      <c r="C208" t="s">
        <v>789</v>
      </c>
      <c r="D208" s="140">
        <v>158.65</v>
      </c>
      <c r="E208" s="140">
        <f t="shared" si="6"/>
        <v>176.10150000000002</v>
      </c>
      <c r="F208" s="229">
        <f t="shared" si="7"/>
        <v>30993.864000000001</v>
      </c>
    </row>
    <row r="209" spans="2:6" hidden="1" x14ac:dyDescent="0.25">
      <c r="B209" t="s">
        <v>790</v>
      </c>
      <c r="C209" t="s">
        <v>791</v>
      </c>
      <c r="D209" s="140">
        <v>61.45</v>
      </c>
      <c r="E209" s="140">
        <f t="shared" si="6"/>
        <v>68.209500000000006</v>
      </c>
      <c r="F209" s="229">
        <f t="shared" si="7"/>
        <v>12004.872000000001</v>
      </c>
    </row>
    <row r="210" spans="2:6" hidden="1" x14ac:dyDescent="0.25">
      <c r="B210" t="s">
        <v>792</v>
      </c>
      <c r="C210" t="s">
        <v>793</v>
      </c>
      <c r="D210" s="140">
        <v>66.84</v>
      </c>
      <c r="E210" s="140">
        <f t="shared" si="6"/>
        <v>74.192400000000006</v>
      </c>
      <c r="F210" s="229">
        <f t="shared" si="7"/>
        <v>13057.862400000002</v>
      </c>
    </row>
    <row r="211" spans="2:6" hidden="1" x14ac:dyDescent="0.25">
      <c r="B211" t="s">
        <v>794</v>
      </c>
      <c r="C211" t="s">
        <v>795</v>
      </c>
      <c r="D211" s="140">
        <v>107.8</v>
      </c>
      <c r="E211" s="140">
        <f t="shared" si="6"/>
        <v>119.658</v>
      </c>
      <c r="F211" s="229">
        <f t="shared" si="7"/>
        <v>21059.808000000001</v>
      </c>
    </row>
    <row r="212" spans="2:6" hidden="1" x14ac:dyDescent="0.25">
      <c r="B212" t="s">
        <v>796</v>
      </c>
      <c r="C212" t="s">
        <v>797</v>
      </c>
      <c r="D212" s="140">
        <v>118.58</v>
      </c>
      <c r="E212" s="140">
        <f t="shared" si="6"/>
        <v>131.62379999999999</v>
      </c>
      <c r="F212" s="229">
        <f t="shared" si="7"/>
        <v>23165.788799999998</v>
      </c>
    </row>
    <row r="213" spans="2:6" hidden="1" x14ac:dyDescent="0.25">
      <c r="B213" t="s">
        <v>798</v>
      </c>
      <c r="C213" t="s">
        <v>799</v>
      </c>
      <c r="D213" s="140">
        <v>153.86000000000001</v>
      </c>
      <c r="E213" s="140">
        <f t="shared" si="6"/>
        <v>170.78460000000001</v>
      </c>
      <c r="F213" s="229">
        <f t="shared" si="7"/>
        <v>30058.089600000003</v>
      </c>
    </row>
    <row r="214" spans="2:6" hidden="1" x14ac:dyDescent="0.25">
      <c r="B214" t="s">
        <v>800</v>
      </c>
      <c r="C214" t="s">
        <v>801</v>
      </c>
      <c r="D214" s="140">
        <v>144.43</v>
      </c>
      <c r="E214" s="140">
        <f t="shared" si="6"/>
        <v>160.31730000000002</v>
      </c>
      <c r="F214" s="229">
        <f t="shared" si="7"/>
        <v>28215.844800000003</v>
      </c>
    </row>
    <row r="215" spans="2:6" x14ac:dyDescent="0.25">
      <c r="B215" t="s">
        <v>802</v>
      </c>
      <c r="C215" t="s">
        <v>803</v>
      </c>
      <c r="D215" s="140">
        <v>155.37</v>
      </c>
      <c r="E215" s="140">
        <f t="shared" si="6"/>
        <v>172.4607</v>
      </c>
      <c r="F215" s="229">
        <f t="shared" si="7"/>
        <v>30353.083200000001</v>
      </c>
    </row>
    <row r="216" spans="2:6" x14ac:dyDescent="0.25">
      <c r="B216" t="s">
        <v>804</v>
      </c>
      <c r="C216" t="s">
        <v>805</v>
      </c>
      <c r="D216" s="140">
        <v>144.43</v>
      </c>
      <c r="E216" s="140">
        <f t="shared" si="6"/>
        <v>160.31730000000002</v>
      </c>
      <c r="F216" s="229">
        <f t="shared" si="7"/>
        <v>28215.844800000003</v>
      </c>
    </row>
    <row r="217" spans="2:6" x14ac:dyDescent="0.25">
      <c r="B217" t="s">
        <v>806</v>
      </c>
      <c r="C217" t="s">
        <v>807</v>
      </c>
      <c r="D217" s="140">
        <v>62.09</v>
      </c>
      <c r="E217" s="140">
        <f t="shared" si="6"/>
        <v>68.919899999999998</v>
      </c>
      <c r="F217" s="229">
        <f t="shared" si="7"/>
        <v>12129.902399999999</v>
      </c>
    </row>
    <row r="218" spans="2:6" x14ac:dyDescent="0.25">
      <c r="B218" t="s">
        <v>808</v>
      </c>
      <c r="C218" t="s">
        <v>809</v>
      </c>
      <c r="D218" s="140">
        <v>66.23</v>
      </c>
      <c r="E218" s="140">
        <f t="shared" si="6"/>
        <v>73.515300000000011</v>
      </c>
      <c r="F218" s="229">
        <f t="shared" si="7"/>
        <v>12938.692800000003</v>
      </c>
    </row>
    <row r="219" spans="2:6" x14ac:dyDescent="0.25">
      <c r="B219" t="s">
        <v>810</v>
      </c>
      <c r="C219" t="s">
        <v>811</v>
      </c>
      <c r="D219" s="140">
        <v>99.5</v>
      </c>
      <c r="E219" s="140">
        <f t="shared" si="6"/>
        <v>110.44499999999999</v>
      </c>
      <c r="F219" s="229">
        <f t="shared" si="7"/>
        <v>19438.32</v>
      </c>
    </row>
    <row r="220" spans="2:6" x14ac:dyDescent="0.25">
      <c r="B220" t="s">
        <v>812</v>
      </c>
      <c r="C220" t="s">
        <v>813</v>
      </c>
      <c r="D220" s="140">
        <v>106.14</v>
      </c>
      <c r="E220" s="140">
        <f t="shared" si="6"/>
        <v>117.8154</v>
      </c>
      <c r="F220" s="229">
        <f t="shared" si="7"/>
        <v>20735.510399999999</v>
      </c>
    </row>
    <row r="221" spans="2:6" x14ac:dyDescent="0.25">
      <c r="B221" t="s">
        <v>814</v>
      </c>
      <c r="C221" t="s">
        <v>815</v>
      </c>
      <c r="D221" s="140">
        <v>127.1</v>
      </c>
      <c r="E221" s="140">
        <f t="shared" si="6"/>
        <v>141.08099999999999</v>
      </c>
      <c r="F221" s="229">
        <f t="shared" si="7"/>
        <v>24830.255999999998</v>
      </c>
    </row>
    <row r="222" spans="2:6" x14ac:dyDescent="0.25">
      <c r="B222" t="s">
        <v>816</v>
      </c>
      <c r="C222" t="s">
        <v>817</v>
      </c>
      <c r="D222" s="140">
        <v>130.21</v>
      </c>
      <c r="E222" s="140">
        <f t="shared" si="6"/>
        <v>144.53310000000002</v>
      </c>
      <c r="F222" s="229">
        <f t="shared" si="7"/>
        <v>25437.825600000004</v>
      </c>
    </row>
    <row r="223" spans="2:6" hidden="1" x14ac:dyDescent="0.25">
      <c r="B223" t="s">
        <v>818</v>
      </c>
      <c r="C223" t="s">
        <v>819</v>
      </c>
      <c r="D223" s="140">
        <v>155.37</v>
      </c>
      <c r="E223" s="140">
        <f t="shared" si="6"/>
        <v>172.4607</v>
      </c>
      <c r="F223" s="229">
        <f t="shared" si="7"/>
        <v>30353.083200000001</v>
      </c>
    </row>
    <row r="224" spans="2:6" hidden="1" x14ac:dyDescent="0.25">
      <c r="B224" t="s">
        <v>820</v>
      </c>
      <c r="C224" t="s">
        <v>821</v>
      </c>
      <c r="D224" s="140">
        <v>144.43</v>
      </c>
      <c r="E224" s="140">
        <f t="shared" si="6"/>
        <v>160.31730000000002</v>
      </c>
      <c r="F224" s="229">
        <f t="shared" si="7"/>
        <v>28215.844800000003</v>
      </c>
    </row>
    <row r="225" spans="2:6" hidden="1" x14ac:dyDescent="0.25">
      <c r="B225" t="s">
        <v>822</v>
      </c>
      <c r="C225" t="s">
        <v>823</v>
      </c>
      <c r="D225" s="140">
        <v>61.45</v>
      </c>
      <c r="E225" s="140">
        <f t="shared" si="6"/>
        <v>68.209500000000006</v>
      </c>
      <c r="F225" s="229">
        <f t="shared" si="7"/>
        <v>12004.872000000001</v>
      </c>
    </row>
    <row r="226" spans="2:6" hidden="1" x14ac:dyDescent="0.25">
      <c r="B226" t="s">
        <v>824</v>
      </c>
      <c r="C226" t="s">
        <v>825</v>
      </c>
      <c r="D226" s="140">
        <v>57.99</v>
      </c>
      <c r="E226" s="140">
        <f t="shared" si="6"/>
        <v>64.368899999999996</v>
      </c>
      <c r="F226" s="229">
        <f t="shared" si="7"/>
        <v>11328.9264</v>
      </c>
    </row>
    <row r="227" spans="2:6" hidden="1" x14ac:dyDescent="0.25">
      <c r="B227" t="s">
        <v>826</v>
      </c>
      <c r="C227" t="s">
        <v>827</v>
      </c>
      <c r="D227" s="140">
        <v>92.71</v>
      </c>
      <c r="E227" s="140">
        <f t="shared" si="6"/>
        <v>102.90809999999999</v>
      </c>
      <c r="F227" s="229">
        <f t="shared" si="7"/>
        <v>18111.825599999996</v>
      </c>
    </row>
    <row r="228" spans="2:6" hidden="1" x14ac:dyDescent="0.25">
      <c r="B228" t="s">
        <v>828</v>
      </c>
      <c r="C228" t="s">
        <v>829</v>
      </c>
      <c r="D228" s="140">
        <v>86.44</v>
      </c>
      <c r="E228" s="140">
        <f t="shared" si="6"/>
        <v>95.948399999999992</v>
      </c>
      <c r="F228" s="229">
        <f t="shared" si="7"/>
        <v>16886.918399999999</v>
      </c>
    </row>
    <row r="229" spans="2:6" hidden="1" x14ac:dyDescent="0.25">
      <c r="B229" t="s">
        <v>830</v>
      </c>
      <c r="C229" t="s">
        <v>831</v>
      </c>
      <c r="D229" s="140">
        <v>123.64</v>
      </c>
      <c r="E229" s="140">
        <f t="shared" si="6"/>
        <v>137.24039999999999</v>
      </c>
      <c r="F229" s="229">
        <f t="shared" si="7"/>
        <v>24154.310399999998</v>
      </c>
    </row>
    <row r="230" spans="2:6" hidden="1" x14ac:dyDescent="0.25">
      <c r="B230" t="s">
        <v>832</v>
      </c>
      <c r="C230" t="s">
        <v>833</v>
      </c>
      <c r="D230" s="140">
        <v>115.98</v>
      </c>
      <c r="E230" s="140">
        <f t="shared" si="6"/>
        <v>128.73779999999999</v>
      </c>
      <c r="F230" s="229">
        <f t="shared" si="7"/>
        <v>22657.852800000001</v>
      </c>
    </row>
    <row r="231" spans="2:6" hidden="1" x14ac:dyDescent="0.25">
      <c r="B231" t="s">
        <v>834</v>
      </c>
      <c r="C231" t="s">
        <v>835</v>
      </c>
      <c r="D231" s="140">
        <v>135.28</v>
      </c>
      <c r="E231" s="140">
        <f t="shared" si="6"/>
        <v>150.16079999999999</v>
      </c>
      <c r="F231" s="229">
        <f t="shared" si="7"/>
        <v>26428.300799999997</v>
      </c>
    </row>
    <row r="232" spans="2:6" hidden="1" x14ac:dyDescent="0.25">
      <c r="B232" t="s">
        <v>836</v>
      </c>
      <c r="C232" t="s">
        <v>837</v>
      </c>
      <c r="D232" s="140">
        <v>128.84</v>
      </c>
      <c r="E232" s="140">
        <f t="shared" si="6"/>
        <v>143.01240000000001</v>
      </c>
      <c r="F232" s="229">
        <f t="shared" si="7"/>
        <v>25170.182400000002</v>
      </c>
    </row>
    <row r="233" spans="2:6" hidden="1" x14ac:dyDescent="0.25">
      <c r="B233" t="s">
        <v>838</v>
      </c>
      <c r="C233" t="s">
        <v>839</v>
      </c>
      <c r="D233" s="140">
        <v>61.45</v>
      </c>
      <c r="E233" s="140">
        <f t="shared" si="6"/>
        <v>68.209500000000006</v>
      </c>
      <c r="F233" s="229">
        <f t="shared" si="7"/>
        <v>12004.872000000001</v>
      </c>
    </row>
    <row r="234" spans="2:6" hidden="1" x14ac:dyDescent="0.25">
      <c r="B234" t="s">
        <v>840</v>
      </c>
      <c r="C234" t="s">
        <v>841</v>
      </c>
      <c r="D234" s="140">
        <v>57.99</v>
      </c>
      <c r="E234" s="140">
        <f t="shared" si="6"/>
        <v>64.368899999999996</v>
      </c>
      <c r="F234" s="229">
        <f t="shared" si="7"/>
        <v>11328.9264</v>
      </c>
    </row>
    <row r="235" spans="2:6" hidden="1" x14ac:dyDescent="0.25">
      <c r="B235" t="s">
        <v>842</v>
      </c>
      <c r="C235" t="s">
        <v>843</v>
      </c>
      <c r="D235" s="140">
        <v>93</v>
      </c>
      <c r="E235" s="140">
        <f t="shared" si="6"/>
        <v>103.23</v>
      </c>
      <c r="F235" s="229">
        <f t="shared" si="7"/>
        <v>18168.48</v>
      </c>
    </row>
    <row r="236" spans="2:6" hidden="1" x14ac:dyDescent="0.25">
      <c r="B236" t="s">
        <v>844</v>
      </c>
      <c r="C236" t="s">
        <v>845</v>
      </c>
      <c r="D236" s="140">
        <v>86.44</v>
      </c>
      <c r="E236" s="140">
        <f t="shared" si="6"/>
        <v>95.948399999999992</v>
      </c>
      <c r="F236" s="229">
        <f t="shared" si="7"/>
        <v>16886.918399999999</v>
      </c>
    </row>
    <row r="237" spans="2:6" hidden="1" x14ac:dyDescent="0.25">
      <c r="B237" t="s">
        <v>846</v>
      </c>
      <c r="C237" t="s">
        <v>847</v>
      </c>
      <c r="D237" s="140">
        <v>122.98</v>
      </c>
      <c r="E237" s="140">
        <f t="shared" si="6"/>
        <v>136.5078</v>
      </c>
      <c r="F237" s="229">
        <f t="shared" si="7"/>
        <v>24025.372800000001</v>
      </c>
    </row>
    <row r="238" spans="2:6" hidden="1" x14ac:dyDescent="0.25">
      <c r="B238" t="s">
        <v>848</v>
      </c>
      <c r="C238" t="s">
        <v>849</v>
      </c>
      <c r="D238" s="140">
        <v>115.98</v>
      </c>
      <c r="E238" s="140">
        <f t="shared" si="6"/>
        <v>128.73779999999999</v>
      </c>
      <c r="F238" s="229">
        <f t="shared" si="7"/>
        <v>22657.852800000001</v>
      </c>
    </row>
    <row r="239" spans="2:6" hidden="1" x14ac:dyDescent="0.25">
      <c r="B239" t="s">
        <v>850</v>
      </c>
      <c r="C239" t="s">
        <v>851</v>
      </c>
      <c r="D239" s="140">
        <v>140.05000000000001</v>
      </c>
      <c r="E239" s="140">
        <f t="shared" si="6"/>
        <v>155.4555</v>
      </c>
      <c r="F239" s="229">
        <f t="shared" si="7"/>
        <v>27360.168000000001</v>
      </c>
    </row>
    <row r="240" spans="2:6" hidden="1" x14ac:dyDescent="0.25">
      <c r="B240" t="s">
        <v>852</v>
      </c>
      <c r="C240" t="s">
        <v>853</v>
      </c>
      <c r="D240" s="140">
        <v>130.21</v>
      </c>
      <c r="E240" s="140">
        <f t="shared" si="6"/>
        <v>144.53310000000002</v>
      </c>
      <c r="F240" s="229">
        <f t="shared" si="7"/>
        <v>25437.825600000004</v>
      </c>
    </row>
    <row r="241" spans="2:6" hidden="1" x14ac:dyDescent="0.25">
      <c r="B241" t="s">
        <v>854</v>
      </c>
      <c r="C241" t="s">
        <v>855</v>
      </c>
      <c r="D241" s="140">
        <v>61.45</v>
      </c>
      <c r="E241" s="140">
        <f t="shared" si="6"/>
        <v>68.209500000000006</v>
      </c>
      <c r="F241" s="229">
        <f t="shared" si="7"/>
        <v>12004.872000000001</v>
      </c>
    </row>
    <row r="242" spans="2:6" hidden="1" x14ac:dyDescent="0.25">
      <c r="B242" t="s">
        <v>856</v>
      </c>
      <c r="C242" t="s">
        <v>857</v>
      </c>
      <c r="D242" s="140">
        <v>66.84</v>
      </c>
      <c r="E242" s="140">
        <f t="shared" si="6"/>
        <v>74.192400000000006</v>
      </c>
      <c r="F242" s="229">
        <f t="shared" si="7"/>
        <v>13057.862400000002</v>
      </c>
    </row>
    <row r="243" spans="2:6" hidden="1" x14ac:dyDescent="0.25">
      <c r="B243" t="s">
        <v>858</v>
      </c>
      <c r="C243" t="s">
        <v>859</v>
      </c>
      <c r="D243" s="140">
        <v>77.13</v>
      </c>
      <c r="E243" s="140">
        <f t="shared" si="6"/>
        <v>85.6143</v>
      </c>
      <c r="F243" s="229">
        <f t="shared" si="7"/>
        <v>15068.1168</v>
      </c>
    </row>
    <row r="244" spans="2:6" hidden="1" x14ac:dyDescent="0.25">
      <c r="B244" t="s">
        <v>860</v>
      </c>
      <c r="C244" t="s">
        <v>861</v>
      </c>
      <c r="D244" s="140">
        <v>101.76</v>
      </c>
      <c r="E244" s="140">
        <f t="shared" si="6"/>
        <v>112.95360000000001</v>
      </c>
      <c r="F244" s="229">
        <f t="shared" si="7"/>
        <v>19879.833600000002</v>
      </c>
    </row>
    <row r="245" spans="2:6" hidden="1" x14ac:dyDescent="0.25">
      <c r="B245" t="s">
        <v>862</v>
      </c>
      <c r="C245" t="s">
        <v>863</v>
      </c>
      <c r="D245" s="140">
        <v>123.64</v>
      </c>
      <c r="E245" s="140">
        <f t="shared" si="6"/>
        <v>137.24039999999999</v>
      </c>
      <c r="F245" s="229">
        <f t="shared" si="7"/>
        <v>24154.310399999998</v>
      </c>
    </row>
    <row r="246" spans="2:6" hidden="1" x14ac:dyDescent="0.25">
      <c r="B246" t="s">
        <v>864</v>
      </c>
      <c r="C246" t="s">
        <v>865</v>
      </c>
      <c r="D246" s="140">
        <v>115.98</v>
      </c>
      <c r="E246" s="140">
        <f t="shared" si="6"/>
        <v>128.73779999999999</v>
      </c>
      <c r="F246" s="229">
        <f t="shared" si="7"/>
        <v>22657.852800000001</v>
      </c>
    </row>
    <row r="247" spans="2:6" hidden="1" x14ac:dyDescent="0.25">
      <c r="B247" t="s">
        <v>866</v>
      </c>
      <c r="C247" t="s">
        <v>867</v>
      </c>
      <c r="D247" s="140">
        <v>123.64</v>
      </c>
      <c r="E247" s="140">
        <f t="shared" si="6"/>
        <v>137.24039999999999</v>
      </c>
      <c r="F247" s="229">
        <f t="shared" si="7"/>
        <v>24154.310399999998</v>
      </c>
    </row>
    <row r="248" spans="2:6" hidden="1" x14ac:dyDescent="0.25">
      <c r="B248" t="s">
        <v>868</v>
      </c>
      <c r="C248" t="s">
        <v>869</v>
      </c>
      <c r="D248" s="140">
        <v>115.98</v>
      </c>
      <c r="E248" s="140">
        <f t="shared" si="6"/>
        <v>128.73779999999999</v>
      </c>
      <c r="F248" s="229">
        <f t="shared" si="7"/>
        <v>22657.852800000001</v>
      </c>
    </row>
    <row r="249" spans="2:6" hidden="1" x14ac:dyDescent="0.25">
      <c r="B249" t="s">
        <v>870</v>
      </c>
      <c r="C249" t="s">
        <v>871</v>
      </c>
      <c r="D249" s="140">
        <v>61.45</v>
      </c>
      <c r="E249" s="140">
        <f t="shared" si="6"/>
        <v>68.209500000000006</v>
      </c>
      <c r="F249" s="229">
        <f t="shared" si="7"/>
        <v>12004.872000000001</v>
      </c>
    </row>
    <row r="250" spans="2:6" hidden="1" x14ac:dyDescent="0.25">
      <c r="B250" t="s">
        <v>872</v>
      </c>
      <c r="C250" t="s">
        <v>873</v>
      </c>
      <c r="D250" s="140">
        <v>66.84</v>
      </c>
      <c r="E250" s="140">
        <f t="shared" si="6"/>
        <v>74.192400000000006</v>
      </c>
      <c r="F250" s="229">
        <f t="shared" si="7"/>
        <v>13057.862400000002</v>
      </c>
    </row>
    <row r="251" spans="2:6" hidden="1" x14ac:dyDescent="0.25">
      <c r="B251" t="s">
        <v>874</v>
      </c>
      <c r="C251" t="s">
        <v>875</v>
      </c>
      <c r="D251" s="140">
        <v>77.13</v>
      </c>
      <c r="E251" s="140">
        <f t="shared" si="6"/>
        <v>85.6143</v>
      </c>
      <c r="F251" s="229">
        <f t="shared" si="7"/>
        <v>15068.1168</v>
      </c>
    </row>
    <row r="252" spans="2:6" hidden="1" x14ac:dyDescent="0.25">
      <c r="B252" t="s">
        <v>876</v>
      </c>
      <c r="C252" t="s">
        <v>877</v>
      </c>
      <c r="D252" s="140">
        <v>86.44</v>
      </c>
      <c r="E252" s="140">
        <f t="shared" si="6"/>
        <v>95.948399999999992</v>
      </c>
      <c r="F252" s="229">
        <f t="shared" si="7"/>
        <v>16886.918399999999</v>
      </c>
    </row>
    <row r="253" spans="2:6" hidden="1" x14ac:dyDescent="0.25">
      <c r="B253" t="s">
        <v>878</v>
      </c>
      <c r="C253" t="s">
        <v>879</v>
      </c>
      <c r="D253" s="140">
        <v>108.32</v>
      </c>
      <c r="E253" s="140">
        <f t="shared" si="6"/>
        <v>120.23519999999999</v>
      </c>
      <c r="F253" s="229">
        <f t="shared" si="7"/>
        <v>21161.395199999999</v>
      </c>
    </row>
    <row r="254" spans="2:6" hidden="1" x14ac:dyDescent="0.25">
      <c r="B254" t="s">
        <v>880</v>
      </c>
      <c r="C254" t="s">
        <v>881</v>
      </c>
      <c r="D254" s="140">
        <v>101.76</v>
      </c>
      <c r="E254" s="140">
        <f t="shared" si="6"/>
        <v>112.95360000000001</v>
      </c>
      <c r="F254" s="229">
        <f t="shared" si="7"/>
        <v>19879.833600000002</v>
      </c>
    </row>
    <row r="255" spans="2:6" hidden="1" x14ac:dyDescent="0.25">
      <c r="B255" t="s">
        <v>882</v>
      </c>
      <c r="C255" t="s">
        <v>883</v>
      </c>
      <c r="D255" s="140">
        <v>165.62</v>
      </c>
      <c r="E255" s="140">
        <f t="shared" si="6"/>
        <v>183.8382</v>
      </c>
      <c r="F255" s="229">
        <f t="shared" si="7"/>
        <v>32355.5232</v>
      </c>
    </row>
    <row r="256" spans="2:6" hidden="1" x14ac:dyDescent="0.25">
      <c r="B256" t="s">
        <v>884</v>
      </c>
      <c r="C256" t="s">
        <v>885</v>
      </c>
      <c r="D256" s="140">
        <v>170.52</v>
      </c>
      <c r="E256" s="140">
        <f t="shared" si="6"/>
        <v>189.27720000000002</v>
      </c>
      <c r="F256" s="229">
        <f t="shared" si="7"/>
        <v>33312.787200000006</v>
      </c>
    </row>
    <row r="257" spans="2:6" hidden="1" x14ac:dyDescent="0.25">
      <c r="B257" t="s">
        <v>886</v>
      </c>
      <c r="C257" t="s">
        <v>887</v>
      </c>
      <c r="D257" s="140">
        <v>73.3</v>
      </c>
      <c r="E257" s="140">
        <f t="shared" si="6"/>
        <v>81.363</v>
      </c>
      <c r="F257" s="229">
        <f t="shared" si="7"/>
        <v>14319.887999999999</v>
      </c>
    </row>
    <row r="258" spans="2:6" hidden="1" x14ac:dyDescent="0.25">
      <c r="B258" t="s">
        <v>888</v>
      </c>
      <c r="C258" t="s">
        <v>889</v>
      </c>
      <c r="D258" s="140">
        <v>80.849999999999994</v>
      </c>
      <c r="E258" s="140">
        <f t="shared" si="6"/>
        <v>89.743499999999997</v>
      </c>
      <c r="F258" s="229">
        <f t="shared" si="7"/>
        <v>15794.856</v>
      </c>
    </row>
    <row r="259" spans="2:6" hidden="1" x14ac:dyDescent="0.25">
      <c r="B259" t="s">
        <v>890</v>
      </c>
      <c r="C259" t="s">
        <v>891</v>
      </c>
      <c r="D259" s="140">
        <v>113.19</v>
      </c>
      <c r="E259" s="140">
        <f t="shared" si="6"/>
        <v>125.6409</v>
      </c>
      <c r="F259" s="229">
        <f t="shared" si="7"/>
        <v>22112.7984</v>
      </c>
    </row>
    <row r="260" spans="2:6" hidden="1" x14ac:dyDescent="0.25">
      <c r="B260" t="s">
        <v>892</v>
      </c>
      <c r="C260" t="s">
        <v>893</v>
      </c>
      <c r="D260" s="140">
        <v>123.97</v>
      </c>
      <c r="E260" s="140">
        <f t="shared" ref="E260:E323" si="8">(D260*$E$1) + D260</f>
        <v>137.60669999999999</v>
      </c>
      <c r="F260" s="229">
        <f t="shared" ref="F260:F323" si="9">E260*$F$1</f>
        <v>24218.779199999997</v>
      </c>
    </row>
    <row r="261" spans="2:6" hidden="1" x14ac:dyDescent="0.25">
      <c r="B261" t="s">
        <v>894</v>
      </c>
      <c r="C261" t="s">
        <v>895</v>
      </c>
      <c r="D261" s="140">
        <v>151.9</v>
      </c>
      <c r="E261" s="140">
        <f t="shared" si="8"/>
        <v>168.60900000000001</v>
      </c>
      <c r="F261" s="229">
        <f t="shared" si="9"/>
        <v>29675.184000000001</v>
      </c>
    </row>
    <row r="262" spans="2:6" hidden="1" x14ac:dyDescent="0.25">
      <c r="B262" t="s">
        <v>896</v>
      </c>
      <c r="C262" t="s">
        <v>897</v>
      </c>
      <c r="D262" s="140">
        <v>144.43</v>
      </c>
      <c r="E262" s="140">
        <f t="shared" si="8"/>
        <v>160.31730000000002</v>
      </c>
      <c r="F262" s="229">
        <f t="shared" si="9"/>
        <v>28215.844800000003</v>
      </c>
    </row>
    <row r="263" spans="2:6" hidden="1" x14ac:dyDescent="0.25">
      <c r="B263" t="s">
        <v>898</v>
      </c>
      <c r="C263" t="s">
        <v>899</v>
      </c>
      <c r="D263" s="140">
        <v>140.05000000000001</v>
      </c>
      <c r="E263" s="140">
        <f t="shared" si="8"/>
        <v>155.4555</v>
      </c>
      <c r="F263" s="229">
        <f t="shared" si="9"/>
        <v>27360.168000000001</v>
      </c>
    </row>
    <row r="264" spans="2:6" hidden="1" x14ac:dyDescent="0.25">
      <c r="B264" t="s">
        <v>900</v>
      </c>
      <c r="C264" t="s">
        <v>901</v>
      </c>
      <c r="D264" s="140">
        <v>130.21</v>
      </c>
      <c r="E264" s="140">
        <f t="shared" si="8"/>
        <v>144.53310000000002</v>
      </c>
      <c r="F264" s="229">
        <f t="shared" si="9"/>
        <v>25437.825600000004</v>
      </c>
    </row>
    <row r="265" spans="2:6" hidden="1" x14ac:dyDescent="0.25">
      <c r="B265" t="s">
        <v>902</v>
      </c>
      <c r="C265" t="s">
        <v>903</v>
      </c>
      <c r="D265" s="140">
        <v>62.09</v>
      </c>
      <c r="E265" s="140">
        <f t="shared" si="8"/>
        <v>68.919899999999998</v>
      </c>
      <c r="F265" s="229">
        <f t="shared" si="9"/>
        <v>12129.902399999999</v>
      </c>
    </row>
    <row r="266" spans="2:6" hidden="1" x14ac:dyDescent="0.25">
      <c r="B266" t="s">
        <v>904</v>
      </c>
      <c r="C266" t="s">
        <v>905</v>
      </c>
      <c r="D266" s="140">
        <v>66.23</v>
      </c>
      <c r="E266" s="140">
        <f t="shared" si="8"/>
        <v>73.515300000000011</v>
      </c>
      <c r="F266" s="229">
        <f t="shared" si="9"/>
        <v>12938.692800000003</v>
      </c>
    </row>
    <row r="267" spans="2:6" hidden="1" x14ac:dyDescent="0.25">
      <c r="B267" t="s">
        <v>906</v>
      </c>
      <c r="C267" t="s">
        <v>907</v>
      </c>
      <c r="D267" s="140">
        <v>99.5</v>
      </c>
      <c r="E267" s="140">
        <f t="shared" si="8"/>
        <v>110.44499999999999</v>
      </c>
      <c r="F267" s="229">
        <f t="shared" si="9"/>
        <v>19438.32</v>
      </c>
    </row>
    <row r="268" spans="2:6" hidden="1" x14ac:dyDescent="0.25">
      <c r="B268" t="s">
        <v>908</v>
      </c>
      <c r="C268" t="s">
        <v>909</v>
      </c>
      <c r="D268" s="140">
        <v>101.76</v>
      </c>
      <c r="E268" s="140">
        <f t="shared" si="8"/>
        <v>112.95360000000001</v>
      </c>
      <c r="F268" s="229">
        <f t="shared" si="9"/>
        <v>19879.833600000002</v>
      </c>
    </row>
    <row r="269" spans="2:6" hidden="1" x14ac:dyDescent="0.25">
      <c r="B269" t="s">
        <v>910</v>
      </c>
      <c r="C269" t="s">
        <v>911</v>
      </c>
      <c r="D269" s="140">
        <v>123.64</v>
      </c>
      <c r="E269" s="140">
        <f t="shared" si="8"/>
        <v>137.24039999999999</v>
      </c>
      <c r="F269" s="229">
        <f t="shared" si="9"/>
        <v>24154.310399999998</v>
      </c>
    </row>
    <row r="270" spans="2:6" hidden="1" x14ac:dyDescent="0.25">
      <c r="B270" t="s">
        <v>912</v>
      </c>
      <c r="C270" t="s">
        <v>913</v>
      </c>
      <c r="D270" s="140">
        <v>115.98</v>
      </c>
      <c r="E270" s="140">
        <f t="shared" si="8"/>
        <v>128.73779999999999</v>
      </c>
      <c r="F270" s="229">
        <f t="shared" si="9"/>
        <v>22657.852800000001</v>
      </c>
    </row>
    <row r="271" spans="2:6" hidden="1" x14ac:dyDescent="0.25">
      <c r="B271" t="s">
        <v>914</v>
      </c>
      <c r="C271" t="s">
        <v>915</v>
      </c>
      <c r="D271" s="140">
        <v>123.64</v>
      </c>
      <c r="E271" s="140">
        <f t="shared" si="8"/>
        <v>137.24039999999999</v>
      </c>
      <c r="F271" s="229">
        <f t="shared" si="9"/>
        <v>24154.310399999998</v>
      </c>
    </row>
    <row r="272" spans="2:6" hidden="1" x14ac:dyDescent="0.25">
      <c r="B272" t="s">
        <v>916</v>
      </c>
      <c r="C272" t="s">
        <v>917</v>
      </c>
      <c r="D272" s="140">
        <v>115.98</v>
      </c>
      <c r="E272" s="140">
        <f t="shared" si="8"/>
        <v>128.73779999999999</v>
      </c>
      <c r="F272" s="229">
        <f t="shared" si="9"/>
        <v>22657.852800000001</v>
      </c>
    </row>
    <row r="273" spans="2:6" hidden="1" x14ac:dyDescent="0.25">
      <c r="B273" t="s">
        <v>918</v>
      </c>
      <c r="C273" t="s">
        <v>919</v>
      </c>
      <c r="D273" s="140">
        <v>61.45</v>
      </c>
      <c r="E273" s="140">
        <f t="shared" si="8"/>
        <v>68.209500000000006</v>
      </c>
      <c r="F273" s="229">
        <f t="shared" si="9"/>
        <v>12004.872000000001</v>
      </c>
    </row>
    <row r="274" spans="2:6" hidden="1" x14ac:dyDescent="0.25">
      <c r="B274" t="s">
        <v>920</v>
      </c>
      <c r="C274" t="s">
        <v>921</v>
      </c>
      <c r="D274" s="140">
        <v>66.23</v>
      </c>
      <c r="E274" s="140">
        <f t="shared" si="8"/>
        <v>73.515300000000011</v>
      </c>
      <c r="F274" s="229">
        <f t="shared" si="9"/>
        <v>12938.692800000003</v>
      </c>
    </row>
    <row r="275" spans="2:6" hidden="1" x14ac:dyDescent="0.25">
      <c r="B275" t="s">
        <v>922</v>
      </c>
      <c r="C275" t="s">
        <v>923</v>
      </c>
      <c r="D275" s="140">
        <v>93</v>
      </c>
      <c r="E275" s="140">
        <f t="shared" si="8"/>
        <v>103.23</v>
      </c>
      <c r="F275" s="229">
        <f t="shared" si="9"/>
        <v>18168.48</v>
      </c>
    </row>
    <row r="276" spans="2:6" hidden="1" x14ac:dyDescent="0.25">
      <c r="B276" t="s">
        <v>924</v>
      </c>
      <c r="C276" t="s">
        <v>925</v>
      </c>
      <c r="D276" s="140">
        <v>86.44</v>
      </c>
      <c r="E276" s="140">
        <f t="shared" si="8"/>
        <v>95.948399999999992</v>
      </c>
      <c r="F276" s="229">
        <f t="shared" si="9"/>
        <v>16886.918399999999</v>
      </c>
    </row>
    <row r="277" spans="2:6" hidden="1" x14ac:dyDescent="0.25">
      <c r="B277" t="s">
        <v>926</v>
      </c>
      <c r="C277" t="s">
        <v>927</v>
      </c>
      <c r="D277" s="140">
        <v>108.32</v>
      </c>
      <c r="E277" s="140">
        <f t="shared" si="8"/>
        <v>120.23519999999999</v>
      </c>
      <c r="F277" s="229">
        <f t="shared" si="9"/>
        <v>21161.395199999999</v>
      </c>
    </row>
    <row r="278" spans="2:6" hidden="1" x14ac:dyDescent="0.25">
      <c r="B278" t="s">
        <v>928</v>
      </c>
      <c r="C278" t="s">
        <v>929</v>
      </c>
      <c r="D278" s="140">
        <v>101.76</v>
      </c>
      <c r="E278" s="140">
        <f t="shared" si="8"/>
        <v>112.95360000000001</v>
      </c>
      <c r="F278" s="229">
        <f t="shared" si="9"/>
        <v>19879.833600000002</v>
      </c>
    </row>
    <row r="279" spans="2:6" hidden="1" x14ac:dyDescent="0.25">
      <c r="B279" t="s">
        <v>930</v>
      </c>
      <c r="C279" t="s">
        <v>931</v>
      </c>
      <c r="D279" s="140">
        <v>123.64</v>
      </c>
      <c r="E279" s="140">
        <f t="shared" si="8"/>
        <v>137.24039999999999</v>
      </c>
      <c r="F279" s="229">
        <f t="shared" si="9"/>
        <v>24154.310399999998</v>
      </c>
    </row>
    <row r="280" spans="2:6" hidden="1" x14ac:dyDescent="0.25">
      <c r="B280" t="s">
        <v>932</v>
      </c>
      <c r="C280" t="s">
        <v>933</v>
      </c>
      <c r="D280" s="140">
        <v>115.98</v>
      </c>
      <c r="E280" s="140">
        <f t="shared" si="8"/>
        <v>128.73779999999999</v>
      </c>
      <c r="F280" s="229">
        <f t="shared" si="9"/>
        <v>22657.852800000001</v>
      </c>
    </row>
    <row r="281" spans="2:6" hidden="1" x14ac:dyDescent="0.25">
      <c r="B281" t="s">
        <v>934</v>
      </c>
      <c r="C281" t="s">
        <v>935</v>
      </c>
      <c r="D281" s="140">
        <v>62.09</v>
      </c>
      <c r="E281" s="140">
        <f t="shared" si="8"/>
        <v>68.919899999999998</v>
      </c>
      <c r="F281" s="229">
        <f t="shared" si="9"/>
        <v>12129.902399999999</v>
      </c>
    </row>
    <row r="282" spans="2:6" hidden="1" x14ac:dyDescent="0.25">
      <c r="B282" t="s">
        <v>936</v>
      </c>
      <c r="C282" t="s">
        <v>937</v>
      </c>
      <c r="D282" s="140">
        <v>66.23</v>
      </c>
      <c r="E282" s="140">
        <f t="shared" si="8"/>
        <v>73.515300000000011</v>
      </c>
      <c r="F282" s="229">
        <f t="shared" si="9"/>
        <v>12938.692800000003</v>
      </c>
    </row>
    <row r="283" spans="2:6" hidden="1" x14ac:dyDescent="0.25">
      <c r="B283" t="s">
        <v>938</v>
      </c>
      <c r="C283" t="s">
        <v>939</v>
      </c>
      <c r="D283" s="140">
        <v>93</v>
      </c>
      <c r="E283" s="140">
        <f t="shared" si="8"/>
        <v>103.23</v>
      </c>
      <c r="F283" s="229">
        <f t="shared" si="9"/>
        <v>18168.48</v>
      </c>
    </row>
    <row r="284" spans="2:6" hidden="1" x14ac:dyDescent="0.25">
      <c r="B284" t="s">
        <v>940</v>
      </c>
      <c r="C284" t="s">
        <v>941</v>
      </c>
      <c r="D284" s="140">
        <v>86.44</v>
      </c>
      <c r="E284" s="140">
        <f t="shared" si="8"/>
        <v>95.948399999999992</v>
      </c>
      <c r="F284" s="229">
        <f t="shared" si="9"/>
        <v>16886.918399999999</v>
      </c>
    </row>
    <row r="285" spans="2:6" hidden="1" x14ac:dyDescent="0.25">
      <c r="B285" t="s">
        <v>942</v>
      </c>
      <c r="C285" t="s">
        <v>943</v>
      </c>
      <c r="D285" s="140">
        <v>108.32</v>
      </c>
      <c r="E285" s="140">
        <f t="shared" si="8"/>
        <v>120.23519999999999</v>
      </c>
      <c r="F285" s="229">
        <f t="shared" si="9"/>
        <v>21161.395199999999</v>
      </c>
    </row>
    <row r="286" spans="2:6" hidden="1" x14ac:dyDescent="0.25">
      <c r="B286" t="s">
        <v>944</v>
      </c>
      <c r="C286" t="s">
        <v>945</v>
      </c>
      <c r="D286" s="140">
        <v>101.76</v>
      </c>
      <c r="E286" s="140">
        <f t="shared" si="8"/>
        <v>112.95360000000001</v>
      </c>
      <c r="F286" s="229">
        <f t="shared" si="9"/>
        <v>19879.833600000002</v>
      </c>
    </row>
    <row r="287" spans="2:6" hidden="1" x14ac:dyDescent="0.25">
      <c r="B287" t="s">
        <v>946</v>
      </c>
      <c r="C287" t="s">
        <v>947</v>
      </c>
      <c r="D287" s="140">
        <v>82.59</v>
      </c>
      <c r="E287" s="140">
        <f t="shared" si="8"/>
        <v>91.674900000000008</v>
      </c>
      <c r="F287" s="229">
        <f t="shared" si="9"/>
        <v>16134.782400000002</v>
      </c>
    </row>
    <row r="288" spans="2:6" hidden="1" x14ac:dyDescent="0.25">
      <c r="B288" t="s">
        <v>948</v>
      </c>
      <c r="C288" t="s">
        <v>949</v>
      </c>
      <c r="D288" s="140">
        <v>78.66</v>
      </c>
      <c r="E288" s="140">
        <f t="shared" si="8"/>
        <v>87.312600000000003</v>
      </c>
      <c r="F288" s="229">
        <f t="shared" si="9"/>
        <v>15367.017600000001</v>
      </c>
    </row>
    <row r="289" spans="2:6" hidden="1" x14ac:dyDescent="0.25">
      <c r="B289" t="s">
        <v>950</v>
      </c>
      <c r="C289" t="s">
        <v>951</v>
      </c>
      <c r="D289" s="140">
        <v>52.46</v>
      </c>
      <c r="E289" s="140">
        <f t="shared" si="8"/>
        <v>58.230600000000003</v>
      </c>
      <c r="F289" s="229">
        <f t="shared" si="9"/>
        <v>10248.5856</v>
      </c>
    </row>
    <row r="290" spans="2:6" hidden="1" x14ac:dyDescent="0.25">
      <c r="B290" t="s">
        <v>952</v>
      </c>
      <c r="C290" t="s">
        <v>953</v>
      </c>
      <c r="D290" s="140">
        <v>56.63</v>
      </c>
      <c r="E290" s="140">
        <f t="shared" si="8"/>
        <v>62.859300000000005</v>
      </c>
      <c r="F290" s="229">
        <f t="shared" si="9"/>
        <v>11063.236800000001</v>
      </c>
    </row>
    <row r="291" spans="2:6" hidden="1" x14ac:dyDescent="0.25">
      <c r="B291" t="s">
        <v>954</v>
      </c>
      <c r="C291" t="s">
        <v>955</v>
      </c>
      <c r="D291" s="140">
        <v>67.58</v>
      </c>
      <c r="E291" s="140">
        <f t="shared" si="8"/>
        <v>75.013800000000003</v>
      </c>
      <c r="F291" s="229">
        <f t="shared" si="9"/>
        <v>13202.428800000002</v>
      </c>
    </row>
    <row r="292" spans="2:6" hidden="1" x14ac:dyDescent="0.25">
      <c r="B292" t="s">
        <v>956</v>
      </c>
      <c r="C292" t="s">
        <v>957</v>
      </c>
      <c r="D292" s="140">
        <v>64.36</v>
      </c>
      <c r="E292" s="140">
        <f t="shared" si="8"/>
        <v>71.439599999999999</v>
      </c>
      <c r="F292" s="229">
        <f t="shared" si="9"/>
        <v>12573.3696</v>
      </c>
    </row>
    <row r="293" spans="2:6" hidden="1" x14ac:dyDescent="0.25">
      <c r="B293" t="s">
        <v>958</v>
      </c>
      <c r="C293" t="s">
        <v>959</v>
      </c>
      <c r="D293" s="140">
        <v>75.09</v>
      </c>
      <c r="E293" s="140">
        <f t="shared" si="8"/>
        <v>83.349900000000005</v>
      </c>
      <c r="F293" s="229">
        <f t="shared" si="9"/>
        <v>14669.582400000001</v>
      </c>
    </row>
    <row r="294" spans="2:6" hidden="1" x14ac:dyDescent="0.25">
      <c r="B294" t="s">
        <v>960</v>
      </c>
      <c r="C294" t="s">
        <v>961</v>
      </c>
      <c r="D294" s="140">
        <v>71.510000000000005</v>
      </c>
      <c r="E294" s="140">
        <f t="shared" si="8"/>
        <v>79.376100000000008</v>
      </c>
      <c r="F294" s="229">
        <f t="shared" si="9"/>
        <v>13970.193600000002</v>
      </c>
    </row>
    <row r="295" spans="2:6" hidden="1" x14ac:dyDescent="0.25">
      <c r="B295" t="s">
        <v>962</v>
      </c>
      <c r="C295" t="s">
        <v>963</v>
      </c>
      <c r="D295" s="140">
        <v>123.64</v>
      </c>
      <c r="E295" s="140">
        <f t="shared" si="8"/>
        <v>137.24039999999999</v>
      </c>
      <c r="F295" s="229">
        <f t="shared" si="9"/>
        <v>24154.310399999998</v>
      </c>
    </row>
    <row r="296" spans="2:6" hidden="1" x14ac:dyDescent="0.25">
      <c r="B296" t="s">
        <v>964</v>
      </c>
      <c r="C296" t="s">
        <v>965</v>
      </c>
      <c r="D296" s="140">
        <v>115.98</v>
      </c>
      <c r="E296" s="140">
        <f t="shared" si="8"/>
        <v>128.73779999999999</v>
      </c>
      <c r="F296" s="229">
        <f t="shared" si="9"/>
        <v>22657.852800000001</v>
      </c>
    </row>
    <row r="297" spans="2:6" hidden="1" x14ac:dyDescent="0.25">
      <c r="B297" t="s">
        <v>966</v>
      </c>
      <c r="C297" t="s">
        <v>967</v>
      </c>
      <c r="D297" s="140">
        <v>77.69</v>
      </c>
      <c r="E297" s="140">
        <f t="shared" si="8"/>
        <v>86.235900000000001</v>
      </c>
      <c r="F297" s="229">
        <f t="shared" si="9"/>
        <v>15177.518400000001</v>
      </c>
    </row>
    <row r="298" spans="2:6" hidden="1" x14ac:dyDescent="0.25">
      <c r="B298" t="s">
        <v>968</v>
      </c>
      <c r="C298" t="s">
        <v>969</v>
      </c>
      <c r="D298" s="140">
        <v>72.22</v>
      </c>
      <c r="E298" s="140">
        <f t="shared" si="8"/>
        <v>80.164199999999994</v>
      </c>
      <c r="F298" s="229">
        <f t="shared" si="9"/>
        <v>14108.8992</v>
      </c>
    </row>
    <row r="299" spans="2:6" hidden="1" x14ac:dyDescent="0.25">
      <c r="B299" t="s">
        <v>970</v>
      </c>
      <c r="C299" t="s">
        <v>971</v>
      </c>
      <c r="D299" s="140">
        <v>93</v>
      </c>
      <c r="E299" s="140">
        <f t="shared" si="8"/>
        <v>103.23</v>
      </c>
      <c r="F299" s="229">
        <f t="shared" si="9"/>
        <v>18168.48</v>
      </c>
    </row>
    <row r="300" spans="2:6" hidden="1" x14ac:dyDescent="0.25">
      <c r="B300" t="s">
        <v>972</v>
      </c>
      <c r="C300" t="s">
        <v>973</v>
      </c>
      <c r="D300" s="140">
        <v>86.44</v>
      </c>
      <c r="E300" s="140">
        <f t="shared" si="8"/>
        <v>95.948399999999992</v>
      </c>
      <c r="F300" s="229">
        <f t="shared" si="9"/>
        <v>16886.918399999999</v>
      </c>
    </row>
    <row r="301" spans="2:6" hidden="1" x14ac:dyDescent="0.25">
      <c r="B301" t="s">
        <v>974</v>
      </c>
      <c r="C301" t="s">
        <v>975</v>
      </c>
      <c r="D301" s="140">
        <v>108.32</v>
      </c>
      <c r="E301" s="140">
        <f t="shared" si="8"/>
        <v>120.23519999999999</v>
      </c>
      <c r="F301" s="229">
        <f t="shared" si="9"/>
        <v>21161.395199999999</v>
      </c>
    </row>
    <row r="302" spans="2:6" hidden="1" x14ac:dyDescent="0.25">
      <c r="B302" t="s">
        <v>976</v>
      </c>
      <c r="C302" t="s">
        <v>977</v>
      </c>
      <c r="D302" s="140">
        <v>101.76</v>
      </c>
      <c r="E302" s="140">
        <f t="shared" si="8"/>
        <v>112.95360000000001</v>
      </c>
      <c r="F302" s="229">
        <f t="shared" si="9"/>
        <v>19879.833600000002</v>
      </c>
    </row>
    <row r="303" spans="2:6" hidden="1" x14ac:dyDescent="0.25">
      <c r="B303" t="s">
        <v>978</v>
      </c>
      <c r="C303" t="s">
        <v>979</v>
      </c>
      <c r="D303" s="140">
        <v>123.64</v>
      </c>
      <c r="E303" s="140">
        <f t="shared" si="8"/>
        <v>137.24039999999999</v>
      </c>
      <c r="F303" s="229">
        <f t="shared" si="9"/>
        <v>24154.310399999998</v>
      </c>
    </row>
    <row r="304" spans="2:6" hidden="1" x14ac:dyDescent="0.25">
      <c r="B304" t="s">
        <v>980</v>
      </c>
      <c r="C304" t="s">
        <v>981</v>
      </c>
      <c r="D304" s="140">
        <v>115.98</v>
      </c>
      <c r="E304" s="140">
        <f t="shared" si="8"/>
        <v>128.73779999999999</v>
      </c>
      <c r="F304" s="229">
        <f t="shared" si="9"/>
        <v>22657.852800000001</v>
      </c>
    </row>
    <row r="305" spans="2:6" hidden="1" x14ac:dyDescent="0.25">
      <c r="B305" t="s">
        <v>982</v>
      </c>
      <c r="C305" t="s">
        <v>983</v>
      </c>
      <c r="D305" s="140">
        <v>77.69</v>
      </c>
      <c r="E305" s="140">
        <f t="shared" si="8"/>
        <v>86.235900000000001</v>
      </c>
      <c r="F305" s="229">
        <f t="shared" si="9"/>
        <v>15177.518400000001</v>
      </c>
    </row>
    <row r="306" spans="2:6" hidden="1" x14ac:dyDescent="0.25">
      <c r="B306" t="s">
        <v>984</v>
      </c>
      <c r="C306" t="s">
        <v>985</v>
      </c>
      <c r="D306" s="140">
        <v>72.22</v>
      </c>
      <c r="E306" s="140">
        <f t="shared" si="8"/>
        <v>80.164199999999994</v>
      </c>
      <c r="F306" s="229">
        <f t="shared" si="9"/>
        <v>14108.8992</v>
      </c>
    </row>
    <row r="307" spans="2:6" hidden="1" x14ac:dyDescent="0.25">
      <c r="B307" t="s">
        <v>986</v>
      </c>
      <c r="C307" t="s">
        <v>987</v>
      </c>
      <c r="D307" s="140">
        <v>93</v>
      </c>
      <c r="E307" s="140">
        <f t="shared" si="8"/>
        <v>103.23</v>
      </c>
      <c r="F307" s="229">
        <f t="shared" si="9"/>
        <v>18168.48</v>
      </c>
    </row>
    <row r="308" spans="2:6" hidden="1" x14ac:dyDescent="0.25">
      <c r="B308" t="s">
        <v>988</v>
      </c>
      <c r="C308" t="s">
        <v>989</v>
      </c>
      <c r="D308" s="140">
        <v>86.44</v>
      </c>
      <c r="E308" s="140">
        <f t="shared" si="8"/>
        <v>95.948399999999992</v>
      </c>
      <c r="F308" s="229">
        <f t="shared" si="9"/>
        <v>16886.918399999999</v>
      </c>
    </row>
    <row r="309" spans="2:6" hidden="1" x14ac:dyDescent="0.25">
      <c r="B309" t="s">
        <v>990</v>
      </c>
      <c r="C309" t="s">
        <v>991</v>
      </c>
      <c r="D309" s="140">
        <v>108.32</v>
      </c>
      <c r="E309" s="140">
        <f t="shared" si="8"/>
        <v>120.23519999999999</v>
      </c>
      <c r="F309" s="229">
        <f t="shared" si="9"/>
        <v>21161.395199999999</v>
      </c>
    </row>
    <row r="310" spans="2:6" hidden="1" x14ac:dyDescent="0.25">
      <c r="B310" t="s">
        <v>992</v>
      </c>
      <c r="C310" t="s">
        <v>993</v>
      </c>
      <c r="D310" s="140">
        <v>101.76</v>
      </c>
      <c r="E310" s="140">
        <f t="shared" si="8"/>
        <v>112.95360000000001</v>
      </c>
      <c r="F310" s="229">
        <f t="shared" si="9"/>
        <v>19879.833600000002</v>
      </c>
    </row>
    <row r="311" spans="2:6" hidden="1" x14ac:dyDescent="0.25">
      <c r="B311" t="s">
        <v>994</v>
      </c>
      <c r="C311" t="s">
        <v>995</v>
      </c>
      <c r="D311" s="140">
        <v>77.69</v>
      </c>
      <c r="E311" s="140">
        <f t="shared" si="8"/>
        <v>86.235900000000001</v>
      </c>
      <c r="F311" s="229">
        <f t="shared" si="9"/>
        <v>15177.518400000001</v>
      </c>
    </row>
    <row r="312" spans="2:6" hidden="1" x14ac:dyDescent="0.25">
      <c r="B312" t="s">
        <v>996</v>
      </c>
      <c r="C312" t="s">
        <v>997</v>
      </c>
      <c r="D312" s="140">
        <v>86.44</v>
      </c>
      <c r="E312" s="140">
        <f t="shared" si="8"/>
        <v>95.948399999999992</v>
      </c>
      <c r="F312" s="229">
        <f t="shared" si="9"/>
        <v>16886.918399999999</v>
      </c>
    </row>
    <row r="313" spans="2:6" hidden="1" x14ac:dyDescent="0.25">
      <c r="B313" t="s">
        <v>998</v>
      </c>
      <c r="C313" t="s">
        <v>999</v>
      </c>
      <c r="D313" s="140">
        <v>164.64</v>
      </c>
      <c r="E313" s="140">
        <f t="shared" si="8"/>
        <v>182.75039999999998</v>
      </c>
      <c r="F313" s="229">
        <f t="shared" si="9"/>
        <v>32164.070399999997</v>
      </c>
    </row>
    <row r="314" spans="2:6" hidden="1" x14ac:dyDescent="0.25">
      <c r="B314" t="s">
        <v>1000</v>
      </c>
      <c r="C314" t="s">
        <v>1001</v>
      </c>
      <c r="D314" s="140">
        <v>166.05</v>
      </c>
      <c r="E314" s="140">
        <f t="shared" si="8"/>
        <v>184.31550000000001</v>
      </c>
      <c r="F314" s="229">
        <f t="shared" si="9"/>
        <v>32439.528000000002</v>
      </c>
    </row>
    <row r="315" spans="2:6" hidden="1" x14ac:dyDescent="0.25">
      <c r="B315" t="s">
        <v>1002</v>
      </c>
      <c r="C315" t="s">
        <v>1003</v>
      </c>
      <c r="D315" s="140">
        <v>164.64</v>
      </c>
      <c r="E315" s="140">
        <f t="shared" si="8"/>
        <v>182.75039999999998</v>
      </c>
      <c r="F315" s="229">
        <f t="shared" si="9"/>
        <v>32164.070399999997</v>
      </c>
    </row>
    <row r="316" spans="2:6" hidden="1" x14ac:dyDescent="0.25">
      <c r="B316" t="s">
        <v>1004</v>
      </c>
      <c r="C316" t="s">
        <v>1005</v>
      </c>
      <c r="D316" s="140">
        <v>181.3</v>
      </c>
      <c r="E316" s="140">
        <f t="shared" si="8"/>
        <v>201.24300000000002</v>
      </c>
      <c r="F316" s="229">
        <f t="shared" si="9"/>
        <v>35418.768000000004</v>
      </c>
    </row>
    <row r="317" spans="2:6" hidden="1" x14ac:dyDescent="0.25">
      <c r="B317" t="s">
        <v>1006</v>
      </c>
      <c r="C317" t="s">
        <v>1007</v>
      </c>
      <c r="D317" s="140">
        <v>171.5</v>
      </c>
      <c r="E317" s="140">
        <f t="shared" si="8"/>
        <v>190.36500000000001</v>
      </c>
      <c r="F317" s="229">
        <f t="shared" si="9"/>
        <v>33504.240000000005</v>
      </c>
    </row>
    <row r="318" spans="2:6" hidden="1" x14ac:dyDescent="0.25">
      <c r="B318" t="s">
        <v>1008</v>
      </c>
      <c r="C318" t="s">
        <v>1009</v>
      </c>
      <c r="D318" s="140">
        <v>183.26</v>
      </c>
      <c r="E318" s="140">
        <f t="shared" si="8"/>
        <v>203.4186</v>
      </c>
      <c r="F318" s="229">
        <f t="shared" si="9"/>
        <v>35801.673600000002</v>
      </c>
    </row>
    <row r="319" spans="2:6" hidden="1" x14ac:dyDescent="0.25">
      <c r="B319" t="s">
        <v>1010</v>
      </c>
      <c r="C319" t="s">
        <v>1011</v>
      </c>
      <c r="D319" s="140">
        <v>88.2</v>
      </c>
      <c r="E319" s="140">
        <f t="shared" si="8"/>
        <v>97.902000000000001</v>
      </c>
      <c r="F319" s="229">
        <f t="shared" si="9"/>
        <v>17230.752</v>
      </c>
    </row>
    <row r="320" spans="2:6" hidden="1" x14ac:dyDescent="0.25">
      <c r="B320" t="s">
        <v>1012</v>
      </c>
      <c r="C320" t="s">
        <v>1013</v>
      </c>
      <c r="D320" s="140">
        <v>101.92</v>
      </c>
      <c r="E320" s="140">
        <f t="shared" si="8"/>
        <v>113.13120000000001</v>
      </c>
      <c r="F320" s="229">
        <f t="shared" si="9"/>
        <v>19911.091200000003</v>
      </c>
    </row>
    <row r="321" spans="2:6" hidden="1" x14ac:dyDescent="0.25">
      <c r="B321" t="s">
        <v>1014</v>
      </c>
      <c r="C321" t="s">
        <v>1015</v>
      </c>
      <c r="D321" s="140">
        <v>127.1</v>
      </c>
      <c r="E321" s="140">
        <f t="shared" si="8"/>
        <v>141.08099999999999</v>
      </c>
      <c r="F321" s="229">
        <f t="shared" si="9"/>
        <v>24830.255999999998</v>
      </c>
    </row>
    <row r="322" spans="2:6" hidden="1" x14ac:dyDescent="0.25">
      <c r="B322" t="s">
        <v>1016</v>
      </c>
      <c r="C322" t="s">
        <v>1017</v>
      </c>
      <c r="D322" s="140">
        <v>134.28</v>
      </c>
      <c r="E322" s="140">
        <f t="shared" si="8"/>
        <v>149.05080000000001</v>
      </c>
      <c r="F322" s="229">
        <f t="shared" si="9"/>
        <v>26232.9408</v>
      </c>
    </row>
    <row r="323" spans="2:6" hidden="1" x14ac:dyDescent="0.25">
      <c r="B323" t="s">
        <v>1018</v>
      </c>
      <c r="C323" t="s">
        <v>1019</v>
      </c>
      <c r="D323" s="140">
        <v>163.1</v>
      </c>
      <c r="E323" s="140">
        <f t="shared" si="8"/>
        <v>181.041</v>
      </c>
      <c r="F323" s="229">
        <f t="shared" si="9"/>
        <v>31863.216</v>
      </c>
    </row>
    <row r="324" spans="2:6" hidden="1" x14ac:dyDescent="0.25">
      <c r="B324" t="s">
        <v>1020</v>
      </c>
      <c r="C324" t="s">
        <v>1021</v>
      </c>
      <c r="D324" s="140">
        <v>168.56</v>
      </c>
      <c r="E324" s="140">
        <f t="shared" ref="E324:E387" si="10">(D324*$E$1) + D324</f>
        <v>187.10159999999999</v>
      </c>
      <c r="F324" s="229">
        <f t="shared" ref="F324:F387" si="11">E324*$F$1</f>
        <v>32929.881600000001</v>
      </c>
    </row>
    <row r="325" spans="2:6" hidden="1" x14ac:dyDescent="0.25">
      <c r="B325" t="s">
        <v>1022</v>
      </c>
      <c r="C325" t="s">
        <v>1023</v>
      </c>
      <c r="D325" s="140">
        <v>140.05000000000001</v>
      </c>
      <c r="E325" s="140">
        <f t="shared" si="10"/>
        <v>155.4555</v>
      </c>
      <c r="F325" s="229">
        <f t="shared" si="11"/>
        <v>27360.168000000001</v>
      </c>
    </row>
    <row r="326" spans="2:6" hidden="1" x14ac:dyDescent="0.25">
      <c r="B326" t="s">
        <v>1024</v>
      </c>
      <c r="C326" t="s">
        <v>1025</v>
      </c>
      <c r="D326" s="140">
        <v>130.21</v>
      </c>
      <c r="E326" s="140">
        <f t="shared" si="10"/>
        <v>144.53310000000002</v>
      </c>
      <c r="F326" s="229">
        <f t="shared" si="11"/>
        <v>25437.825600000004</v>
      </c>
    </row>
    <row r="327" spans="2:6" hidden="1" x14ac:dyDescent="0.25">
      <c r="B327" t="s">
        <v>1026</v>
      </c>
      <c r="C327" t="s">
        <v>1027</v>
      </c>
      <c r="D327" s="140">
        <v>92.12</v>
      </c>
      <c r="E327" s="140">
        <f t="shared" si="10"/>
        <v>102.25320000000001</v>
      </c>
      <c r="F327" s="229">
        <f t="shared" si="11"/>
        <v>17996.563200000001</v>
      </c>
    </row>
    <row r="328" spans="2:6" hidden="1" x14ac:dyDescent="0.25">
      <c r="B328" t="s">
        <v>1028</v>
      </c>
      <c r="C328" t="s">
        <v>1029</v>
      </c>
      <c r="D328" s="140">
        <v>86.44</v>
      </c>
      <c r="E328" s="140">
        <f t="shared" si="10"/>
        <v>95.948399999999992</v>
      </c>
      <c r="F328" s="229">
        <f t="shared" si="11"/>
        <v>16886.918399999999</v>
      </c>
    </row>
    <row r="329" spans="2:6" hidden="1" x14ac:dyDescent="0.25">
      <c r="B329" t="s">
        <v>1030</v>
      </c>
      <c r="C329" t="s">
        <v>1031</v>
      </c>
      <c r="D329" s="140">
        <v>108.32</v>
      </c>
      <c r="E329" s="140">
        <f t="shared" si="10"/>
        <v>120.23519999999999</v>
      </c>
      <c r="F329" s="229">
        <f t="shared" si="11"/>
        <v>21161.395199999999</v>
      </c>
    </row>
    <row r="330" spans="2:6" hidden="1" x14ac:dyDescent="0.25">
      <c r="B330" t="s">
        <v>1032</v>
      </c>
      <c r="C330" t="s">
        <v>1033</v>
      </c>
      <c r="D330" s="140">
        <v>101.76</v>
      </c>
      <c r="E330" s="140">
        <f t="shared" si="10"/>
        <v>112.95360000000001</v>
      </c>
      <c r="F330" s="229">
        <f t="shared" si="11"/>
        <v>19879.833600000002</v>
      </c>
    </row>
    <row r="331" spans="2:6" hidden="1" x14ac:dyDescent="0.25">
      <c r="B331" t="s">
        <v>1034</v>
      </c>
      <c r="C331" t="s">
        <v>1035</v>
      </c>
      <c r="D331" s="140">
        <v>123.64</v>
      </c>
      <c r="E331" s="140">
        <f t="shared" si="10"/>
        <v>137.24039999999999</v>
      </c>
      <c r="F331" s="229">
        <f t="shared" si="11"/>
        <v>24154.310399999998</v>
      </c>
    </row>
    <row r="332" spans="2:6" hidden="1" x14ac:dyDescent="0.25">
      <c r="B332" t="s">
        <v>1036</v>
      </c>
      <c r="C332" t="s">
        <v>1037</v>
      </c>
      <c r="D332" s="140">
        <v>115.98</v>
      </c>
      <c r="E332" s="140">
        <f t="shared" si="10"/>
        <v>128.73779999999999</v>
      </c>
      <c r="F332" s="229">
        <f t="shared" si="11"/>
        <v>22657.852800000001</v>
      </c>
    </row>
    <row r="333" spans="2:6" hidden="1" x14ac:dyDescent="0.25">
      <c r="B333" t="s">
        <v>1038</v>
      </c>
      <c r="C333" t="s">
        <v>1039</v>
      </c>
      <c r="D333" s="140">
        <v>155.37</v>
      </c>
      <c r="E333" s="140">
        <f t="shared" si="10"/>
        <v>172.4607</v>
      </c>
      <c r="F333" s="229">
        <f t="shared" si="11"/>
        <v>30353.083200000001</v>
      </c>
    </row>
    <row r="334" spans="2:6" hidden="1" x14ac:dyDescent="0.25">
      <c r="B334" t="s">
        <v>1040</v>
      </c>
      <c r="C334" t="s">
        <v>1041</v>
      </c>
      <c r="D334" s="140">
        <v>144.43</v>
      </c>
      <c r="E334" s="140">
        <f t="shared" si="10"/>
        <v>160.31730000000002</v>
      </c>
      <c r="F334" s="229">
        <f t="shared" si="11"/>
        <v>28215.844800000003</v>
      </c>
    </row>
    <row r="335" spans="2:6" hidden="1" x14ac:dyDescent="0.25">
      <c r="B335" t="s">
        <v>1042</v>
      </c>
      <c r="C335" t="s">
        <v>1043</v>
      </c>
      <c r="D335" s="140">
        <v>77.42</v>
      </c>
      <c r="E335" s="140">
        <f t="shared" si="10"/>
        <v>85.936199999999999</v>
      </c>
      <c r="F335" s="229">
        <f t="shared" si="11"/>
        <v>15124.771199999999</v>
      </c>
    </row>
    <row r="336" spans="2:6" hidden="1" x14ac:dyDescent="0.25">
      <c r="B336" t="s">
        <v>1044</v>
      </c>
      <c r="C336" t="s">
        <v>1045</v>
      </c>
      <c r="D336" s="140">
        <v>91.14</v>
      </c>
      <c r="E336" s="140">
        <f t="shared" si="10"/>
        <v>101.16540000000001</v>
      </c>
      <c r="F336" s="229">
        <f t="shared" si="11"/>
        <v>17805.110400000001</v>
      </c>
    </row>
    <row r="337" spans="2:6" hidden="1" x14ac:dyDescent="0.25">
      <c r="B337" t="s">
        <v>1046</v>
      </c>
      <c r="C337" t="s">
        <v>1047</v>
      </c>
      <c r="D337" s="140">
        <v>113.68</v>
      </c>
      <c r="E337" s="140">
        <f t="shared" si="10"/>
        <v>126.18480000000001</v>
      </c>
      <c r="F337" s="229">
        <f t="shared" si="11"/>
        <v>22208.524800000003</v>
      </c>
    </row>
    <row r="338" spans="2:6" hidden="1" x14ac:dyDescent="0.25">
      <c r="B338" t="s">
        <v>1048</v>
      </c>
      <c r="C338" t="s">
        <v>1049</v>
      </c>
      <c r="D338" s="140">
        <v>115.98</v>
      </c>
      <c r="E338" s="140">
        <f t="shared" si="10"/>
        <v>128.73779999999999</v>
      </c>
      <c r="F338" s="229">
        <f t="shared" si="11"/>
        <v>22657.852800000001</v>
      </c>
    </row>
    <row r="339" spans="2:6" hidden="1" x14ac:dyDescent="0.25">
      <c r="B339" t="s">
        <v>1050</v>
      </c>
      <c r="C339" t="s">
        <v>1051</v>
      </c>
      <c r="D339" s="140">
        <v>140.05000000000001</v>
      </c>
      <c r="E339" s="140">
        <f t="shared" si="10"/>
        <v>155.4555</v>
      </c>
      <c r="F339" s="229">
        <f t="shared" si="11"/>
        <v>27360.168000000001</v>
      </c>
    </row>
    <row r="340" spans="2:6" hidden="1" x14ac:dyDescent="0.25">
      <c r="B340" t="s">
        <v>1052</v>
      </c>
      <c r="C340" t="s">
        <v>1053</v>
      </c>
      <c r="D340" s="140">
        <v>130.21</v>
      </c>
      <c r="E340" s="140">
        <f t="shared" si="10"/>
        <v>144.53310000000002</v>
      </c>
      <c r="F340" s="229">
        <f t="shared" si="11"/>
        <v>25437.825600000004</v>
      </c>
    </row>
    <row r="341" spans="2:6" hidden="1" x14ac:dyDescent="0.25">
      <c r="B341" t="s">
        <v>1054</v>
      </c>
      <c r="C341" t="s">
        <v>1055</v>
      </c>
      <c r="D341" s="140">
        <v>155.37</v>
      </c>
      <c r="E341" s="140">
        <f t="shared" si="10"/>
        <v>172.4607</v>
      </c>
      <c r="F341" s="229">
        <f t="shared" si="11"/>
        <v>30353.083200000001</v>
      </c>
    </row>
    <row r="342" spans="2:6" hidden="1" x14ac:dyDescent="0.25">
      <c r="B342" t="s">
        <v>1056</v>
      </c>
      <c r="C342" t="s">
        <v>1057</v>
      </c>
      <c r="D342" s="140">
        <v>144.43</v>
      </c>
      <c r="E342" s="140">
        <f t="shared" si="10"/>
        <v>160.31730000000002</v>
      </c>
      <c r="F342" s="229">
        <f t="shared" si="11"/>
        <v>28215.844800000003</v>
      </c>
    </row>
    <row r="343" spans="2:6" hidden="1" x14ac:dyDescent="0.25">
      <c r="B343" t="s">
        <v>1058</v>
      </c>
      <c r="C343" t="s">
        <v>1059</v>
      </c>
      <c r="D343" s="140">
        <v>81.25</v>
      </c>
      <c r="E343" s="140">
        <f t="shared" si="10"/>
        <v>90.1875</v>
      </c>
      <c r="F343" s="229">
        <f t="shared" si="11"/>
        <v>15873</v>
      </c>
    </row>
    <row r="344" spans="2:6" hidden="1" x14ac:dyDescent="0.25">
      <c r="B344" t="s">
        <v>1060</v>
      </c>
      <c r="C344" t="s">
        <v>1061</v>
      </c>
      <c r="D344" s="140">
        <v>93.49</v>
      </c>
      <c r="E344" s="140">
        <f t="shared" si="10"/>
        <v>103.7739</v>
      </c>
      <c r="F344" s="229">
        <f t="shared" si="11"/>
        <v>18264.206399999999</v>
      </c>
    </row>
    <row r="345" spans="2:6" hidden="1" x14ac:dyDescent="0.25">
      <c r="B345" t="s">
        <v>1062</v>
      </c>
      <c r="C345" t="s">
        <v>1063</v>
      </c>
      <c r="D345" s="140">
        <v>123.64</v>
      </c>
      <c r="E345" s="140">
        <f t="shared" si="10"/>
        <v>137.24039999999999</v>
      </c>
      <c r="F345" s="229">
        <f t="shared" si="11"/>
        <v>24154.310399999998</v>
      </c>
    </row>
    <row r="346" spans="2:6" hidden="1" x14ac:dyDescent="0.25">
      <c r="B346" t="s">
        <v>1064</v>
      </c>
      <c r="C346" t="s">
        <v>1065</v>
      </c>
      <c r="D346" s="140">
        <v>115.98</v>
      </c>
      <c r="E346" s="140">
        <f t="shared" si="10"/>
        <v>128.73779999999999</v>
      </c>
      <c r="F346" s="229">
        <f t="shared" si="11"/>
        <v>22657.852800000001</v>
      </c>
    </row>
    <row r="347" spans="2:6" hidden="1" x14ac:dyDescent="0.25">
      <c r="B347" t="s">
        <v>1066</v>
      </c>
      <c r="C347" t="s">
        <v>1067</v>
      </c>
      <c r="D347" s="140">
        <v>140.05000000000001</v>
      </c>
      <c r="E347" s="140">
        <f t="shared" si="10"/>
        <v>155.4555</v>
      </c>
      <c r="F347" s="229">
        <f t="shared" si="11"/>
        <v>27360.168000000001</v>
      </c>
    </row>
    <row r="348" spans="2:6" hidden="1" x14ac:dyDescent="0.25">
      <c r="B348" t="s">
        <v>1068</v>
      </c>
      <c r="C348" t="s">
        <v>1069</v>
      </c>
      <c r="D348" s="140">
        <v>130.21</v>
      </c>
      <c r="E348" s="140">
        <f t="shared" si="10"/>
        <v>144.53310000000002</v>
      </c>
      <c r="F348" s="229">
        <f t="shared" si="11"/>
        <v>25437.825600000004</v>
      </c>
    </row>
    <row r="349" spans="2:6" hidden="1" x14ac:dyDescent="0.25">
      <c r="B349" t="s">
        <v>1070</v>
      </c>
      <c r="C349" t="s">
        <v>1071</v>
      </c>
      <c r="D349" s="140">
        <v>155.37</v>
      </c>
      <c r="E349" s="140">
        <f t="shared" si="10"/>
        <v>172.4607</v>
      </c>
      <c r="F349" s="229">
        <f t="shared" si="11"/>
        <v>30353.083200000001</v>
      </c>
    </row>
    <row r="350" spans="2:6" hidden="1" x14ac:dyDescent="0.25">
      <c r="B350" t="s">
        <v>1072</v>
      </c>
      <c r="C350" t="s">
        <v>1073</v>
      </c>
      <c r="D350" s="140">
        <v>144.43</v>
      </c>
      <c r="E350" s="140">
        <f t="shared" si="10"/>
        <v>160.31730000000002</v>
      </c>
      <c r="F350" s="229">
        <f t="shared" si="11"/>
        <v>28215.844800000003</v>
      </c>
    </row>
    <row r="351" spans="2:6" hidden="1" x14ac:dyDescent="0.25">
      <c r="B351" t="s">
        <v>1074</v>
      </c>
      <c r="C351" t="s">
        <v>1075</v>
      </c>
      <c r="D351" s="140">
        <v>83.1</v>
      </c>
      <c r="E351" s="140">
        <f t="shared" si="10"/>
        <v>92.241</v>
      </c>
      <c r="F351" s="229">
        <f t="shared" si="11"/>
        <v>16234.415999999999</v>
      </c>
    </row>
    <row r="352" spans="2:6" hidden="1" x14ac:dyDescent="0.25">
      <c r="B352" t="s">
        <v>1076</v>
      </c>
      <c r="C352" t="s">
        <v>1077</v>
      </c>
      <c r="D352" s="140">
        <v>93.49</v>
      </c>
      <c r="E352" s="140">
        <f t="shared" si="10"/>
        <v>103.7739</v>
      </c>
      <c r="F352" s="229">
        <f t="shared" si="11"/>
        <v>18264.206399999999</v>
      </c>
    </row>
    <row r="353" spans="2:6" hidden="1" x14ac:dyDescent="0.25">
      <c r="B353" t="s">
        <v>1078</v>
      </c>
      <c r="C353" t="s">
        <v>1079</v>
      </c>
      <c r="D353" s="140">
        <v>123.64</v>
      </c>
      <c r="E353" s="140">
        <f t="shared" si="10"/>
        <v>137.24039999999999</v>
      </c>
      <c r="F353" s="229">
        <f t="shared" si="11"/>
        <v>24154.310399999998</v>
      </c>
    </row>
    <row r="354" spans="2:6" hidden="1" x14ac:dyDescent="0.25">
      <c r="B354" t="s">
        <v>1080</v>
      </c>
      <c r="C354" t="s">
        <v>1081</v>
      </c>
      <c r="D354" s="140">
        <v>115.98</v>
      </c>
      <c r="E354" s="140">
        <f t="shared" si="10"/>
        <v>128.73779999999999</v>
      </c>
      <c r="F354" s="229">
        <f t="shared" si="11"/>
        <v>22657.852800000001</v>
      </c>
    </row>
    <row r="355" spans="2:6" hidden="1" x14ac:dyDescent="0.25">
      <c r="B355" t="s">
        <v>1082</v>
      </c>
      <c r="C355" t="s">
        <v>1083</v>
      </c>
      <c r="D355" s="140">
        <v>140.05000000000001</v>
      </c>
      <c r="E355" s="140">
        <f t="shared" si="10"/>
        <v>155.4555</v>
      </c>
      <c r="F355" s="229">
        <f t="shared" si="11"/>
        <v>27360.168000000001</v>
      </c>
    </row>
    <row r="356" spans="2:6" hidden="1" x14ac:dyDescent="0.25">
      <c r="B356" t="s">
        <v>1084</v>
      </c>
      <c r="C356" t="s">
        <v>1085</v>
      </c>
      <c r="D356" s="140">
        <v>130.21</v>
      </c>
      <c r="E356" s="140">
        <f t="shared" si="10"/>
        <v>144.53310000000002</v>
      </c>
      <c r="F356" s="229">
        <f t="shared" si="11"/>
        <v>25437.825600000004</v>
      </c>
    </row>
    <row r="357" spans="2:6" hidden="1" x14ac:dyDescent="0.25">
      <c r="B357" t="s">
        <v>1086</v>
      </c>
      <c r="C357" t="s">
        <v>1087</v>
      </c>
      <c r="D357" s="140">
        <v>147.97999999999999</v>
      </c>
      <c r="E357" s="140">
        <f t="shared" si="10"/>
        <v>164.25779999999997</v>
      </c>
      <c r="F357" s="229">
        <f t="shared" si="11"/>
        <v>28909.372799999997</v>
      </c>
    </row>
    <row r="358" spans="2:6" hidden="1" x14ac:dyDescent="0.25">
      <c r="B358" t="s">
        <v>1088</v>
      </c>
      <c r="C358" t="s">
        <v>1089</v>
      </c>
      <c r="D358" s="140">
        <v>152.88</v>
      </c>
      <c r="E358" s="140">
        <f t="shared" si="10"/>
        <v>169.6968</v>
      </c>
      <c r="F358" s="229">
        <f t="shared" si="11"/>
        <v>29866.6368</v>
      </c>
    </row>
    <row r="359" spans="2:6" hidden="1" x14ac:dyDescent="0.25">
      <c r="B359" t="s">
        <v>1090</v>
      </c>
      <c r="C359" t="s">
        <v>1091</v>
      </c>
      <c r="D359" s="140">
        <v>62.09</v>
      </c>
      <c r="E359" s="140">
        <f t="shared" si="10"/>
        <v>68.919899999999998</v>
      </c>
      <c r="F359" s="229">
        <f t="shared" si="11"/>
        <v>12129.902399999999</v>
      </c>
    </row>
    <row r="360" spans="2:6" hidden="1" x14ac:dyDescent="0.25">
      <c r="B360" t="s">
        <v>1092</v>
      </c>
      <c r="C360" t="s">
        <v>1093</v>
      </c>
      <c r="D360" s="140">
        <v>66.23</v>
      </c>
      <c r="E360" s="140">
        <f t="shared" si="10"/>
        <v>73.515300000000011</v>
      </c>
      <c r="F360" s="229">
        <f t="shared" si="11"/>
        <v>12938.692800000003</v>
      </c>
    </row>
    <row r="361" spans="2:6" hidden="1" x14ac:dyDescent="0.25">
      <c r="B361" t="s">
        <v>1094</v>
      </c>
      <c r="C361" t="s">
        <v>1095</v>
      </c>
      <c r="D361" s="140">
        <v>99.5</v>
      </c>
      <c r="E361" s="140">
        <f t="shared" si="10"/>
        <v>110.44499999999999</v>
      </c>
      <c r="F361" s="229">
        <f t="shared" si="11"/>
        <v>19438.32</v>
      </c>
    </row>
    <row r="362" spans="2:6" hidden="1" x14ac:dyDescent="0.25">
      <c r="B362" t="s">
        <v>1096</v>
      </c>
      <c r="C362" t="s">
        <v>1097</v>
      </c>
      <c r="D362" s="140">
        <v>106.14</v>
      </c>
      <c r="E362" s="140">
        <f t="shared" si="10"/>
        <v>117.8154</v>
      </c>
      <c r="F362" s="229">
        <f t="shared" si="11"/>
        <v>20735.510399999999</v>
      </c>
    </row>
    <row r="363" spans="2:6" hidden="1" x14ac:dyDescent="0.25">
      <c r="B363" t="s">
        <v>1098</v>
      </c>
      <c r="C363" t="s">
        <v>1099</v>
      </c>
      <c r="D363" s="140">
        <v>127.1</v>
      </c>
      <c r="E363" s="140">
        <f t="shared" si="10"/>
        <v>141.08099999999999</v>
      </c>
      <c r="F363" s="229">
        <f t="shared" si="11"/>
        <v>24830.255999999998</v>
      </c>
    </row>
    <row r="364" spans="2:6" hidden="1" x14ac:dyDescent="0.25">
      <c r="B364" t="s">
        <v>1100</v>
      </c>
      <c r="C364" t="s">
        <v>1101</v>
      </c>
      <c r="D364" s="140">
        <v>130.97</v>
      </c>
      <c r="E364" s="140">
        <f t="shared" si="10"/>
        <v>145.3767</v>
      </c>
      <c r="F364" s="229">
        <f t="shared" si="11"/>
        <v>25586.299200000001</v>
      </c>
    </row>
    <row r="365" spans="2:6" hidden="1" x14ac:dyDescent="0.25">
      <c r="B365" t="s">
        <v>1102</v>
      </c>
      <c r="C365" t="s">
        <v>1103</v>
      </c>
      <c r="D365" s="140">
        <v>123.64</v>
      </c>
      <c r="E365" s="140">
        <f t="shared" si="10"/>
        <v>137.24039999999999</v>
      </c>
      <c r="F365" s="229">
        <f t="shared" si="11"/>
        <v>24154.310399999998</v>
      </c>
    </row>
    <row r="366" spans="2:6" hidden="1" x14ac:dyDescent="0.25">
      <c r="B366" t="s">
        <v>1104</v>
      </c>
      <c r="C366" t="s">
        <v>1105</v>
      </c>
      <c r="D366" s="140">
        <v>115.98</v>
      </c>
      <c r="E366" s="140">
        <f t="shared" si="10"/>
        <v>128.73779999999999</v>
      </c>
      <c r="F366" s="229">
        <f t="shared" si="11"/>
        <v>22657.852800000001</v>
      </c>
    </row>
    <row r="367" spans="2:6" hidden="1" x14ac:dyDescent="0.25">
      <c r="B367" t="s">
        <v>1106</v>
      </c>
      <c r="C367" t="s">
        <v>1107</v>
      </c>
      <c r="D367" s="140">
        <v>77.69</v>
      </c>
      <c r="E367" s="140">
        <f t="shared" si="10"/>
        <v>86.235900000000001</v>
      </c>
      <c r="F367" s="229">
        <f t="shared" si="11"/>
        <v>15177.518400000001</v>
      </c>
    </row>
    <row r="368" spans="2:6" hidden="1" x14ac:dyDescent="0.25">
      <c r="B368" t="s">
        <v>1108</v>
      </c>
      <c r="C368" t="s">
        <v>1109</v>
      </c>
      <c r="D368" s="140">
        <v>72.22</v>
      </c>
      <c r="E368" s="140">
        <f t="shared" si="10"/>
        <v>80.164199999999994</v>
      </c>
      <c r="F368" s="229">
        <f t="shared" si="11"/>
        <v>14108.8992</v>
      </c>
    </row>
    <row r="369" spans="2:6" hidden="1" x14ac:dyDescent="0.25">
      <c r="B369" t="s">
        <v>1110</v>
      </c>
      <c r="C369" t="s">
        <v>1111</v>
      </c>
      <c r="D369" s="140">
        <v>93</v>
      </c>
      <c r="E369" s="140">
        <f t="shared" si="10"/>
        <v>103.23</v>
      </c>
      <c r="F369" s="229">
        <f t="shared" si="11"/>
        <v>18168.48</v>
      </c>
    </row>
    <row r="370" spans="2:6" hidden="1" x14ac:dyDescent="0.25">
      <c r="B370" t="s">
        <v>1112</v>
      </c>
      <c r="C370" t="s">
        <v>1113</v>
      </c>
      <c r="D370" s="140">
        <v>86.44</v>
      </c>
      <c r="E370" s="140">
        <f t="shared" si="10"/>
        <v>95.948399999999992</v>
      </c>
      <c r="F370" s="229">
        <f t="shared" si="11"/>
        <v>16886.918399999999</v>
      </c>
    </row>
    <row r="371" spans="2:6" hidden="1" x14ac:dyDescent="0.25">
      <c r="B371" t="s">
        <v>1114</v>
      </c>
      <c r="C371" t="s">
        <v>1115</v>
      </c>
      <c r="D371" s="140">
        <v>108.32</v>
      </c>
      <c r="E371" s="140">
        <f t="shared" si="10"/>
        <v>120.23519999999999</v>
      </c>
      <c r="F371" s="229">
        <f t="shared" si="11"/>
        <v>21161.395199999999</v>
      </c>
    </row>
    <row r="372" spans="2:6" hidden="1" x14ac:dyDescent="0.25">
      <c r="B372" t="s">
        <v>1116</v>
      </c>
      <c r="C372" t="s">
        <v>1117</v>
      </c>
      <c r="D372" s="140">
        <v>101.76</v>
      </c>
      <c r="E372" s="140">
        <f t="shared" si="10"/>
        <v>112.95360000000001</v>
      </c>
      <c r="F372" s="229">
        <f t="shared" si="11"/>
        <v>19879.833600000002</v>
      </c>
    </row>
    <row r="373" spans="2:6" hidden="1" x14ac:dyDescent="0.25">
      <c r="B373" t="s">
        <v>1118</v>
      </c>
      <c r="C373" t="s">
        <v>1119</v>
      </c>
      <c r="D373" s="140">
        <v>145.43</v>
      </c>
      <c r="E373" s="140">
        <f t="shared" si="10"/>
        <v>161.4273</v>
      </c>
      <c r="F373" s="229">
        <f t="shared" si="11"/>
        <v>28411.2048</v>
      </c>
    </row>
    <row r="374" spans="2:6" hidden="1" x14ac:dyDescent="0.25">
      <c r="B374" t="s">
        <v>1120</v>
      </c>
      <c r="C374" t="s">
        <v>1121</v>
      </c>
      <c r="D374" s="140">
        <v>144.43</v>
      </c>
      <c r="E374" s="140">
        <f t="shared" si="10"/>
        <v>160.31730000000002</v>
      </c>
      <c r="F374" s="229">
        <f t="shared" si="11"/>
        <v>28215.844800000003</v>
      </c>
    </row>
    <row r="375" spans="2:6" hidden="1" x14ac:dyDescent="0.25">
      <c r="B375" t="s">
        <v>1122</v>
      </c>
      <c r="C375" t="s">
        <v>1123</v>
      </c>
      <c r="D375" s="140">
        <v>99.5</v>
      </c>
      <c r="E375" s="140">
        <f t="shared" si="10"/>
        <v>110.44499999999999</v>
      </c>
      <c r="F375" s="229">
        <f t="shared" si="11"/>
        <v>19438.32</v>
      </c>
    </row>
    <row r="376" spans="2:6" hidden="1" x14ac:dyDescent="0.25">
      <c r="B376" t="s">
        <v>1124</v>
      </c>
      <c r="C376" t="s">
        <v>1125</v>
      </c>
      <c r="D376" s="140">
        <v>101.76</v>
      </c>
      <c r="E376" s="140">
        <f t="shared" si="10"/>
        <v>112.95360000000001</v>
      </c>
      <c r="F376" s="229">
        <f t="shared" si="11"/>
        <v>19879.833600000002</v>
      </c>
    </row>
    <row r="377" spans="2:6" hidden="1" x14ac:dyDescent="0.25">
      <c r="B377" t="s">
        <v>1126</v>
      </c>
      <c r="C377" t="s">
        <v>1127</v>
      </c>
      <c r="D377" s="140">
        <v>119.46</v>
      </c>
      <c r="E377" s="140">
        <f t="shared" si="10"/>
        <v>132.60059999999999</v>
      </c>
      <c r="F377" s="229">
        <f t="shared" si="11"/>
        <v>23337.705599999998</v>
      </c>
    </row>
    <row r="378" spans="2:6" hidden="1" x14ac:dyDescent="0.25">
      <c r="B378" t="s">
        <v>1128</v>
      </c>
      <c r="C378" t="s">
        <v>1129</v>
      </c>
      <c r="D378" s="140">
        <v>115.98</v>
      </c>
      <c r="E378" s="140">
        <f t="shared" si="10"/>
        <v>128.73779999999999</v>
      </c>
      <c r="F378" s="229">
        <f t="shared" si="11"/>
        <v>22657.852800000001</v>
      </c>
    </row>
    <row r="379" spans="2:6" hidden="1" x14ac:dyDescent="0.25">
      <c r="B379" t="s">
        <v>1130</v>
      </c>
      <c r="C379" t="s">
        <v>1131</v>
      </c>
      <c r="D379" s="140">
        <v>129.85</v>
      </c>
      <c r="E379" s="140">
        <f t="shared" si="10"/>
        <v>144.1335</v>
      </c>
      <c r="F379" s="229">
        <f t="shared" si="11"/>
        <v>25367.495999999999</v>
      </c>
    </row>
    <row r="380" spans="2:6" hidden="1" x14ac:dyDescent="0.25">
      <c r="B380" t="s">
        <v>1132</v>
      </c>
      <c r="C380" t="s">
        <v>1133</v>
      </c>
      <c r="D380" s="140">
        <v>130.21</v>
      </c>
      <c r="E380" s="140">
        <f t="shared" si="10"/>
        <v>144.53310000000002</v>
      </c>
      <c r="F380" s="229">
        <f t="shared" si="11"/>
        <v>25437.825600000004</v>
      </c>
    </row>
    <row r="381" spans="2:6" hidden="1" x14ac:dyDescent="0.25">
      <c r="B381" t="s">
        <v>1134</v>
      </c>
      <c r="C381" t="s">
        <v>1135</v>
      </c>
      <c r="D381" s="140">
        <v>147</v>
      </c>
      <c r="E381" s="140">
        <f t="shared" si="10"/>
        <v>163.17000000000002</v>
      </c>
      <c r="F381" s="229">
        <f t="shared" si="11"/>
        <v>28717.920000000002</v>
      </c>
    </row>
    <row r="382" spans="2:6" hidden="1" x14ac:dyDescent="0.25">
      <c r="B382" t="s">
        <v>1136</v>
      </c>
      <c r="C382" t="s">
        <v>1137</v>
      </c>
      <c r="D382" s="140">
        <v>154.84</v>
      </c>
      <c r="E382" s="140">
        <f t="shared" si="10"/>
        <v>171.8724</v>
      </c>
      <c r="F382" s="229">
        <f t="shared" si="11"/>
        <v>30249.542399999998</v>
      </c>
    </row>
    <row r="383" spans="2:6" hidden="1" x14ac:dyDescent="0.25">
      <c r="B383" t="s">
        <v>1138</v>
      </c>
      <c r="C383" t="s">
        <v>1139</v>
      </c>
      <c r="D383" s="140">
        <v>141.59</v>
      </c>
      <c r="E383" s="140">
        <f t="shared" si="10"/>
        <v>157.16490000000002</v>
      </c>
      <c r="F383" s="229">
        <f t="shared" si="11"/>
        <v>27661.022400000002</v>
      </c>
    </row>
    <row r="384" spans="2:6" hidden="1" x14ac:dyDescent="0.25">
      <c r="B384" t="s">
        <v>1140</v>
      </c>
      <c r="C384" t="s">
        <v>1141</v>
      </c>
      <c r="D384" s="140">
        <v>147.49</v>
      </c>
      <c r="E384" s="140">
        <f t="shared" si="10"/>
        <v>163.71390000000002</v>
      </c>
      <c r="F384" s="229">
        <f t="shared" si="11"/>
        <v>28813.646400000005</v>
      </c>
    </row>
    <row r="385" spans="2:6" hidden="1" x14ac:dyDescent="0.25">
      <c r="B385" t="s">
        <v>1142</v>
      </c>
      <c r="C385" t="s">
        <v>1143</v>
      </c>
      <c r="D385" s="140">
        <v>61.45</v>
      </c>
      <c r="E385" s="140">
        <f t="shared" si="10"/>
        <v>68.209500000000006</v>
      </c>
      <c r="F385" s="229">
        <f t="shared" si="11"/>
        <v>12004.872000000001</v>
      </c>
    </row>
    <row r="386" spans="2:6" hidden="1" x14ac:dyDescent="0.25">
      <c r="B386" t="s">
        <v>1144</v>
      </c>
      <c r="C386" t="s">
        <v>1145</v>
      </c>
      <c r="D386" s="140">
        <v>66.23</v>
      </c>
      <c r="E386" s="140">
        <f t="shared" si="10"/>
        <v>73.515300000000011</v>
      </c>
      <c r="F386" s="229">
        <f t="shared" si="11"/>
        <v>12938.692800000003</v>
      </c>
    </row>
    <row r="387" spans="2:6" hidden="1" x14ac:dyDescent="0.25">
      <c r="B387" t="s">
        <v>1146</v>
      </c>
      <c r="C387" t="s">
        <v>1147</v>
      </c>
      <c r="D387" s="140">
        <v>99.5</v>
      </c>
      <c r="E387" s="140">
        <f t="shared" si="10"/>
        <v>110.44499999999999</v>
      </c>
      <c r="F387" s="229">
        <f t="shared" si="11"/>
        <v>19438.32</v>
      </c>
    </row>
    <row r="388" spans="2:6" hidden="1" x14ac:dyDescent="0.25">
      <c r="B388" t="s">
        <v>1148</v>
      </c>
      <c r="C388" t="s">
        <v>1149</v>
      </c>
      <c r="D388" s="140">
        <v>106.14</v>
      </c>
      <c r="E388" s="140">
        <f t="shared" ref="E388:E451" si="12">(D388*$E$1) + D388</f>
        <v>117.8154</v>
      </c>
      <c r="F388" s="229">
        <f t="shared" ref="F388:F451" si="13">E388*$F$1</f>
        <v>20735.510399999999</v>
      </c>
    </row>
    <row r="389" spans="2:6" hidden="1" x14ac:dyDescent="0.25">
      <c r="B389" t="s">
        <v>1150</v>
      </c>
      <c r="C389" t="s">
        <v>1151</v>
      </c>
      <c r="D389" s="140">
        <v>127.1</v>
      </c>
      <c r="E389" s="140">
        <f t="shared" si="12"/>
        <v>141.08099999999999</v>
      </c>
      <c r="F389" s="229">
        <f t="shared" si="13"/>
        <v>24830.255999999998</v>
      </c>
    </row>
    <row r="390" spans="2:6" hidden="1" x14ac:dyDescent="0.25">
      <c r="B390" t="s">
        <v>1152</v>
      </c>
      <c r="C390" t="s">
        <v>1153</v>
      </c>
      <c r="D390" s="140">
        <v>134.08000000000001</v>
      </c>
      <c r="E390" s="140">
        <f t="shared" si="12"/>
        <v>148.8288</v>
      </c>
      <c r="F390" s="229">
        <f t="shared" si="13"/>
        <v>26193.8688</v>
      </c>
    </row>
    <row r="391" spans="2:6" hidden="1" x14ac:dyDescent="0.25">
      <c r="B391" t="s">
        <v>1154</v>
      </c>
      <c r="C391" t="s">
        <v>1155</v>
      </c>
      <c r="D391" s="140">
        <v>123.64</v>
      </c>
      <c r="E391" s="140">
        <f t="shared" si="12"/>
        <v>137.24039999999999</v>
      </c>
      <c r="F391" s="229">
        <f t="shared" si="13"/>
        <v>24154.310399999998</v>
      </c>
    </row>
    <row r="392" spans="2:6" hidden="1" x14ac:dyDescent="0.25">
      <c r="B392" t="s">
        <v>1156</v>
      </c>
      <c r="C392" t="s">
        <v>1157</v>
      </c>
      <c r="D392" s="140">
        <v>115.98</v>
      </c>
      <c r="E392" s="140">
        <f t="shared" si="12"/>
        <v>128.73779999999999</v>
      </c>
      <c r="F392" s="229">
        <f t="shared" si="13"/>
        <v>22657.852800000001</v>
      </c>
    </row>
    <row r="393" spans="2:6" hidden="1" x14ac:dyDescent="0.25">
      <c r="B393" t="s">
        <v>1158</v>
      </c>
      <c r="C393" t="s">
        <v>1159</v>
      </c>
      <c r="D393" s="140">
        <v>75.95</v>
      </c>
      <c r="E393" s="140">
        <f t="shared" si="12"/>
        <v>84.304500000000004</v>
      </c>
      <c r="F393" s="229">
        <f t="shared" si="13"/>
        <v>14837.592000000001</v>
      </c>
    </row>
    <row r="394" spans="2:6" hidden="1" x14ac:dyDescent="0.25">
      <c r="B394" t="s">
        <v>1160</v>
      </c>
      <c r="C394" t="s">
        <v>1161</v>
      </c>
      <c r="D394" s="140">
        <v>72.22</v>
      </c>
      <c r="E394" s="140">
        <f t="shared" si="12"/>
        <v>80.164199999999994</v>
      </c>
      <c r="F394" s="229">
        <f t="shared" si="13"/>
        <v>14108.8992</v>
      </c>
    </row>
    <row r="395" spans="2:6" hidden="1" x14ac:dyDescent="0.25">
      <c r="B395" t="s">
        <v>1162</v>
      </c>
      <c r="C395" t="s">
        <v>1163</v>
      </c>
      <c r="D395" s="140">
        <v>93</v>
      </c>
      <c r="E395" s="140">
        <f t="shared" si="12"/>
        <v>103.23</v>
      </c>
      <c r="F395" s="229">
        <f t="shared" si="13"/>
        <v>18168.48</v>
      </c>
    </row>
    <row r="396" spans="2:6" hidden="1" x14ac:dyDescent="0.25">
      <c r="B396" t="s">
        <v>1164</v>
      </c>
      <c r="C396" t="s">
        <v>1165</v>
      </c>
      <c r="D396" s="140">
        <v>86.44</v>
      </c>
      <c r="E396" s="140">
        <f t="shared" si="12"/>
        <v>95.948399999999992</v>
      </c>
      <c r="F396" s="229">
        <f t="shared" si="13"/>
        <v>16886.918399999999</v>
      </c>
    </row>
    <row r="397" spans="2:6" hidden="1" x14ac:dyDescent="0.25">
      <c r="B397" t="s">
        <v>1166</v>
      </c>
      <c r="C397" t="s">
        <v>1167</v>
      </c>
      <c r="D397" s="140">
        <v>108.32</v>
      </c>
      <c r="E397" s="140">
        <f t="shared" si="12"/>
        <v>120.23519999999999</v>
      </c>
      <c r="F397" s="229">
        <f t="shared" si="13"/>
        <v>21161.395199999999</v>
      </c>
    </row>
    <row r="398" spans="2:6" hidden="1" x14ac:dyDescent="0.25">
      <c r="B398" t="s">
        <v>1168</v>
      </c>
      <c r="C398" t="s">
        <v>1169</v>
      </c>
      <c r="D398" s="140">
        <v>101.76</v>
      </c>
      <c r="E398" s="140">
        <f t="shared" si="12"/>
        <v>112.95360000000001</v>
      </c>
      <c r="F398" s="229">
        <f t="shared" si="13"/>
        <v>19879.833600000002</v>
      </c>
    </row>
    <row r="399" spans="2:6" hidden="1" x14ac:dyDescent="0.25">
      <c r="B399" t="s">
        <v>1170</v>
      </c>
      <c r="C399" t="s">
        <v>1171</v>
      </c>
      <c r="D399" s="140">
        <v>140.05000000000001</v>
      </c>
      <c r="E399" s="140">
        <f t="shared" si="12"/>
        <v>155.4555</v>
      </c>
      <c r="F399" s="229">
        <f t="shared" si="13"/>
        <v>27360.168000000001</v>
      </c>
    </row>
    <row r="400" spans="2:6" hidden="1" x14ac:dyDescent="0.25">
      <c r="B400" t="s">
        <v>1172</v>
      </c>
      <c r="C400" t="s">
        <v>1173</v>
      </c>
      <c r="D400" s="140">
        <v>130.21</v>
      </c>
      <c r="E400" s="140">
        <f t="shared" si="12"/>
        <v>144.53310000000002</v>
      </c>
      <c r="F400" s="229">
        <f t="shared" si="13"/>
        <v>25437.825600000004</v>
      </c>
    </row>
    <row r="401" spans="2:6" hidden="1" x14ac:dyDescent="0.25">
      <c r="B401" t="s">
        <v>1174</v>
      </c>
      <c r="C401" t="s">
        <v>1175</v>
      </c>
      <c r="D401" s="140">
        <v>62.09</v>
      </c>
      <c r="E401" s="140">
        <f t="shared" si="12"/>
        <v>68.919899999999998</v>
      </c>
      <c r="F401" s="229">
        <f t="shared" si="13"/>
        <v>12129.902399999999</v>
      </c>
    </row>
    <row r="402" spans="2:6" hidden="1" x14ac:dyDescent="0.25">
      <c r="B402" t="s">
        <v>1176</v>
      </c>
      <c r="C402" t="s">
        <v>1177</v>
      </c>
      <c r="D402" s="140">
        <v>66.23</v>
      </c>
      <c r="E402" s="140">
        <f t="shared" si="12"/>
        <v>73.515300000000011</v>
      </c>
      <c r="F402" s="229">
        <f t="shared" si="13"/>
        <v>12938.692800000003</v>
      </c>
    </row>
    <row r="403" spans="2:6" hidden="1" x14ac:dyDescent="0.25">
      <c r="B403" t="s">
        <v>1178</v>
      </c>
      <c r="C403" t="s">
        <v>1179</v>
      </c>
      <c r="D403" s="140">
        <v>99.5</v>
      </c>
      <c r="E403" s="140">
        <f t="shared" si="12"/>
        <v>110.44499999999999</v>
      </c>
      <c r="F403" s="229">
        <f t="shared" si="13"/>
        <v>19438.32</v>
      </c>
    </row>
    <row r="404" spans="2:6" hidden="1" x14ac:dyDescent="0.25">
      <c r="B404" t="s">
        <v>1180</v>
      </c>
      <c r="C404" t="s">
        <v>1181</v>
      </c>
      <c r="D404" s="140">
        <v>101.76</v>
      </c>
      <c r="E404" s="140">
        <f t="shared" si="12"/>
        <v>112.95360000000001</v>
      </c>
      <c r="F404" s="229">
        <f t="shared" si="13"/>
        <v>19879.833600000002</v>
      </c>
    </row>
    <row r="405" spans="2:6" hidden="1" x14ac:dyDescent="0.25">
      <c r="B405" t="s">
        <v>1182</v>
      </c>
      <c r="C405" t="s">
        <v>1183</v>
      </c>
      <c r="D405" s="140">
        <v>123.64</v>
      </c>
      <c r="E405" s="140">
        <f t="shared" si="12"/>
        <v>137.24039999999999</v>
      </c>
      <c r="F405" s="229">
        <f t="shared" si="13"/>
        <v>24154.310399999998</v>
      </c>
    </row>
    <row r="406" spans="2:6" hidden="1" x14ac:dyDescent="0.25">
      <c r="B406" t="s">
        <v>1184</v>
      </c>
      <c r="C406" t="s">
        <v>1185</v>
      </c>
      <c r="D406" s="140">
        <v>115.98</v>
      </c>
      <c r="E406" s="140">
        <f t="shared" si="12"/>
        <v>128.73779999999999</v>
      </c>
      <c r="F406" s="229">
        <f t="shared" si="13"/>
        <v>22657.852800000001</v>
      </c>
    </row>
    <row r="407" spans="2:6" hidden="1" x14ac:dyDescent="0.25">
      <c r="B407" t="s">
        <v>1186</v>
      </c>
      <c r="C407" t="s">
        <v>1187</v>
      </c>
      <c r="D407" s="140">
        <v>108.32</v>
      </c>
      <c r="E407" s="140">
        <f t="shared" si="12"/>
        <v>120.23519999999999</v>
      </c>
      <c r="F407" s="229">
        <f t="shared" si="13"/>
        <v>21161.395199999999</v>
      </c>
    </row>
    <row r="408" spans="2:6" hidden="1" x14ac:dyDescent="0.25">
      <c r="B408" t="s">
        <v>1188</v>
      </c>
      <c r="C408" t="s">
        <v>1189</v>
      </c>
      <c r="D408" s="140">
        <v>101.76</v>
      </c>
      <c r="E408" s="140">
        <f t="shared" si="12"/>
        <v>112.95360000000001</v>
      </c>
      <c r="F408" s="229">
        <f t="shared" si="13"/>
        <v>19879.833600000002</v>
      </c>
    </row>
    <row r="409" spans="2:6" hidden="1" x14ac:dyDescent="0.25">
      <c r="B409" t="s">
        <v>1190</v>
      </c>
      <c r="C409" t="s">
        <v>1191</v>
      </c>
      <c r="D409" s="140">
        <v>62.37</v>
      </c>
      <c r="E409" s="140">
        <f t="shared" si="12"/>
        <v>69.230699999999999</v>
      </c>
      <c r="F409" s="229">
        <f t="shared" si="13"/>
        <v>12184.6032</v>
      </c>
    </row>
    <row r="410" spans="2:6" hidden="1" x14ac:dyDescent="0.25">
      <c r="B410" t="s">
        <v>1192</v>
      </c>
      <c r="C410" t="s">
        <v>1193</v>
      </c>
      <c r="D410" s="140">
        <v>57.99</v>
      </c>
      <c r="E410" s="140">
        <f t="shared" si="12"/>
        <v>64.368899999999996</v>
      </c>
      <c r="F410" s="229">
        <f t="shared" si="13"/>
        <v>11328.9264</v>
      </c>
    </row>
    <row r="411" spans="2:6" hidden="1" x14ac:dyDescent="0.25">
      <c r="B411" t="s">
        <v>1194</v>
      </c>
      <c r="C411" t="s">
        <v>1195</v>
      </c>
      <c r="D411" s="140">
        <v>77.69</v>
      </c>
      <c r="E411" s="140">
        <f t="shared" si="12"/>
        <v>86.235900000000001</v>
      </c>
      <c r="F411" s="229">
        <f t="shared" si="13"/>
        <v>15177.518400000001</v>
      </c>
    </row>
    <row r="412" spans="2:6" hidden="1" x14ac:dyDescent="0.25">
      <c r="B412" t="s">
        <v>1196</v>
      </c>
      <c r="C412" t="s">
        <v>1197</v>
      </c>
      <c r="D412" s="140">
        <v>72.22</v>
      </c>
      <c r="E412" s="140">
        <f t="shared" si="12"/>
        <v>80.164199999999994</v>
      </c>
      <c r="F412" s="229">
        <f t="shared" si="13"/>
        <v>14108.8992</v>
      </c>
    </row>
    <row r="413" spans="2:6" hidden="1" x14ac:dyDescent="0.25">
      <c r="B413" t="s">
        <v>1198</v>
      </c>
      <c r="C413" t="s">
        <v>1199</v>
      </c>
      <c r="D413" s="140">
        <v>93</v>
      </c>
      <c r="E413" s="140">
        <f t="shared" si="12"/>
        <v>103.23</v>
      </c>
      <c r="F413" s="229">
        <f t="shared" si="13"/>
        <v>18168.48</v>
      </c>
    </row>
    <row r="414" spans="2:6" hidden="1" x14ac:dyDescent="0.25">
      <c r="B414" t="s">
        <v>1200</v>
      </c>
      <c r="C414" t="s">
        <v>1201</v>
      </c>
      <c r="D414" s="140">
        <v>86.44</v>
      </c>
      <c r="E414" s="140">
        <f t="shared" si="12"/>
        <v>95.948399999999992</v>
      </c>
      <c r="F414" s="229">
        <f t="shared" si="13"/>
        <v>16886.918399999999</v>
      </c>
    </row>
    <row r="415" spans="2:6" hidden="1" x14ac:dyDescent="0.25">
      <c r="B415" t="s">
        <v>1202</v>
      </c>
      <c r="C415" t="s">
        <v>1203</v>
      </c>
      <c r="D415" s="140">
        <v>123.64</v>
      </c>
      <c r="E415" s="140">
        <f t="shared" si="12"/>
        <v>137.24039999999999</v>
      </c>
      <c r="F415" s="229">
        <f t="shared" si="13"/>
        <v>24154.310399999998</v>
      </c>
    </row>
    <row r="416" spans="2:6" hidden="1" x14ac:dyDescent="0.25">
      <c r="B416" t="s">
        <v>1204</v>
      </c>
      <c r="C416" t="s">
        <v>1205</v>
      </c>
      <c r="D416" s="140">
        <v>115.98</v>
      </c>
      <c r="E416" s="140">
        <f t="shared" si="12"/>
        <v>128.73779999999999</v>
      </c>
      <c r="F416" s="229">
        <f t="shared" si="13"/>
        <v>22657.852800000001</v>
      </c>
    </row>
    <row r="417" spans="2:6" hidden="1" x14ac:dyDescent="0.25">
      <c r="B417" t="s">
        <v>1206</v>
      </c>
      <c r="C417" t="s">
        <v>1207</v>
      </c>
      <c r="D417" s="140">
        <v>75.95</v>
      </c>
      <c r="E417" s="140">
        <f t="shared" si="12"/>
        <v>84.304500000000004</v>
      </c>
      <c r="F417" s="229">
        <f t="shared" si="13"/>
        <v>14837.592000000001</v>
      </c>
    </row>
    <row r="418" spans="2:6" hidden="1" x14ac:dyDescent="0.25">
      <c r="B418" t="s">
        <v>1208</v>
      </c>
      <c r="C418" t="s">
        <v>1209</v>
      </c>
      <c r="D418" s="140">
        <v>72.22</v>
      </c>
      <c r="E418" s="140">
        <f t="shared" si="12"/>
        <v>80.164199999999994</v>
      </c>
      <c r="F418" s="229">
        <f t="shared" si="13"/>
        <v>14108.8992</v>
      </c>
    </row>
    <row r="419" spans="2:6" hidden="1" x14ac:dyDescent="0.25">
      <c r="B419" t="s">
        <v>1210</v>
      </c>
      <c r="C419" t="s">
        <v>1211</v>
      </c>
      <c r="D419" s="140">
        <v>93</v>
      </c>
      <c r="E419" s="140">
        <f t="shared" si="12"/>
        <v>103.23</v>
      </c>
      <c r="F419" s="229">
        <f t="shared" si="13"/>
        <v>18168.48</v>
      </c>
    </row>
    <row r="420" spans="2:6" hidden="1" x14ac:dyDescent="0.25">
      <c r="B420" t="s">
        <v>1212</v>
      </c>
      <c r="C420" t="s">
        <v>1213</v>
      </c>
      <c r="D420" s="140">
        <v>86.44</v>
      </c>
      <c r="E420" s="140">
        <f t="shared" si="12"/>
        <v>95.948399999999992</v>
      </c>
      <c r="F420" s="229">
        <f t="shared" si="13"/>
        <v>16886.918399999999</v>
      </c>
    </row>
    <row r="421" spans="2:6" hidden="1" x14ac:dyDescent="0.25">
      <c r="B421" t="s">
        <v>1214</v>
      </c>
      <c r="C421" t="s">
        <v>1215</v>
      </c>
      <c r="D421" s="140">
        <v>108.32</v>
      </c>
      <c r="E421" s="140">
        <f t="shared" si="12"/>
        <v>120.23519999999999</v>
      </c>
      <c r="F421" s="229">
        <f t="shared" si="13"/>
        <v>21161.395199999999</v>
      </c>
    </row>
    <row r="422" spans="2:6" hidden="1" x14ac:dyDescent="0.25">
      <c r="B422" t="s">
        <v>1216</v>
      </c>
      <c r="C422" t="s">
        <v>1217</v>
      </c>
      <c r="D422" s="140">
        <v>101.76</v>
      </c>
      <c r="E422" s="140">
        <f t="shared" si="12"/>
        <v>112.95360000000001</v>
      </c>
      <c r="F422" s="229">
        <f t="shared" si="13"/>
        <v>19879.833600000002</v>
      </c>
    </row>
    <row r="423" spans="2:6" hidden="1" x14ac:dyDescent="0.25">
      <c r="B423" t="s">
        <v>1218</v>
      </c>
      <c r="C423" t="s">
        <v>1219</v>
      </c>
      <c r="D423" s="140">
        <v>123.64</v>
      </c>
      <c r="E423" s="140">
        <f t="shared" si="12"/>
        <v>137.24039999999999</v>
      </c>
      <c r="F423" s="229">
        <f t="shared" si="13"/>
        <v>24154.310399999998</v>
      </c>
    </row>
    <row r="424" spans="2:6" hidden="1" x14ac:dyDescent="0.25">
      <c r="B424" t="s">
        <v>1220</v>
      </c>
      <c r="C424" t="s">
        <v>1221</v>
      </c>
      <c r="D424" s="140">
        <v>115.98</v>
      </c>
      <c r="E424" s="140">
        <f t="shared" si="12"/>
        <v>128.73779999999999</v>
      </c>
      <c r="F424" s="229">
        <f t="shared" si="13"/>
        <v>22657.852800000001</v>
      </c>
    </row>
    <row r="425" spans="2:6" hidden="1" x14ac:dyDescent="0.25">
      <c r="B425" t="s">
        <v>1222</v>
      </c>
      <c r="C425" t="s">
        <v>1223</v>
      </c>
      <c r="D425" s="140">
        <v>70.91</v>
      </c>
      <c r="E425" s="140">
        <f t="shared" si="12"/>
        <v>78.710099999999997</v>
      </c>
      <c r="F425" s="229">
        <f t="shared" si="13"/>
        <v>13852.9776</v>
      </c>
    </row>
    <row r="426" spans="2:6" hidden="1" x14ac:dyDescent="0.25">
      <c r="B426" t="s">
        <v>1224</v>
      </c>
      <c r="C426" t="s">
        <v>1225</v>
      </c>
      <c r="D426" s="140">
        <v>72.22</v>
      </c>
      <c r="E426" s="140">
        <f t="shared" si="12"/>
        <v>80.164199999999994</v>
      </c>
      <c r="F426" s="229">
        <f t="shared" si="13"/>
        <v>14108.8992</v>
      </c>
    </row>
    <row r="427" spans="2:6" hidden="1" x14ac:dyDescent="0.25">
      <c r="B427" t="s">
        <v>1226</v>
      </c>
      <c r="C427" t="s">
        <v>1227</v>
      </c>
      <c r="D427" s="140">
        <v>93</v>
      </c>
      <c r="E427" s="140">
        <f t="shared" si="12"/>
        <v>103.23</v>
      </c>
      <c r="F427" s="229">
        <f t="shared" si="13"/>
        <v>18168.48</v>
      </c>
    </row>
    <row r="428" spans="2:6" hidden="1" x14ac:dyDescent="0.25">
      <c r="B428" t="s">
        <v>1228</v>
      </c>
      <c r="C428" t="s">
        <v>1229</v>
      </c>
      <c r="D428" s="140">
        <v>86.44</v>
      </c>
      <c r="E428" s="140">
        <f t="shared" si="12"/>
        <v>95.948399999999992</v>
      </c>
      <c r="F428" s="229">
        <f t="shared" si="13"/>
        <v>16886.918399999999</v>
      </c>
    </row>
    <row r="429" spans="2:6" hidden="1" x14ac:dyDescent="0.25">
      <c r="B429" t="s">
        <v>1230</v>
      </c>
      <c r="C429" t="s">
        <v>1231</v>
      </c>
      <c r="D429" s="140">
        <v>108.32</v>
      </c>
      <c r="E429" s="140">
        <f t="shared" si="12"/>
        <v>120.23519999999999</v>
      </c>
      <c r="F429" s="229">
        <f t="shared" si="13"/>
        <v>21161.395199999999</v>
      </c>
    </row>
    <row r="430" spans="2:6" hidden="1" x14ac:dyDescent="0.25">
      <c r="B430" t="s">
        <v>1232</v>
      </c>
      <c r="C430" t="s">
        <v>1233</v>
      </c>
      <c r="D430" s="140">
        <v>101.76</v>
      </c>
      <c r="E430" s="140">
        <f t="shared" si="12"/>
        <v>112.95360000000001</v>
      </c>
      <c r="F430" s="229">
        <f t="shared" si="13"/>
        <v>19879.833600000002</v>
      </c>
    </row>
    <row r="431" spans="2:6" hidden="1" x14ac:dyDescent="0.25">
      <c r="B431" t="s">
        <v>1234</v>
      </c>
      <c r="C431" t="s">
        <v>1235</v>
      </c>
      <c r="D431" s="140">
        <v>68.599999999999994</v>
      </c>
      <c r="E431" s="140">
        <f t="shared" si="12"/>
        <v>76.145999999999987</v>
      </c>
      <c r="F431" s="229">
        <f t="shared" si="13"/>
        <v>13401.695999999998</v>
      </c>
    </row>
    <row r="432" spans="2:6" hidden="1" x14ac:dyDescent="0.25">
      <c r="B432" t="s">
        <v>1236</v>
      </c>
      <c r="C432" t="s">
        <v>1237</v>
      </c>
      <c r="D432" s="140">
        <v>72.03</v>
      </c>
      <c r="E432" s="140">
        <f t="shared" si="12"/>
        <v>79.953299999999999</v>
      </c>
      <c r="F432" s="229">
        <f t="shared" si="13"/>
        <v>14071.7808</v>
      </c>
    </row>
    <row r="433" spans="2:6" hidden="1" x14ac:dyDescent="0.25">
      <c r="B433" t="s">
        <v>1238</v>
      </c>
      <c r="C433" t="s">
        <v>1239</v>
      </c>
      <c r="D433" s="140">
        <v>93</v>
      </c>
      <c r="E433" s="140">
        <f t="shared" si="12"/>
        <v>103.23</v>
      </c>
      <c r="F433" s="229">
        <f t="shared" si="13"/>
        <v>18168.48</v>
      </c>
    </row>
    <row r="434" spans="2:6" hidden="1" x14ac:dyDescent="0.25">
      <c r="B434" t="s">
        <v>1240</v>
      </c>
      <c r="C434" t="s">
        <v>1241</v>
      </c>
      <c r="D434" s="140">
        <v>86.44</v>
      </c>
      <c r="E434" s="140">
        <f t="shared" si="12"/>
        <v>95.948399999999992</v>
      </c>
      <c r="F434" s="229">
        <f t="shared" si="13"/>
        <v>16886.918399999999</v>
      </c>
    </row>
    <row r="435" spans="2:6" hidden="1" x14ac:dyDescent="0.25">
      <c r="B435" t="s">
        <v>1242</v>
      </c>
      <c r="C435" t="s">
        <v>1243</v>
      </c>
      <c r="D435" s="140">
        <v>108.32</v>
      </c>
      <c r="E435" s="140">
        <f t="shared" si="12"/>
        <v>120.23519999999999</v>
      </c>
      <c r="F435" s="229">
        <f t="shared" si="13"/>
        <v>21161.395199999999</v>
      </c>
    </row>
    <row r="436" spans="2:6" hidden="1" x14ac:dyDescent="0.25">
      <c r="B436" t="s">
        <v>1244</v>
      </c>
      <c r="C436" t="s">
        <v>1245</v>
      </c>
      <c r="D436" s="140">
        <v>101.76</v>
      </c>
      <c r="E436" s="140">
        <f t="shared" si="12"/>
        <v>112.95360000000001</v>
      </c>
      <c r="F436" s="229">
        <f t="shared" si="13"/>
        <v>19879.833600000002</v>
      </c>
    </row>
    <row r="437" spans="2:6" hidden="1" x14ac:dyDescent="0.25">
      <c r="B437" t="s">
        <v>1246</v>
      </c>
      <c r="C437" t="s">
        <v>1247</v>
      </c>
      <c r="D437" s="140">
        <v>123.64</v>
      </c>
      <c r="E437" s="140">
        <f t="shared" si="12"/>
        <v>137.24039999999999</v>
      </c>
      <c r="F437" s="229">
        <f t="shared" si="13"/>
        <v>24154.310399999998</v>
      </c>
    </row>
    <row r="438" spans="2:6" hidden="1" x14ac:dyDescent="0.25">
      <c r="B438" t="s">
        <v>1248</v>
      </c>
      <c r="C438" t="s">
        <v>1249</v>
      </c>
      <c r="D438" s="140">
        <v>115.98</v>
      </c>
      <c r="E438" s="140">
        <f t="shared" si="12"/>
        <v>128.73779999999999</v>
      </c>
      <c r="F438" s="229">
        <f t="shared" si="13"/>
        <v>22657.852800000001</v>
      </c>
    </row>
    <row r="439" spans="2:6" hidden="1" x14ac:dyDescent="0.25">
      <c r="B439" t="s">
        <v>1250</v>
      </c>
      <c r="C439" t="s">
        <v>1251</v>
      </c>
      <c r="D439" s="140">
        <v>51.71</v>
      </c>
      <c r="E439" s="140">
        <f t="shared" si="12"/>
        <v>57.398099999999999</v>
      </c>
      <c r="F439" s="229">
        <f t="shared" si="13"/>
        <v>10102.0656</v>
      </c>
    </row>
    <row r="440" spans="2:6" hidden="1" x14ac:dyDescent="0.25">
      <c r="B440" t="s">
        <v>1252</v>
      </c>
      <c r="C440" t="s">
        <v>1253</v>
      </c>
      <c r="D440" s="140">
        <v>59.09</v>
      </c>
      <c r="E440" s="140">
        <f t="shared" si="12"/>
        <v>65.5899</v>
      </c>
      <c r="F440" s="229">
        <f t="shared" si="13"/>
        <v>11543.822400000001</v>
      </c>
    </row>
    <row r="441" spans="2:6" hidden="1" x14ac:dyDescent="0.25">
      <c r="B441" t="s">
        <v>1254</v>
      </c>
      <c r="C441" t="s">
        <v>1255</v>
      </c>
      <c r="D441" s="140">
        <v>93</v>
      </c>
      <c r="E441" s="140">
        <f t="shared" si="12"/>
        <v>103.23</v>
      </c>
      <c r="F441" s="229">
        <f t="shared" si="13"/>
        <v>18168.48</v>
      </c>
    </row>
    <row r="442" spans="2:6" hidden="1" x14ac:dyDescent="0.25">
      <c r="B442" t="s">
        <v>1256</v>
      </c>
      <c r="C442" t="s">
        <v>1257</v>
      </c>
      <c r="D442" s="140">
        <v>86.44</v>
      </c>
      <c r="E442" s="140">
        <f t="shared" si="12"/>
        <v>95.948399999999992</v>
      </c>
      <c r="F442" s="229">
        <f t="shared" si="13"/>
        <v>16886.918399999999</v>
      </c>
    </row>
    <row r="443" spans="2:6" hidden="1" x14ac:dyDescent="0.25">
      <c r="B443" t="s">
        <v>1258</v>
      </c>
      <c r="C443" t="s">
        <v>1259</v>
      </c>
      <c r="D443" s="140">
        <v>108.32</v>
      </c>
      <c r="E443" s="140">
        <f t="shared" si="12"/>
        <v>120.23519999999999</v>
      </c>
      <c r="F443" s="229">
        <f t="shared" si="13"/>
        <v>21161.395199999999</v>
      </c>
    </row>
    <row r="444" spans="2:6" hidden="1" x14ac:dyDescent="0.25">
      <c r="B444" t="s">
        <v>1260</v>
      </c>
      <c r="C444" t="s">
        <v>1261</v>
      </c>
      <c r="D444" s="140">
        <v>101.76</v>
      </c>
      <c r="E444" s="140">
        <f t="shared" si="12"/>
        <v>112.95360000000001</v>
      </c>
      <c r="F444" s="229">
        <f t="shared" si="13"/>
        <v>19879.833600000002</v>
      </c>
    </row>
    <row r="445" spans="2:6" hidden="1" x14ac:dyDescent="0.25">
      <c r="B445" t="s">
        <v>1262</v>
      </c>
      <c r="C445" t="s">
        <v>1263</v>
      </c>
      <c r="D445" s="140">
        <v>140.05000000000001</v>
      </c>
      <c r="E445" s="140">
        <f t="shared" si="12"/>
        <v>155.4555</v>
      </c>
      <c r="F445" s="229">
        <f t="shared" si="13"/>
        <v>27360.168000000001</v>
      </c>
    </row>
    <row r="446" spans="2:6" hidden="1" x14ac:dyDescent="0.25">
      <c r="B446" t="s">
        <v>1264</v>
      </c>
      <c r="C446" t="s">
        <v>1265</v>
      </c>
      <c r="D446" s="140">
        <v>130.21</v>
      </c>
      <c r="E446" s="140">
        <f t="shared" si="12"/>
        <v>144.53310000000002</v>
      </c>
      <c r="F446" s="229">
        <f t="shared" si="13"/>
        <v>25437.825600000004</v>
      </c>
    </row>
    <row r="447" spans="2:6" hidden="1" x14ac:dyDescent="0.25">
      <c r="B447" t="s">
        <v>1266</v>
      </c>
      <c r="C447" t="s">
        <v>1267</v>
      </c>
      <c r="D447" s="140">
        <v>77.42</v>
      </c>
      <c r="E447" s="140">
        <f t="shared" si="12"/>
        <v>85.936199999999999</v>
      </c>
      <c r="F447" s="229">
        <f t="shared" si="13"/>
        <v>15124.771199999999</v>
      </c>
    </row>
    <row r="448" spans="2:6" hidden="1" x14ac:dyDescent="0.25">
      <c r="B448" t="s">
        <v>1268</v>
      </c>
      <c r="C448" t="s">
        <v>1269</v>
      </c>
      <c r="D448" s="140">
        <v>83.73</v>
      </c>
      <c r="E448" s="140">
        <f t="shared" si="12"/>
        <v>92.940300000000008</v>
      </c>
      <c r="F448" s="229">
        <f t="shared" si="13"/>
        <v>16357.492800000002</v>
      </c>
    </row>
    <row r="449" spans="2:6" hidden="1" x14ac:dyDescent="0.25">
      <c r="B449" t="s">
        <v>1270</v>
      </c>
      <c r="C449" t="s">
        <v>1271</v>
      </c>
      <c r="D449" s="140">
        <v>108.32</v>
      </c>
      <c r="E449" s="140">
        <f t="shared" si="12"/>
        <v>120.23519999999999</v>
      </c>
      <c r="F449" s="229">
        <f t="shared" si="13"/>
        <v>21161.395199999999</v>
      </c>
    </row>
    <row r="450" spans="2:6" hidden="1" x14ac:dyDescent="0.25">
      <c r="B450" t="s">
        <v>1272</v>
      </c>
      <c r="C450" t="s">
        <v>1273</v>
      </c>
      <c r="D450" s="140">
        <v>101.76</v>
      </c>
      <c r="E450" s="140">
        <f t="shared" si="12"/>
        <v>112.95360000000001</v>
      </c>
      <c r="F450" s="229">
        <f t="shared" si="13"/>
        <v>19879.833600000002</v>
      </c>
    </row>
    <row r="451" spans="2:6" hidden="1" x14ac:dyDescent="0.25">
      <c r="B451" t="s">
        <v>1274</v>
      </c>
      <c r="C451" t="s">
        <v>1275</v>
      </c>
      <c r="D451" s="140">
        <v>123.64</v>
      </c>
      <c r="E451" s="140">
        <f t="shared" si="12"/>
        <v>137.24039999999999</v>
      </c>
      <c r="F451" s="229">
        <f t="shared" si="13"/>
        <v>24154.310399999998</v>
      </c>
    </row>
    <row r="452" spans="2:6" hidden="1" x14ac:dyDescent="0.25">
      <c r="B452" t="s">
        <v>1276</v>
      </c>
      <c r="C452" t="s">
        <v>1277</v>
      </c>
      <c r="D452" s="140">
        <v>115.98</v>
      </c>
      <c r="E452" s="140">
        <f t="shared" ref="E452:E515" si="14">(D452*$E$1) + D452</f>
        <v>128.73779999999999</v>
      </c>
      <c r="F452" s="229">
        <f t="shared" ref="F452:F515" si="15">E452*$F$1</f>
        <v>22657.852800000001</v>
      </c>
    </row>
    <row r="453" spans="2:6" hidden="1" x14ac:dyDescent="0.25">
      <c r="B453" t="s">
        <v>1278</v>
      </c>
      <c r="C453" t="s">
        <v>1279</v>
      </c>
      <c r="D453" s="140">
        <v>155.37</v>
      </c>
      <c r="E453" s="140">
        <f t="shared" si="14"/>
        <v>172.4607</v>
      </c>
      <c r="F453" s="229">
        <f t="shared" si="15"/>
        <v>30353.083200000001</v>
      </c>
    </row>
    <row r="454" spans="2:6" hidden="1" x14ac:dyDescent="0.25">
      <c r="B454" t="s">
        <v>1280</v>
      </c>
      <c r="C454" t="s">
        <v>1281</v>
      </c>
      <c r="D454" s="140">
        <v>144.43</v>
      </c>
      <c r="E454" s="140">
        <f t="shared" si="14"/>
        <v>160.31730000000002</v>
      </c>
      <c r="F454" s="229">
        <f t="shared" si="15"/>
        <v>28215.844800000003</v>
      </c>
    </row>
    <row r="455" spans="2:6" hidden="1" x14ac:dyDescent="0.25">
      <c r="B455" t="s">
        <v>1282</v>
      </c>
      <c r="C455" t="s">
        <v>1283</v>
      </c>
      <c r="D455" s="140">
        <v>77.42</v>
      </c>
      <c r="E455" s="140">
        <f t="shared" si="14"/>
        <v>85.936199999999999</v>
      </c>
      <c r="F455" s="229">
        <f t="shared" si="15"/>
        <v>15124.771199999999</v>
      </c>
    </row>
    <row r="456" spans="2:6" hidden="1" x14ac:dyDescent="0.25">
      <c r="B456" t="s">
        <v>1284</v>
      </c>
      <c r="C456" t="s">
        <v>1285</v>
      </c>
      <c r="D456" s="140">
        <v>91.14</v>
      </c>
      <c r="E456" s="140">
        <f t="shared" si="14"/>
        <v>101.16540000000001</v>
      </c>
      <c r="F456" s="229">
        <f t="shared" si="15"/>
        <v>17805.110400000001</v>
      </c>
    </row>
    <row r="457" spans="2:6" hidden="1" x14ac:dyDescent="0.25">
      <c r="B457" t="s">
        <v>1286</v>
      </c>
      <c r="C457" t="s">
        <v>1287</v>
      </c>
      <c r="D457" s="140">
        <v>113.68</v>
      </c>
      <c r="E457" s="140">
        <f t="shared" si="14"/>
        <v>126.18480000000001</v>
      </c>
      <c r="F457" s="229">
        <f t="shared" si="15"/>
        <v>22208.524800000003</v>
      </c>
    </row>
    <row r="458" spans="2:6" hidden="1" x14ac:dyDescent="0.25">
      <c r="B458" t="s">
        <v>1288</v>
      </c>
      <c r="C458" t="s">
        <v>1289</v>
      </c>
      <c r="D458" s="140">
        <v>115.98</v>
      </c>
      <c r="E458" s="140">
        <f t="shared" si="14"/>
        <v>128.73779999999999</v>
      </c>
      <c r="F458" s="229">
        <f t="shared" si="15"/>
        <v>22657.852800000001</v>
      </c>
    </row>
    <row r="459" spans="2:6" hidden="1" x14ac:dyDescent="0.25">
      <c r="B459" t="s">
        <v>1290</v>
      </c>
      <c r="C459" t="s">
        <v>1291</v>
      </c>
      <c r="D459" s="140">
        <v>140.05000000000001</v>
      </c>
      <c r="E459" s="140">
        <f t="shared" si="14"/>
        <v>155.4555</v>
      </c>
      <c r="F459" s="229">
        <f t="shared" si="15"/>
        <v>27360.168000000001</v>
      </c>
    </row>
    <row r="460" spans="2:6" hidden="1" x14ac:dyDescent="0.25">
      <c r="B460" t="s">
        <v>1292</v>
      </c>
      <c r="C460" t="s">
        <v>1293</v>
      </c>
      <c r="D460" s="140">
        <v>130.21</v>
      </c>
      <c r="E460" s="140">
        <f t="shared" si="14"/>
        <v>144.53310000000002</v>
      </c>
      <c r="F460" s="229">
        <f t="shared" si="15"/>
        <v>25437.825600000004</v>
      </c>
    </row>
    <row r="461" spans="2:6" hidden="1" x14ac:dyDescent="0.25">
      <c r="B461" t="s">
        <v>1294</v>
      </c>
      <c r="C461" t="s">
        <v>1295</v>
      </c>
      <c r="D461" s="140">
        <v>175.42</v>
      </c>
      <c r="E461" s="140">
        <f t="shared" si="14"/>
        <v>194.71619999999999</v>
      </c>
      <c r="F461" s="229">
        <f t="shared" si="15"/>
        <v>34270.051199999994</v>
      </c>
    </row>
    <row r="462" spans="2:6" hidden="1" x14ac:dyDescent="0.25">
      <c r="B462" t="s">
        <v>1296</v>
      </c>
      <c r="C462" t="s">
        <v>1297</v>
      </c>
      <c r="D462" s="140">
        <v>180.32</v>
      </c>
      <c r="E462" s="140">
        <f t="shared" si="14"/>
        <v>200.15519999999998</v>
      </c>
      <c r="F462" s="229">
        <f t="shared" si="15"/>
        <v>35227.315199999997</v>
      </c>
    </row>
    <row r="463" spans="2:6" hidden="1" x14ac:dyDescent="0.25">
      <c r="B463" t="s">
        <v>1298</v>
      </c>
      <c r="C463" t="s">
        <v>1299</v>
      </c>
      <c r="D463" s="140">
        <v>77.42</v>
      </c>
      <c r="E463" s="140">
        <f t="shared" si="14"/>
        <v>85.936199999999999</v>
      </c>
      <c r="F463" s="229">
        <f t="shared" si="15"/>
        <v>15124.771199999999</v>
      </c>
    </row>
    <row r="464" spans="2:6" hidden="1" x14ac:dyDescent="0.25">
      <c r="B464" t="s">
        <v>1300</v>
      </c>
      <c r="C464" t="s">
        <v>1301</v>
      </c>
      <c r="D464" s="140">
        <v>91.14</v>
      </c>
      <c r="E464" s="140">
        <f t="shared" si="14"/>
        <v>101.16540000000001</v>
      </c>
      <c r="F464" s="229">
        <f t="shared" si="15"/>
        <v>17805.110400000001</v>
      </c>
    </row>
    <row r="465" spans="2:6" hidden="1" x14ac:dyDescent="0.25">
      <c r="B465" t="s">
        <v>1302</v>
      </c>
      <c r="C465" t="s">
        <v>1303</v>
      </c>
      <c r="D465" s="140">
        <v>113.68</v>
      </c>
      <c r="E465" s="140">
        <f t="shared" si="14"/>
        <v>126.18480000000001</v>
      </c>
      <c r="F465" s="229">
        <f t="shared" si="15"/>
        <v>22208.524800000003</v>
      </c>
    </row>
    <row r="466" spans="2:6" hidden="1" x14ac:dyDescent="0.25">
      <c r="B466" t="s">
        <v>1304</v>
      </c>
      <c r="C466" t="s">
        <v>1305</v>
      </c>
      <c r="D466" s="140">
        <v>135.87</v>
      </c>
      <c r="E466" s="140">
        <f t="shared" si="14"/>
        <v>150.81569999999999</v>
      </c>
      <c r="F466" s="229">
        <f t="shared" si="15"/>
        <v>26543.563199999997</v>
      </c>
    </row>
    <row r="467" spans="2:6" hidden="1" x14ac:dyDescent="0.25">
      <c r="B467" t="s">
        <v>1306</v>
      </c>
      <c r="C467" t="s">
        <v>1307</v>
      </c>
      <c r="D467" s="140">
        <v>155.82</v>
      </c>
      <c r="E467" s="140">
        <f t="shared" si="14"/>
        <v>172.96019999999999</v>
      </c>
      <c r="F467" s="229">
        <f t="shared" si="15"/>
        <v>30440.995199999998</v>
      </c>
    </row>
    <row r="468" spans="2:6" hidden="1" x14ac:dyDescent="0.25">
      <c r="B468" t="s">
        <v>1308</v>
      </c>
      <c r="C468" t="s">
        <v>1309</v>
      </c>
      <c r="D468" s="140">
        <v>160.72</v>
      </c>
      <c r="E468" s="140">
        <f t="shared" si="14"/>
        <v>178.39920000000001</v>
      </c>
      <c r="F468" s="229">
        <f t="shared" si="15"/>
        <v>31398.2592</v>
      </c>
    </row>
    <row r="469" spans="2:6" hidden="1" x14ac:dyDescent="0.25">
      <c r="B469" t="s">
        <v>1310</v>
      </c>
      <c r="C469" t="s">
        <v>1311</v>
      </c>
      <c r="D469" s="140">
        <v>62.37</v>
      </c>
      <c r="E469" s="140">
        <f t="shared" si="14"/>
        <v>69.230699999999999</v>
      </c>
      <c r="F469" s="229">
        <f t="shared" si="15"/>
        <v>12184.6032</v>
      </c>
    </row>
    <row r="470" spans="2:6" hidden="1" x14ac:dyDescent="0.25">
      <c r="B470" t="s">
        <v>1312</v>
      </c>
      <c r="C470" t="s">
        <v>1313</v>
      </c>
      <c r="D470" s="140">
        <v>57.99</v>
      </c>
      <c r="E470" s="140">
        <f t="shared" si="14"/>
        <v>64.368899999999996</v>
      </c>
      <c r="F470" s="229">
        <f t="shared" si="15"/>
        <v>11328.9264</v>
      </c>
    </row>
    <row r="471" spans="2:6" hidden="1" x14ac:dyDescent="0.25">
      <c r="B471" t="s">
        <v>1314</v>
      </c>
      <c r="C471" t="s">
        <v>1315</v>
      </c>
      <c r="D471" s="140">
        <v>34.020000000000003</v>
      </c>
      <c r="E471" s="140">
        <f t="shared" si="14"/>
        <v>37.762200000000007</v>
      </c>
      <c r="F471" s="229">
        <f t="shared" si="15"/>
        <v>6646.1472000000012</v>
      </c>
    </row>
    <row r="472" spans="2:6" hidden="1" x14ac:dyDescent="0.25">
      <c r="B472" t="s">
        <v>1316</v>
      </c>
      <c r="C472" t="s">
        <v>1317</v>
      </c>
      <c r="D472" s="140">
        <v>36.729999999999997</v>
      </c>
      <c r="E472" s="140">
        <f t="shared" si="14"/>
        <v>40.770299999999999</v>
      </c>
      <c r="F472" s="229">
        <f t="shared" si="15"/>
        <v>7175.5727999999999</v>
      </c>
    </row>
    <row r="473" spans="2:6" hidden="1" x14ac:dyDescent="0.25">
      <c r="B473" t="s">
        <v>1318</v>
      </c>
      <c r="C473" t="s">
        <v>1319</v>
      </c>
      <c r="D473" s="140">
        <v>31.73</v>
      </c>
      <c r="E473" s="140">
        <f t="shared" si="14"/>
        <v>35.220300000000002</v>
      </c>
      <c r="F473" s="229">
        <f t="shared" si="15"/>
        <v>6198.7728000000006</v>
      </c>
    </row>
    <row r="474" spans="2:6" hidden="1" x14ac:dyDescent="0.25">
      <c r="B474" t="s">
        <v>1320</v>
      </c>
      <c r="C474" t="s">
        <v>1321</v>
      </c>
      <c r="D474" s="140">
        <v>29.54</v>
      </c>
      <c r="E474" s="140">
        <f t="shared" si="14"/>
        <v>32.789400000000001</v>
      </c>
      <c r="F474" s="229">
        <f t="shared" si="15"/>
        <v>5770.9344000000001</v>
      </c>
    </row>
    <row r="475" spans="2:6" hidden="1" x14ac:dyDescent="0.25">
      <c r="B475" t="s">
        <v>1322</v>
      </c>
      <c r="C475" t="s">
        <v>1323</v>
      </c>
      <c r="D475" s="140">
        <v>56.33</v>
      </c>
      <c r="E475" s="140">
        <f t="shared" si="14"/>
        <v>62.526299999999999</v>
      </c>
      <c r="F475" s="229">
        <f t="shared" si="15"/>
        <v>11004.6288</v>
      </c>
    </row>
    <row r="476" spans="2:6" hidden="1" x14ac:dyDescent="0.25">
      <c r="B476" t="s">
        <v>1324</v>
      </c>
      <c r="C476" t="s">
        <v>1325</v>
      </c>
      <c r="D476" s="140">
        <v>60.82</v>
      </c>
      <c r="E476" s="140">
        <f t="shared" si="14"/>
        <v>67.510199999999998</v>
      </c>
      <c r="F476" s="229">
        <f t="shared" si="15"/>
        <v>11881.7952</v>
      </c>
    </row>
    <row r="477" spans="2:6" hidden="1" x14ac:dyDescent="0.25">
      <c r="B477" t="s">
        <v>1326</v>
      </c>
      <c r="C477" t="s">
        <v>1327</v>
      </c>
      <c r="D477" s="140">
        <v>40.479999999999997</v>
      </c>
      <c r="E477" s="140">
        <f t="shared" si="14"/>
        <v>44.9328</v>
      </c>
      <c r="F477" s="229">
        <f t="shared" si="15"/>
        <v>7908.1728000000003</v>
      </c>
    </row>
    <row r="478" spans="2:6" hidden="1" x14ac:dyDescent="0.25">
      <c r="B478" t="s">
        <v>1328</v>
      </c>
      <c r="C478" t="s">
        <v>1329</v>
      </c>
      <c r="D478" s="140">
        <v>38.299999999999997</v>
      </c>
      <c r="E478" s="140">
        <f t="shared" si="14"/>
        <v>42.512999999999998</v>
      </c>
      <c r="F478" s="229">
        <f t="shared" si="15"/>
        <v>7482.2879999999996</v>
      </c>
    </row>
    <row r="479" spans="2:6" hidden="1" x14ac:dyDescent="0.25">
      <c r="B479" t="s">
        <v>1330</v>
      </c>
      <c r="C479" t="s">
        <v>1331</v>
      </c>
      <c r="D479" s="140">
        <v>61.27</v>
      </c>
      <c r="E479" s="140">
        <f t="shared" si="14"/>
        <v>68.009700000000009</v>
      </c>
      <c r="F479" s="229">
        <f t="shared" si="15"/>
        <v>11969.707200000001</v>
      </c>
    </row>
    <row r="480" spans="2:6" hidden="1" x14ac:dyDescent="0.25">
      <c r="B480" t="s">
        <v>1332</v>
      </c>
      <c r="C480" t="s">
        <v>1333</v>
      </c>
      <c r="D480" s="140">
        <v>56.9</v>
      </c>
      <c r="E480" s="140">
        <f t="shared" si="14"/>
        <v>63.158999999999999</v>
      </c>
      <c r="F480" s="229">
        <f t="shared" si="15"/>
        <v>11115.984</v>
      </c>
    </row>
    <row r="481" spans="2:6" hidden="1" x14ac:dyDescent="0.25">
      <c r="B481" t="s">
        <v>1334</v>
      </c>
      <c r="C481" t="s">
        <v>1335</v>
      </c>
      <c r="D481" s="140">
        <v>80.97</v>
      </c>
      <c r="E481" s="140">
        <f t="shared" si="14"/>
        <v>89.8767</v>
      </c>
      <c r="F481" s="229">
        <f t="shared" si="15"/>
        <v>15818.299199999999</v>
      </c>
    </row>
    <row r="482" spans="2:6" hidden="1" x14ac:dyDescent="0.25">
      <c r="B482" t="s">
        <v>1336</v>
      </c>
      <c r="C482" t="s">
        <v>1337</v>
      </c>
      <c r="D482" s="140">
        <v>75.5</v>
      </c>
      <c r="E482" s="140">
        <f t="shared" si="14"/>
        <v>83.805000000000007</v>
      </c>
      <c r="F482" s="229">
        <f t="shared" si="15"/>
        <v>14749.68</v>
      </c>
    </row>
    <row r="483" spans="2:6" hidden="1" x14ac:dyDescent="0.25">
      <c r="B483" t="s">
        <v>1338</v>
      </c>
      <c r="C483" t="s">
        <v>1339</v>
      </c>
      <c r="D483" s="140">
        <v>47.05</v>
      </c>
      <c r="E483" s="140">
        <f t="shared" si="14"/>
        <v>52.225499999999997</v>
      </c>
      <c r="F483" s="229">
        <f t="shared" si="15"/>
        <v>9191.6880000000001</v>
      </c>
    </row>
    <row r="484" spans="2:6" hidden="1" x14ac:dyDescent="0.25">
      <c r="B484" t="s">
        <v>1340</v>
      </c>
      <c r="C484" t="s">
        <v>1341</v>
      </c>
      <c r="D484" s="140">
        <v>43.77</v>
      </c>
      <c r="E484" s="140">
        <f t="shared" si="14"/>
        <v>48.584700000000005</v>
      </c>
      <c r="F484" s="229">
        <f t="shared" si="15"/>
        <v>8550.9072000000015</v>
      </c>
    </row>
    <row r="485" spans="2:6" hidden="1" x14ac:dyDescent="0.25">
      <c r="B485" t="s">
        <v>1342</v>
      </c>
      <c r="C485" t="s">
        <v>1343</v>
      </c>
      <c r="D485" s="140">
        <v>61.86</v>
      </c>
      <c r="E485" s="140">
        <f t="shared" si="14"/>
        <v>68.664599999999993</v>
      </c>
      <c r="F485" s="229">
        <f t="shared" si="15"/>
        <v>12084.969599999999</v>
      </c>
    </row>
    <row r="486" spans="2:6" hidden="1" x14ac:dyDescent="0.25">
      <c r="B486" t="s">
        <v>1344</v>
      </c>
      <c r="C486" t="s">
        <v>1345</v>
      </c>
      <c r="D486" s="140">
        <v>57.99</v>
      </c>
      <c r="E486" s="140">
        <f t="shared" si="14"/>
        <v>64.368899999999996</v>
      </c>
      <c r="F486" s="229">
        <f t="shared" si="15"/>
        <v>11328.9264</v>
      </c>
    </row>
    <row r="487" spans="2:6" hidden="1" x14ac:dyDescent="0.25">
      <c r="B487" t="s">
        <v>1346</v>
      </c>
      <c r="C487" t="s">
        <v>1347</v>
      </c>
      <c r="D487" s="140">
        <v>155.37</v>
      </c>
      <c r="E487" s="140">
        <f t="shared" si="14"/>
        <v>172.4607</v>
      </c>
      <c r="F487" s="229">
        <f t="shared" si="15"/>
        <v>30353.083200000001</v>
      </c>
    </row>
    <row r="488" spans="2:6" hidden="1" x14ac:dyDescent="0.25">
      <c r="B488" t="s">
        <v>1348</v>
      </c>
      <c r="C488" t="s">
        <v>1349</v>
      </c>
      <c r="D488" s="140">
        <v>144.43</v>
      </c>
      <c r="E488" s="140">
        <f t="shared" si="14"/>
        <v>160.31730000000002</v>
      </c>
      <c r="F488" s="229">
        <f t="shared" si="15"/>
        <v>28215.844800000003</v>
      </c>
    </row>
    <row r="489" spans="2:6" hidden="1" x14ac:dyDescent="0.25">
      <c r="B489" t="s">
        <v>1350</v>
      </c>
      <c r="C489" t="s">
        <v>1351</v>
      </c>
      <c r="D489" s="140">
        <v>77.42</v>
      </c>
      <c r="E489" s="140">
        <f t="shared" si="14"/>
        <v>85.936199999999999</v>
      </c>
      <c r="F489" s="229">
        <f t="shared" si="15"/>
        <v>15124.771199999999</v>
      </c>
    </row>
    <row r="490" spans="2:6" hidden="1" x14ac:dyDescent="0.25">
      <c r="B490" t="s">
        <v>1352</v>
      </c>
      <c r="C490" t="s">
        <v>1353</v>
      </c>
      <c r="D490" s="140">
        <v>91.14</v>
      </c>
      <c r="E490" s="140">
        <f t="shared" si="14"/>
        <v>101.16540000000001</v>
      </c>
      <c r="F490" s="229">
        <f t="shared" si="15"/>
        <v>17805.110400000001</v>
      </c>
    </row>
    <row r="491" spans="2:6" hidden="1" x14ac:dyDescent="0.25">
      <c r="B491" t="s">
        <v>1354</v>
      </c>
      <c r="C491" t="s">
        <v>1355</v>
      </c>
      <c r="D491" s="140">
        <v>113.68</v>
      </c>
      <c r="E491" s="140">
        <f t="shared" si="14"/>
        <v>126.18480000000001</v>
      </c>
      <c r="F491" s="229">
        <f t="shared" si="15"/>
        <v>22208.524800000003</v>
      </c>
    </row>
    <row r="492" spans="2:6" hidden="1" x14ac:dyDescent="0.25">
      <c r="B492" t="s">
        <v>1356</v>
      </c>
      <c r="C492" t="s">
        <v>1357</v>
      </c>
      <c r="D492" s="140">
        <v>115.98</v>
      </c>
      <c r="E492" s="140">
        <f t="shared" si="14"/>
        <v>128.73779999999999</v>
      </c>
      <c r="F492" s="229">
        <f t="shared" si="15"/>
        <v>22657.852800000001</v>
      </c>
    </row>
    <row r="493" spans="2:6" hidden="1" x14ac:dyDescent="0.25">
      <c r="B493" t="s">
        <v>1358</v>
      </c>
      <c r="C493" t="s">
        <v>1359</v>
      </c>
      <c r="D493" s="140">
        <v>140.05000000000001</v>
      </c>
      <c r="E493" s="140">
        <f t="shared" si="14"/>
        <v>155.4555</v>
      </c>
      <c r="F493" s="229">
        <f t="shared" si="15"/>
        <v>27360.168000000001</v>
      </c>
    </row>
    <row r="494" spans="2:6" hidden="1" x14ac:dyDescent="0.25">
      <c r="B494" t="s">
        <v>1360</v>
      </c>
      <c r="C494" t="s">
        <v>1361</v>
      </c>
      <c r="D494" s="140">
        <v>130.21</v>
      </c>
      <c r="E494" s="140">
        <f t="shared" si="14"/>
        <v>144.53310000000002</v>
      </c>
      <c r="F494" s="229">
        <f t="shared" si="15"/>
        <v>25437.825600000004</v>
      </c>
    </row>
    <row r="495" spans="2:6" hidden="1" x14ac:dyDescent="0.25">
      <c r="B495" t="s">
        <v>1362</v>
      </c>
      <c r="C495" t="s">
        <v>1363</v>
      </c>
      <c r="D495" s="140">
        <v>69.58</v>
      </c>
      <c r="E495" s="140">
        <f t="shared" si="14"/>
        <v>77.233800000000002</v>
      </c>
      <c r="F495" s="229">
        <f t="shared" si="15"/>
        <v>13593.148800000001</v>
      </c>
    </row>
    <row r="496" spans="2:6" hidden="1" x14ac:dyDescent="0.25">
      <c r="B496" t="s">
        <v>1364</v>
      </c>
      <c r="C496" t="s">
        <v>1365</v>
      </c>
      <c r="D496" s="140">
        <v>81.34</v>
      </c>
      <c r="E496" s="140">
        <f t="shared" si="14"/>
        <v>90.287400000000005</v>
      </c>
      <c r="F496" s="229">
        <f t="shared" si="15"/>
        <v>15890.582400000001</v>
      </c>
    </row>
    <row r="497" spans="2:6" hidden="1" x14ac:dyDescent="0.25">
      <c r="B497" t="s">
        <v>1366</v>
      </c>
      <c r="C497" t="s">
        <v>1367</v>
      </c>
      <c r="D497" s="140">
        <v>98.98</v>
      </c>
      <c r="E497" s="140">
        <f t="shared" si="14"/>
        <v>109.8678</v>
      </c>
      <c r="F497" s="229">
        <f t="shared" si="15"/>
        <v>19336.732800000002</v>
      </c>
    </row>
    <row r="498" spans="2:6" hidden="1" x14ac:dyDescent="0.25">
      <c r="B498" t="s">
        <v>1368</v>
      </c>
      <c r="C498" t="s">
        <v>1369</v>
      </c>
      <c r="D498" s="140">
        <v>115.98</v>
      </c>
      <c r="E498" s="140">
        <f t="shared" si="14"/>
        <v>128.73779999999999</v>
      </c>
      <c r="F498" s="229">
        <f t="shared" si="15"/>
        <v>22657.852800000001</v>
      </c>
    </row>
    <row r="499" spans="2:6" hidden="1" x14ac:dyDescent="0.25">
      <c r="B499" t="s">
        <v>1370</v>
      </c>
      <c r="C499" t="s">
        <v>1371</v>
      </c>
      <c r="D499" s="140">
        <v>138.18</v>
      </c>
      <c r="E499" s="140">
        <f t="shared" si="14"/>
        <v>153.37980000000002</v>
      </c>
      <c r="F499" s="229">
        <f t="shared" si="15"/>
        <v>26994.844800000003</v>
      </c>
    </row>
    <row r="500" spans="2:6" hidden="1" x14ac:dyDescent="0.25">
      <c r="B500" t="s">
        <v>1372</v>
      </c>
      <c r="C500" t="s">
        <v>1373</v>
      </c>
      <c r="D500" s="140">
        <v>130.21</v>
      </c>
      <c r="E500" s="140">
        <f t="shared" si="14"/>
        <v>144.53310000000002</v>
      </c>
      <c r="F500" s="229">
        <f t="shared" si="15"/>
        <v>25437.825600000004</v>
      </c>
    </row>
    <row r="501" spans="2:6" hidden="1" x14ac:dyDescent="0.25">
      <c r="B501" t="s">
        <v>1374</v>
      </c>
      <c r="C501" t="s">
        <v>1375</v>
      </c>
      <c r="D501" s="140">
        <v>150.13999999999999</v>
      </c>
      <c r="E501" s="140">
        <f t="shared" si="14"/>
        <v>166.65539999999999</v>
      </c>
      <c r="F501" s="229">
        <f t="shared" si="15"/>
        <v>29331.350399999996</v>
      </c>
    </row>
    <row r="502" spans="2:6" hidden="1" x14ac:dyDescent="0.25">
      <c r="B502" t="s">
        <v>1376</v>
      </c>
      <c r="C502" t="s">
        <v>1377</v>
      </c>
      <c r="D502" s="140">
        <v>142.99</v>
      </c>
      <c r="E502" s="140">
        <f t="shared" si="14"/>
        <v>158.71890000000002</v>
      </c>
      <c r="F502" s="229">
        <f t="shared" si="15"/>
        <v>27934.526400000002</v>
      </c>
    </row>
    <row r="503" spans="2:6" hidden="1" x14ac:dyDescent="0.25">
      <c r="B503" t="s">
        <v>1378</v>
      </c>
      <c r="C503" t="s">
        <v>1379</v>
      </c>
      <c r="D503" s="140">
        <v>114.63</v>
      </c>
      <c r="E503" s="140">
        <f t="shared" si="14"/>
        <v>127.2393</v>
      </c>
      <c r="F503" s="229">
        <f t="shared" si="15"/>
        <v>22394.1168</v>
      </c>
    </row>
    <row r="504" spans="2:6" hidden="1" x14ac:dyDescent="0.25">
      <c r="B504" t="s">
        <v>1380</v>
      </c>
      <c r="C504" t="s">
        <v>1381</v>
      </c>
      <c r="D504" s="140">
        <v>109.18</v>
      </c>
      <c r="E504" s="140">
        <f t="shared" si="14"/>
        <v>121.18980000000001</v>
      </c>
      <c r="F504" s="229">
        <f t="shared" si="15"/>
        <v>21329.4048</v>
      </c>
    </row>
    <row r="505" spans="2:6" hidden="1" x14ac:dyDescent="0.25">
      <c r="B505" t="s">
        <v>1382</v>
      </c>
      <c r="C505" t="s">
        <v>1383</v>
      </c>
      <c r="D505" s="140">
        <v>148.1</v>
      </c>
      <c r="E505" s="140">
        <f t="shared" si="14"/>
        <v>164.39099999999999</v>
      </c>
      <c r="F505" s="229">
        <f t="shared" si="15"/>
        <v>28932.815999999999</v>
      </c>
    </row>
    <row r="506" spans="2:6" hidden="1" x14ac:dyDescent="0.25">
      <c r="B506" t="s">
        <v>1384</v>
      </c>
      <c r="C506" t="s">
        <v>1385</v>
      </c>
      <c r="D506" s="140">
        <v>141.05000000000001</v>
      </c>
      <c r="E506" s="140">
        <f t="shared" si="14"/>
        <v>156.56550000000001</v>
      </c>
      <c r="F506" s="229">
        <f t="shared" si="15"/>
        <v>27555.528000000002</v>
      </c>
    </row>
    <row r="507" spans="2:6" hidden="1" x14ac:dyDescent="0.25">
      <c r="B507" t="s">
        <v>1386</v>
      </c>
      <c r="C507" t="s">
        <v>1387</v>
      </c>
      <c r="D507" s="140">
        <v>117.6</v>
      </c>
      <c r="E507" s="140">
        <f t="shared" si="14"/>
        <v>130.536</v>
      </c>
      <c r="F507" s="229">
        <f t="shared" si="15"/>
        <v>22974.335999999999</v>
      </c>
    </row>
    <row r="508" spans="2:6" hidden="1" x14ac:dyDescent="0.25">
      <c r="B508" t="s">
        <v>1388</v>
      </c>
      <c r="C508" t="s">
        <v>1389</v>
      </c>
      <c r="D508" s="140">
        <v>123.48</v>
      </c>
      <c r="E508" s="140">
        <f t="shared" si="14"/>
        <v>137.06280000000001</v>
      </c>
      <c r="F508" s="229">
        <f t="shared" si="15"/>
        <v>24123.052800000001</v>
      </c>
    </row>
    <row r="509" spans="2:6" hidden="1" x14ac:dyDescent="0.25">
      <c r="B509" t="s">
        <v>1390</v>
      </c>
      <c r="C509" t="s">
        <v>1391</v>
      </c>
      <c r="D509" s="140">
        <v>39.200000000000003</v>
      </c>
      <c r="E509" s="140">
        <f t="shared" si="14"/>
        <v>43.512</v>
      </c>
      <c r="F509" s="229">
        <f t="shared" si="15"/>
        <v>7658.1120000000001</v>
      </c>
    </row>
    <row r="510" spans="2:6" hidden="1" x14ac:dyDescent="0.25">
      <c r="B510" t="s">
        <v>1392</v>
      </c>
      <c r="C510" t="s">
        <v>1393</v>
      </c>
      <c r="D510" s="140">
        <v>41.16</v>
      </c>
      <c r="E510" s="140">
        <f t="shared" si="14"/>
        <v>45.687599999999996</v>
      </c>
      <c r="F510" s="229">
        <f t="shared" si="15"/>
        <v>8041.0175999999992</v>
      </c>
    </row>
    <row r="511" spans="2:6" hidden="1" x14ac:dyDescent="0.25">
      <c r="B511" t="s">
        <v>1394</v>
      </c>
      <c r="C511" t="s">
        <v>1395</v>
      </c>
      <c r="D511" s="140">
        <v>58.8</v>
      </c>
      <c r="E511" s="140">
        <f t="shared" si="14"/>
        <v>65.268000000000001</v>
      </c>
      <c r="F511" s="229">
        <f t="shared" si="15"/>
        <v>11487.168</v>
      </c>
    </row>
    <row r="512" spans="2:6" hidden="1" x14ac:dyDescent="0.25">
      <c r="B512" t="s">
        <v>1396</v>
      </c>
      <c r="C512" t="s">
        <v>1397</v>
      </c>
      <c r="D512" s="140">
        <v>61.74</v>
      </c>
      <c r="E512" s="140">
        <f t="shared" si="14"/>
        <v>68.531400000000005</v>
      </c>
      <c r="F512" s="229">
        <f t="shared" si="15"/>
        <v>12061.526400000001</v>
      </c>
    </row>
    <row r="513" spans="2:6" hidden="1" x14ac:dyDescent="0.25">
      <c r="B513" t="s">
        <v>1398</v>
      </c>
      <c r="C513" t="s">
        <v>1399</v>
      </c>
      <c r="D513" s="140">
        <v>89.18</v>
      </c>
      <c r="E513" s="140">
        <f t="shared" si="14"/>
        <v>98.989800000000002</v>
      </c>
      <c r="F513" s="229">
        <f t="shared" si="15"/>
        <v>17422.2048</v>
      </c>
    </row>
    <row r="514" spans="2:6" hidden="1" x14ac:dyDescent="0.25">
      <c r="B514" t="s">
        <v>1400</v>
      </c>
      <c r="C514" t="s">
        <v>1401</v>
      </c>
      <c r="D514" s="140">
        <v>93.64</v>
      </c>
      <c r="E514" s="140">
        <f t="shared" si="14"/>
        <v>103.9404</v>
      </c>
      <c r="F514" s="229">
        <f t="shared" si="15"/>
        <v>18293.510399999999</v>
      </c>
    </row>
    <row r="515" spans="2:6" hidden="1" x14ac:dyDescent="0.25">
      <c r="B515" t="s">
        <v>1402</v>
      </c>
      <c r="C515" t="s">
        <v>1403</v>
      </c>
      <c r="D515" s="140">
        <v>117.6</v>
      </c>
      <c r="E515" s="140">
        <f t="shared" si="14"/>
        <v>130.536</v>
      </c>
      <c r="F515" s="229">
        <f t="shared" si="15"/>
        <v>22974.335999999999</v>
      </c>
    </row>
    <row r="516" spans="2:6" hidden="1" x14ac:dyDescent="0.25">
      <c r="B516" t="s">
        <v>1404</v>
      </c>
      <c r="C516" t="s">
        <v>1405</v>
      </c>
      <c r="D516" s="140">
        <v>123.48</v>
      </c>
      <c r="E516" s="140">
        <f t="shared" ref="E516:E522" si="16">(D516*$E$1) + D516</f>
        <v>137.06280000000001</v>
      </c>
      <c r="F516" s="229">
        <f t="shared" ref="F516:F522" si="17">E516*$F$1</f>
        <v>24123.052800000001</v>
      </c>
    </row>
    <row r="517" spans="2:6" hidden="1" x14ac:dyDescent="0.25">
      <c r="B517" t="s">
        <v>1406</v>
      </c>
      <c r="C517" t="s">
        <v>1407</v>
      </c>
      <c r="D517" s="140">
        <v>39.200000000000003</v>
      </c>
      <c r="E517" s="140">
        <f t="shared" si="16"/>
        <v>43.512</v>
      </c>
      <c r="F517" s="229">
        <f t="shared" si="17"/>
        <v>7658.1120000000001</v>
      </c>
    </row>
    <row r="518" spans="2:6" hidden="1" x14ac:dyDescent="0.25">
      <c r="B518" t="s">
        <v>1408</v>
      </c>
      <c r="C518" t="s">
        <v>1409</v>
      </c>
      <c r="D518" s="140">
        <v>41.16</v>
      </c>
      <c r="E518" s="140">
        <f t="shared" si="16"/>
        <v>45.687599999999996</v>
      </c>
      <c r="F518" s="229">
        <f t="shared" si="17"/>
        <v>8041.0175999999992</v>
      </c>
    </row>
    <row r="519" spans="2:6" hidden="1" x14ac:dyDescent="0.25">
      <c r="B519" t="s">
        <v>1410</v>
      </c>
      <c r="C519" t="s">
        <v>1411</v>
      </c>
      <c r="D519" s="140">
        <v>58.8</v>
      </c>
      <c r="E519" s="140">
        <f t="shared" si="16"/>
        <v>65.268000000000001</v>
      </c>
      <c r="F519" s="229">
        <f t="shared" si="17"/>
        <v>11487.168</v>
      </c>
    </row>
    <row r="520" spans="2:6" hidden="1" x14ac:dyDescent="0.25">
      <c r="B520" t="s">
        <v>1412</v>
      </c>
      <c r="C520" t="s">
        <v>1413</v>
      </c>
      <c r="D520" s="140">
        <v>61.74</v>
      </c>
      <c r="E520" s="140">
        <f t="shared" si="16"/>
        <v>68.531400000000005</v>
      </c>
      <c r="F520" s="229">
        <f t="shared" si="17"/>
        <v>12061.526400000001</v>
      </c>
    </row>
    <row r="521" spans="2:6" hidden="1" x14ac:dyDescent="0.25">
      <c r="B521" t="s">
        <v>1414</v>
      </c>
      <c r="C521" t="s">
        <v>1415</v>
      </c>
      <c r="D521" s="140">
        <v>89.18</v>
      </c>
      <c r="E521" s="140">
        <f t="shared" si="16"/>
        <v>98.989800000000002</v>
      </c>
      <c r="F521" s="229">
        <f t="shared" si="17"/>
        <v>17422.2048</v>
      </c>
    </row>
    <row r="522" spans="2:6" hidden="1" x14ac:dyDescent="0.25">
      <c r="B522" t="s">
        <v>1416</v>
      </c>
      <c r="C522" t="s">
        <v>1417</v>
      </c>
      <c r="D522" s="140">
        <v>93.64</v>
      </c>
      <c r="E522" s="140">
        <f t="shared" si="16"/>
        <v>103.9404</v>
      </c>
      <c r="F522" s="229">
        <f t="shared" si="17"/>
        <v>18293.510399999999</v>
      </c>
    </row>
  </sheetData>
  <autoFilter ref="B2:F522" xr:uid="{112AAE52-0801-467C-9BCF-A801FBF1CD7F}">
    <filterColumn colId="0">
      <filters>
        <filter val="Analista Funcional SAP FI Especialista PRESENCIAL"/>
        <filter val="Analista Funcional SAP FI Especialista REMOTO"/>
        <filter val="Analista Funcional SAP FI JR PRESENCIAL"/>
        <filter val="Analista Funcional SAP FI JR REMOTO"/>
        <filter val="Analista Funcional SAP FI PL PRESENCIAL"/>
        <filter val="Analista Funcional SAP FI PL REMOTO"/>
        <filter val="Analista Funcional SAP FI SR PRESENCIAL"/>
        <filter val="Analista Funcional SAP FI SR REMOTO"/>
        <filter val="Analista Funcional SAP MM Especialista PRESENCIAL"/>
        <filter val="Analista Funcional SAP MM Especialista REMOTO"/>
        <filter val="Analista Funcional SAP MM JR PRESENCIAL"/>
        <filter val="Analista Funcional SAP MM JR REMOTO"/>
        <filter val="Analista Funcional SAP MM PL PRESENCIAL"/>
        <filter val="Analista Funcional SAP MM PL REMOTO"/>
        <filter val="Analista Funcional SAP MM SR PRESENCIAL"/>
        <filter val="Analista Funcional SAP MM SR REMOTO"/>
      </filters>
    </filterColumn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186C-A725-48E1-835B-A1A5CE48515D}">
  <sheetPr>
    <tabColor rgb="FF00B050"/>
  </sheetPr>
  <dimension ref="B1:AG951"/>
  <sheetViews>
    <sheetView topLeftCell="A10" zoomScale="120" zoomScaleNormal="120" workbookViewId="0">
      <pane xSplit="5" topLeftCell="Y1" activePane="topRight" state="frozen"/>
      <selection pane="topRight" activeCell="B26" sqref="B26"/>
    </sheetView>
  </sheetViews>
  <sheetFormatPr defaultColWidth="14.42578125" defaultRowHeight="15" customHeight="1" outlineLevelRow="1" x14ac:dyDescent="0.25"/>
  <cols>
    <col min="1" max="1" width="2.5703125" customWidth="1"/>
    <col min="2" max="2" width="34.85546875" bestFit="1" customWidth="1"/>
    <col min="3" max="3" width="7.42578125" customWidth="1"/>
    <col min="4" max="4" width="6.7109375" style="102" customWidth="1"/>
    <col min="5" max="5" width="6.85546875" customWidth="1"/>
    <col min="6" max="6" width="18.7109375" customWidth="1"/>
    <col min="7" max="10" width="16.7109375" customWidth="1"/>
    <col min="11" max="11" width="12.42578125" bestFit="1" customWidth="1"/>
    <col min="12" max="12" width="16.7109375" customWidth="1"/>
    <col min="13" max="13" width="14.7109375" customWidth="1"/>
    <col min="14" max="14" width="13.28515625" customWidth="1"/>
    <col min="15" max="15" width="16" customWidth="1"/>
    <col min="16" max="16" width="16.28515625" customWidth="1"/>
    <col min="17" max="18" width="14" customWidth="1"/>
    <col min="19" max="19" width="17.140625" customWidth="1"/>
    <col min="20" max="20" width="12" customWidth="1"/>
    <col min="21" max="22" width="12.85546875" customWidth="1"/>
    <col min="23" max="23" width="13" customWidth="1"/>
    <col min="24" max="25" width="12.85546875" customWidth="1"/>
    <col min="26" max="26" width="14.5703125" customWidth="1"/>
    <col min="27" max="27" width="15.7109375" bestFit="1" customWidth="1"/>
    <col min="28" max="29" width="14.85546875" customWidth="1"/>
    <col min="30" max="30" width="18.28515625" customWidth="1"/>
    <col min="31" max="31" width="14.42578125" customWidth="1"/>
    <col min="32" max="32" width="14.140625" customWidth="1"/>
    <col min="33" max="33" width="10.7109375" customWidth="1"/>
  </cols>
  <sheetData>
    <row r="1" spans="2:33" ht="14.25" customHeight="1" x14ac:dyDescent="0.25">
      <c r="C1" s="12"/>
      <c r="D1" s="100"/>
      <c r="E1" s="13"/>
      <c r="G1" s="14"/>
      <c r="H1" s="14"/>
      <c r="I1" s="15"/>
      <c r="J1" s="15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2:33" ht="14.25" customHeight="1" outlineLevel="1" x14ac:dyDescent="0.45">
      <c r="B2" s="16"/>
      <c r="C2" s="17"/>
      <c r="D2" s="99"/>
      <c r="E2" s="262" t="s">
        <v>15</v>
      </c>
      <c r="F2" s="19" t="s">
        <v>16</v>
      </c>
      <c r="G2" s="20">
        <v>176</v>
      </c>
      <c r="H2" s="19" t="s">
        <v>17</v>
      </c>
      <c r="I2" s="19" t="e">
        <f>SUM(I9:I68)</f>
        <v>#N/A</v>
      </c>
      <c r="J2" s="19" t="s">
        <v>18</v>
      </c>
      <c r="K2" s="21"/>
      <c r="L2" s="21">
        <v>0.08</v>
      </c>
      <c r="M2" s="19" t="s">
        <v>19</v>
      </c>
      <c r="N2" s="22">
        <f>COUNTIF(E9:E413, "Sim")</f>
        <v>17</v>
      </c>
      <c r="O2" s="19" t="s">
        <v>20</v>
      </c>
      <c r="P2" s="23">
        <v>750</v>
      </c>
      <c r="Q2" s="24"/>
      <c r="R2" s="24"/>
      <c r="S2" s="25"/>
      <c r="T2" s="25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26"/>
    </row>
    <row r="3" spans="2:33" ht="14.25" customHeight="1" outlineLevel="1" x14ac:dyDescent="0.45">
      <c r="B3" s="27"/>
      <c r="C3" s="106" t="s">
        <v>119</v>
      </c>
      <c r="D3" s="105" t="s">
        <v>73</v>
      </c>
      <c r="E3" s="282"/>
      <c r="F3" s="19" t="s">
        <v>21</v>
      </c>
      <c r="G3" s="30">
        <v>0</v>
      </c>
      <c r="H3" s="19" t="s">
        <v>22</v>
      </c>
      <c r="I3" s="19" t="e">
        <f>SUM(S9:S68)</f>
        <v>#N/A</v>
      </c>
      <c r="J3" s="19" t="s">
        <v>23</v>
      </c>
      <c r="K3" s="21"/>
      <c r="L3" s="21">
        <v>0.4</v>
      </c>
      <c r="M3" s="19" t="s">
        <v>24</v>
      </c>
      <c r="N3" s="22">
        <f>COUNTIF(E9:E413, "Não")</f>
        <v>0</v>
      </c>
      <c r="O3" s="19" t="s">
        <v>25</v>
      </c>
      <c r="P3" s="23">
        <v>0</v>
      </c>
      <c r="Q3" s="31"/>
      <c r="R3" s="31"/>
      <c r="S3" s="32"/>
      <c r="T3" s="32"/>
      <c r="U3" s="33"/>
      <c r="V3" s="34"/>
      <c r="W3" s="32"/>
      <c r="X3" s="32"/>
      <c r="Y3" s="34"/>
      <c r="Z3" s="34"/>
      <c r="AA3" s="32"/>
      <c r="AB3" s="32"/>
      <c r="AC3" s="34"/>
      <c r="AD3" s="34"/>
      <c r="AE3" s="33"/>
      <c r="AF3" s="32"/>
      <c r="AG3" s="35"/>
    </row>
    <row r="4" spans="2:33" ht="14.25" customHeight="1" outlineLevel="1" x14ac:dyDescent="0.45">
      <c r="B4" s="27"/>
      <c r="C4" s="107" t="s">
        <v>120</v>
      </c>
      <c r="D4" s="105" t="s">
        <v>76</v>
      </c>
      <c r="E4" s="282"/>
      <c r="F4" s="19" t="s">
        <v>26</v>
      </c>
      <c r="G4" s="30">
        <v>0.17499999999999999</v>
      </c>
      <c r="H4" s="19" t="s">
        <v>27</v>
      </c>
      <c r="I4" s="19" t="e">
        <f>SUM(J9:J68)+P3</f>
        <v>#N/A</v>
      </c>
      <c r="J4" s="19" t="s">
        <v>28</v>
      </c>
      <c r="K4" s="21"/>
      <c r="L4" s="21">
        <v>0.09</v>
      </c>
      <c r="M4" s="19" t="s">
        <v>29</v>
      </c>
      <c r="N4" s="37">
        <v>0</v>
      </c>
      <c r="O4" s="23" t="s">
        <v>95</v>
      </c>
      <c r="P4" s="94">
        <f>SUM(D9:D40)</f>
        <v>2992</v>
      </c>
      <c r="Q4" s="95"/>
      <c r="R4" s="39"/>
      <c r="S4" s="32"/>
      <c r="T4" s="32"/>
      <c r="U4" s="40"/>
      <c r="V4" s="40"/>
      <c r="W4" s="32"/>
      <c r="X4" s="32"/>
      <c r="Y4" s="40"/>
      <c r="Z4" s="40"/>
      <c r="AA4" s="32"/>
      <c r="AB4" s="32"/>
      <c r="AC4" s="40"/>
      <c r="AD4" s="40"/>
      <c r="AE4" s="33"/>
      <c r="AF4" s="32"/>
      <c r="AG4" s="35"/>
    </row>
    <row r="5" spans="2:33" ht="14.25" customHeight="1" outlineLevel="1" x14ac:dyDescent="0.25">
      <c r="B5" s="41"/>
      <c r="C5" s="107" t="s">
        <v>121</v>
      </c>
      <c r="D5" s="108">
        <v>0</v>
      </c>
      <c r="E5" s="282"/>
      <c r="F5" s="19"/>
      <c r="G5" s="30">
        <v>0.8</v>
      </c>
      <c r="H5" s="19" t="s">
        <v>30</v>
      </c>
      <c r="I5" s="19" t="e">
        <f>I3-I4</f>
        <v>#N/A</v>
      </c>
      <c r="J5" s="19" t="s">
        <v>31</v>
      </c>
      <c r="K5" s="42"/>
      <c r="L5" s="42">
        <v>38</v>
      </c>
      <c r="M5" s="19" t="s">
        <v>32</v>
      </c>
      <c r="N5" s="19" t="e">
        <f>SUMIF(E9:E68,"Sim",P9:P68)</f>
        <v>#N/A</v>
      </c>
      <c r="O5" s="96" t="s">
        <v>96</v>
      </c>
      <c r="P5" s="23" t="e">
        <f>I3/P4</f>
        <v>#N/A</v>
      </c>
      <c r="Q5" s="97"/>
      <c r="R5" s="32"/>
      <c r="S5" s="32"/>
      <c r="T5" s="32"/>
      <c r="U5" s="40"/>
      <c r="V5" s="40"/>
      <c r="W5" s="32"/>
      <c r="X5" s="32"/>
      <c r="Y5" s="40"/>
      <c r="Z5" s="40"/>
      <c r="AA5" s="32"/>
      <c r="AB5" s="32"/>
      <c r="AC5" s="40"/>
      <c r="AD5" s="40"/>
      <c r="AE5" s="33"/>
      <c r="AF5" s="32"/>
      <c r="AG5" s="35"/>
    </row>
    <row r="6" spans="2:33" ht="14.25" customHeight="1" outlineLevel="1" x14ac:dyDescent="0.25">
      <c r="B6" s="43"/>
      <c r="C6" s="44"/>
      <c r="D6" s="101"/>
      <c r="E6" s="264"/>
      <c r="F6" s="19" t="s">
        <v>33</v>
      </c>
      <c r="G6" s="37">
        <v>0</v>
      </c>
      <c r="H6" s="19" t="s">
        <v>34</v>
      </c>
      <c r="I6" s="37" t="e">
        <f>I5/I3</f>
        <v>#N/A</v>
      </c>
      <c r="J6" s="37" t="s">
        <v>35</v>
      </c>
      <c r="K6" s="19"/>
      <c r="L6" s="19" t="e">
        <f>SUM(S9:S68)/SUM(D9:D68)</f>
        <v>#N/A</v>
      </c>
      <c r="M6" s="19" t="s">
        <v>36</v>
      </c>
      <c r="N6" s="19" t="e">
        <f>SUMIF(#REF!,"Não",#REF!)</f>
        <v>#REF!</v>
      </c>
      <c r="O6" s="98"/>
      <c r="P6" s="98"/>
      <c r="Q6" s="46"/>
      <c r="R6" s="46"/>
      <c r="S6" s="46"/>
      <c r="T6" s="46"/>
      <c r="U6" s="47"/>
      <c r="V6" s="47"/>
      <c r="W6" s="46"/>
      <c r="X6" s="46"/>
      <c r="Y6" s="47"/>
      <c r="Z6" s="47"/>
      <c r="AA6" s="46"/>
      <c r="AB6" s="46"/>
      <c r="AC6" s="47"/>
      <c r="AD6" s="47"/>
      <c r="AE6" s="48"/>
      <c r="AF6" s="46"/>
      <c r="AG6" s="49"/>
    </row>
    <row r="7" spans="2:33" ht="14.25" customHeight="1" x14ac:dyDescent="0.25">
      <c r="B7" s="147" t="s">
        <v>37</v>
      </c>
      <c r="C7" s="283" t="s">
        <v>38</v>
      </c>
      <c r="D7" s="284"/>
      <c r="E7" s="281"/>
      <c r="F7" s="280" t="s">
        <v>39</v>
      </c>
      <c r="G7" s="284"/>
      <c r="H7" s="284"/>
      <c r="I7" s="284"/>
      <c r="J7" s="281"/>
      <c r="K7" s="148"/>
      <c r="L7" s="285" t="s">
        <v>40</v>
      </c>
      <c r="M7" s="284"/>
      <c r="N7" s="284"/>
      <c r="O7" s="284"/>
      <c r="P7" s="284"/>
      <c r="Q7" s="284"/>
      <c r="R7" s="284"/>
      <c r="S7" s="281"/>
      <c r="T7" s="148"/>
      <c r="U7" s="286" t="s">
        <v>41</v>
      </c>
      <c r="V7" s="284"/>
      <c r="W7" s="284"/>
      <c r="X7" s="284"/>
      <c r="Y7" s="284"/>
      <c r="Z7" s="284"/>
      <c r="AA7" s="284"/>
      <c r="AB7" s="284"/>
      <c r="AC7" s="284"/>
      <c r="AD7" s="281"/>
      <c r="AE7" s="149" t="s">
        <v>42</v>
      </c>
      <c r="AF7" s="280" t="s">
        <v>43</v>
      </c>
      <c r="AG7" s="281"/>
    </row>
    <row r="8" spans="2:33" ht="14.25" customHeight="1" x14ac:dyDescent="0.25">
      <c r="B8" s="170" t="s">
        <v>44</v>
      </c>
      <c r="C8" s="169" t="s">
        <v>45</v>
      </c>
      <c r="D8" s="156" t="s">
        <v>46</v>
      </c>
      <c r="E8" s="157" t="s">
        <v>47</v>
      </c>
      <c r="F8" s="169" t="s">
        <v>48</v>
      </c>
      <c r="G8" s="169" t="s">
        <v>49</v>
      </c>
      <c r="H8" s="158" t="s">
        <v>50</v>
      </c>
      <c r="I8" s="158" t="s">
        <v>51</v>
      </c>
      <c r="J8" s="158" t="s">
        <v>52</v>
      </c>
      <c r="K8" s="159" t="s">
        <v>92</v>
      </c>
      <c r="L8" s="159" t="s">
        <v>53</v>
      </c>
      <c r="M8" s="160" t="s">
        <v>54</v>
      </c>
      <c r="N8" s="160" t="s">
        <v>55</v>
      </c>
      <c r="O8" s="159" t="s">
        <v>93</v>
      </c>
      <c r="P8" s="159" t="s">
        <v>57</v>
      </c>
      <c r="Q8" s="159" t="s">
        <v>58</v>
      </c>
      <c r="R8" s="161" t="s">
        <v>94</v>
      </c>
      <c r="S8" s="159" t="s">
        <v>59</v>
      </c>
      <c r="T8" s="159" t="s">
        <v>60</v>
      </c>
      <c r="U8" s="159" t="s">
        <v>18</v>
      </c>
      <c r="V8" s="159" t="s">
        <v>61</v>
      </c>
      <c r="W8" s="162" t="s">
        <v>62</v>
      </c>
      <c r="X8" s="159" t="s">
        <v>63</v>
      </c>
      <c r="Y8" s="159" t="s">
        <v>64</v>
      </c>
      <c r="Z8" s="159" t="s">
        <v>65</v>
      </c>
      <c r="AA8" s="159" t="s">
        <v>66</v>
      </c>
      <c r="AB8" s="159" t="s">
        <v>28</v>
      </c>
      <c r="AC8" s="159" t="s">
        <v>67</v>
      </c>
      <c r="AD8" s="159" t="s">
        <v>68</v>
      </c>
      <c r="AE8" s="159" t="s">
        <v>69</v>
      </c>
      <c r="AF8" s="159" t="s">
        <v>70</v>
      </c>
      <c r="AG8" s="159" t="s">
        <v>71</v>
      </c>
    </row>
    <row r="9" spans="2:33" ht="14.25" customHeight="1" x14ac:dyDescent="0.25">
      <c r="B9" s="168" t="s">
        <v>177</v>
      </c>
      <c r="C9" s="141" t="s">
        <v>109</v>
      </c>
      <c r="D9" s="103">
        <v>176</v>
      </c>
      <c r="E9" s="104" t="s">
        <v>76</v>
      </c>
      <c r="F9" s="92">
        <v>0</v>
      </c>
      <c r="G9" s="150" t="e">
        <f>IF(F9&gt;0,F9,
IF(B9&lt;&gt;"",
IF(C9="CLT",VLOOKUP(B9,'Lista Profissionais'!$C$11:$H$348,3,0),
VLOOKUP(B9,'Lista Profissionais'!$C$11:$H$348,4,0)), 0))</f>
        <v>#N/A</v>
      </c>
      <c r="H9" s="66" t="e">
        <f t="shared" ref="H9:H13" si="0">(G9/$G$2)*D9</f>
        <v>#N/A</v>
      </c>
      <c r="I9" s="66" t="e">
        <f t="shared" ref="I9:I40" si="1">H9+AD9</f>
        <v>#N/A</v>
      </c>
      <c r="J9" s="66" t="e">
        <f t="shared" ref="J9:J40" si="2">I9+R9+AE9</f>
        <v>#N/A</v>
      </c>
      <c r="K9" s="93" t="e">
        <f t="shared" ref="K9:K40" si="3">IF(D9&gt;0,I9/D9,0)</f>
        <v>#N/A</v>
      </c>
      <c r="L9" s="151"/>
      <c r="M9" s="152">
        <v>0</v>
      </c>
      <c r="N9" s="69" t="e">
        <f t="shared" ref="N9:N40" si="4">I9*$G$6</f>
        <v>#N/A</v>
      </c>
      <c r="O9" s="69" t="e">
        <f t="shared" ref="O9:O40" si="5">IF(L9&gt;0,L9,  I9*(1+$G$5))</f>
        <v>#N/A</v>
      </c>
      <c r="P9" s="70" t="e">
        <f t="shared" ref="P9:P72" si="6">(O9+N9)</f>
        <v>#N/A</v>
      </c>
      <c r="Q9" s="153" t="e">
        <f t="shared" ref="Q9:Q40" si="7">IF(E9="Sim", P9*$G$3,0)</f>
        <v>#N/A</v>
      </c>
      <c r="R9" s="70">
        <v>0</v>
      </c>
      <c r="S9" s="165" t="e">
        <f t="shared" ref="S9:S40" si="8">IF($D$4="Sim",(IF(E9="Não",0,(P9+(P9*$N$4)+Q9+R9)*$D$5)+P9),
IF(E9="Não",0,P9+(P9*$N$4)+Q9+R9
))</f>
        <v>#N/A</v>
      </c>
      <c r="T9" s="163" t="e">
        <f t="shared" ref="T9:T40" si="9">IF(D9&gt;0,S9/D9,0)</f>
        <v>#N/A</v>
      </c>
      <c r="U9" s="164" t="e">
        <f t="shared" ref="U9:U40" si="10">IF(C9="CLT",
       H9*$L$2, 0)</f>
        <v>#N/A</v>
      </c>
      <c r="V9" s="164" t="e">
        <f t="shared" ref="V9:V40" si="11">IF(C9="CLT",
       U9*$L$3, 0)</f>
        <v>#N/A</v>
      </c>
      <c r="W9" s="144" t="e">
        <f t="shared" ref="W9:W40" si="12">IF(C9="CLT",
       H9/12, 0)</f>
        <v>#N/A</v>
      </c>
      <c r="X9" s="150" t="e">
        <f t="shared" ref="X9:X40" si="13">IF(C9="CLT",
       W9/3, 0)</f>
        <v>#N/A</v>
      </c>
      <c r="Y9" s="150" t="e">
        <f t="shared" ref="Y9:Y40" si="14">IF(C9="CLT",
       H9/12, 0)</f>
        <v>#N/A</v>
      </c>
      <c r="Z9" s="150" t="e">
        <f t="shared" ref="Z9:Z40" si="15">IF(C9="CLT",
       H9/12, 0)</f>
        <v>#N/A</v>
      </c>
      <c r="AA9" s="150">
        <f t="shared" ref="AA9:AA40" si="16">IF(B9&lt;&gt;"",
IF(C9="CLT",
       22*$L$5,0),0)</f>
        <v>836</v>
      </c>
      <c r="AB9" s="150" t="e">
        <f t="shared" ref="AB9:AB40" si="17">IF(C9="CLT",
       H9*$L$4, 0)</f>
        <v>#N/A</v>
      </c>
      <c r="AC9" s="150">
        <f t="shared" ref="AC9:AC40" si="18">IF(B9&lt;&gt;"",
IF(C9="CLT",
       $P$2, 0),0)</f>
        <v>750</v>
      </c>
      <c r="AD9" s="150" t="e">
        <f t="shared" ref="AD9:AD72" si="19">SUM(U9:AC9)</f>
        <v>#N/A</v>
      </c>
      <c r="AE9" s="154" t="e">
        <f t="shared" ref="AE9:AE40" si="20">IF(E9="Sim", S9*$G$4, 0)</f>
        <v>#N/A</v>
      </c>
      <c r="AF9" s="70" t="e">
        <f t="shared" ref="AF9:AF40" si="21">S9-AE9-I9-Q9</f>
        <v>#N/A</v>
      </c>
      <c r="AG9" s="155" t="e">
        <f t="shared" ref="AG9:AG72" si="22">(IF(AF9&gt;0,AF9/S9,0))</f>
        <v>#N/A</v>
      </c>
    </row>
    <row r="10" spans="2:33" ht="14.25" customHeight="1" x14ac:dyDescent="0.25">
      <c r="B10" s="168" t="s">
        <v>178</v>
      </c>
      <c r="C10" s="141" t="s">
        <v>109</v>
      </c>
      <c r="D10" s="103">
        <v>176</v>
      </c>
      <c r="E10" s="104" t="s">
        <v>76</v>
      </c>
      <c r="F10" s="92">
        <v>0</v>
      </c>
      <c r="G10" s="150" t="e">
        <f>IF(F10&gt;0,F10,
IF(B10&lt;&gt;"",
IF(C10="CLT",VLOOKUP(B10,'Lista Profissionais'!$C$11:$H$348,3,0),
VLOOKUP(B10,'Lista Profissionais'!$C$11:$H$348,4,0)), 0))</f>
        <v>#N/A</v>
      </c>
      <c r="H10" s="66" t="e">
        <f t="shared" si="0"/>
        <v>#N/A</v>
      </c>
      <c r="I10" s="66" t="e">
        <f t="shared" si="1"/>
        <v>#N/A</v>
      </c>
      <c r="J10" s="66" t="e">
        <f t="shared" si="2"/>
        <v>#N/A</v>
      </c>
      <c r="K10" s="93" t="e">
        <f t="shared" si="3"/>
        <v>#N/A</v>
      </c>
      <c r="L10" s="151"/>
      <c r="M10" s="152">
        <v>0</v>
      </c>
      <c r="N10" s="69" t="e">
        <f t="shared" si="4"/>
        <v>#N/A</v>
      </c>
      <c r="O10" s="69" t="e">
        <f t="shared" si="5"/>
        <v>#N/A</v>
      </c>
      <c r="P10" s="70" t="e">
        <f t="shared" si="6"/>
        <v>#N/A</v>
      </c>
      <c r="Q10" s="153" t="e">
        <f t="shared" si="7"/>
        <v>#N/A</v>
      </c>
      <c r="R10" s="70">
        <v>0</v>
      </c>
      <c r="S10" s="165" t="e">
        <f t="shared" si="8"/>
        <v>#N/A</v>
      </c>
      <c r="T10" s="163" t="e">
        <f t="shared" si="9"/>
        <v>#N/A</v>
      </c>
      <c r="U10" s="164" t="e">
        <f t="shared" si="10"/>
        <v>#N/A</v>
      </c>
      <c r="V10" s="164" t="e">
        <f t="shared" si="11"/>
        <v>#N/A</v>
      </c>
      <c r="W10" s="144" t="e">
        <f t="shared" si="12"/>
        <v>#N/A</v>
      </c>
      <c r="X10" s="150" t="e">
        <f t="shared" si="13"/>
        <v>#N/A</v>
      </c>
      <c r="Y10" s="150" t="e">
        <f t="shared" si="14"/>
        <v>#N/A</v>
      </c>
      <c r="Z10" s="150" t="e">
        <f t="shared" si="15"/>
        <v>#N/A</v>
      </c>
      <c r="AA10" s="150">
        <f t="shared" si="16"/>
        <v>836</v>
      </c>
      <c r="AB10" s="150" t="e">
        <f t="shared" si="17"/>
        <v>#N/A</v>
      </c>
      <c r="AC10" s="150">
        <f t="shared" si="18"/>
        <v>750</v>
      </c>
      <c r="AD10" s="150" t="e">
        <f t="shared" si="19"/>
        <v>#N/A</v>
      </c>
      <c r="AE10" s="154" t="e">
        <f t="shared" si="20"/>
        <v>#N/A</v>
      </c>
      <c r="AF10" s="70" t="e">
        <f t="shared" si="21"/>
        <v>#N/A</v>
      </c>
      <c r="AG10" s="155" t="e">
        <f t="shared" si="22"/>
        <v>#N/A</v>
      </c>
    </row>
    <row r="11" spans="2:33" ht="14.25" customHeight="1" x14ac:dyDescent="0.25">
      <c r="B11" s="168" t="s">
        <v>146</v>
      </c>
      <c r="C11" s="141" t="s">
        <v>109</v>
      </c>
      <c r="D11" s="103">
        <v>176</v>
      </c>
      <c r="E11" s="104" t="s">
        <v>76</v>
      </c>
      <c r="F11" s="92">
        <v>0</v>
      </c>
      <c r="G11" s="150" t="e">
        <f>IF(F11&gt;0,F11,
IF(B11&lt;&gt;"",
IF(C11="CLT",VLOOKUP(B11,'Lista Profissionais'!$C$11:$H$348,3,0),
VLOOKUP(B11,'Lista Profissionais'!$C$11:$H$348,4,0)), 0))</f>
        <v>#N/A</v>
      </c>
      <c r="H11" s="66" t="e">
        <f t="shared" si="0"/>
        <v>#N/A</v>
      </c>
      <c r="I11" s="66" t="e">
        <f t="shared" si="1"/>
        <v>#N/A</v>
      </c>
      <c r="J11" s="66" t="e">
        <f t="shared" si="2"/>
        <v>#N/A</v>
      </c>
      <c r="K11" s="93" t="e">
        <f t="shared" si="3"/>
        <v>#N/A</v>
      </c>
      <c r="L11" s="151"/>
      <c r="M11" s="152">
        <v>0</v>
      </c>
      <c r="N11" s="69" t="e">
        <f t="shared" si="4"/>
        <v>#N/A</v>
      </c>
      <c r="O11" s="69" t="e">
        <f t="shared" si="5"/>
        <v>#N/A</v>
      </c>
      <c r="P11" s="70" t="e">
        <f t="shared" si="6"/>
        <v>#N/A</v>
      </c>
      <c r="Q11" s="153" t="e">
        <f t="shared" si="7"/>
        <v>#N/A</v>
      </c>
      <c r="R11" s="70">
        <v>0</v>
      </c>
      <c r="S11" s="165" t="e">
        <f t="shared" si="8"/>
        <v>#N/A</v>
      </c>
      <c r="T11" s="163" t="e">
        <f t="shared" si="9"/>
        <v>#N/A</v>
      </c>
      <c r="U11" s="164" t="e">
        <f t="shared" si="10"/>
        <v>#N/A</v>
      </c>
      <c r="V11" s="164" t="e">
        <f t="shared" si="11"/>
        <v>#N/A</v>
      </c>
      <c r="W11" s="144" t="e">
        <f t="shared" si="12"/>
        <v>#N/A</v>
      </c>
      <c r="X11" s="150" t="e">
        <f t="shared" si="13"/>
        <v>#N/A</v>
      </c>
      <c r="Y11" s="150" t="e">
        <f t="shared" si="14"/>
        <v>#N/A</v>
      </c>
      <c r="Z11" s="150" t="e">
        <f t="shared" si="15"/>
        <v>#N/A</v>
      </c>
      <c r="AA11" s="150">
        <f t="shared" si="16"/>
        <v>836</v>
      </c>
      <c r="AB11" s="150" t="e">
        <f t="shared" si="17"/>
        <v>#N/A</v>
      </c>
      <c r="AC11" s="150">
        <f t="shared" si="18"/>
        <v>750</v>
      </c>
      <c r="AD11" s="150" t="e">
        <f t="shared" si="19"/>
        <v>#N/A</v>
      </c>
      <c r="AE11" s="154" t="e">
        <f t="shared" si="20"/>
        <v>#N/A</v>
      </c>
      <c r="AF11" s="70" t="e">
        <f t="shared" si="21"/>
        <v>#N/A</v>
      </c>
      <c r="AG11" s="155" t="e">
        <f t="shared" si="22"/>
        <v>#N/A</v>
      </c>
    </row>
    <row r="12" spans="2:33" ht="14.25" customHeight="1" x14ac:dyDescent="0.25">
      <c r="B12" s="168" t="s">
        <v>145</v>
      </c>
      <c r="C12" s="141" t="s">
        <v>109</v>
      </c>
      <c r="D12" s="103">
        <v>176</v>
      </c>
      <c r="E12" s="104" t="s">
        <v>76</v>
      </c>
      <c r="F12" s="92">
        <v>0</v>
      </c>
      <c r="G12" s="150" t="e">
        <f>IF(F12&gt;0,F12,
IF(B12&lt;&gt;"",
IF(C12="CLT",VLOOKUP(B12,'Lista Profissionais'!$C$11:$H$348,3,0),
VLOOKUP(B12,'Lista Profissionais'!$C$11:$H$348,4,0)), 0))</f>
        <v>#N/A</v>
      </c>
      <c r="H12" s="66" t="e">
        <f t="shared" si="0"/>
        <v>#N/A</v>
      </c>
      <c r="I12" s="66" t="e">
        <f t="shared" si="1"/>
        <v>#N/A</v>
      </c>
      <c r="J12" s="66" t="e">
        <f t="shared" si="2"/>
        <v>#N/A</v>
      </c>
      <c r="K12" s="93" t="e">
        <f t="shared" si="3"/>
        <v>#N/A</v>
      </c>
      <c r="L12" s="151"/>
      <c r="M12" s="152">
        <v>0</v>
      </c>
      <c r="N12" s="69" t="e">
        <f t="shared" si="4"/>
        <v>#N/A</v>
      </c>
      <c r="O12" s="69" t="e">
        <f t="shared" si="5"/>
        <v>#N/A</v>
      </c>
      <c r="P12" s="70" t="e">
        <f t="shared" si="6"/>
        <v>#N/A</v>
      </c>
      <c r="Q12" s="153" t="e">
        <f t="shared" si="7"/>
        <v>#N/A</v>
      </c>
      <c r="R12" s="70">
        <v>0</v>
      </c>
      <c r="S12" s="165" t="e">
        <f t="shared" si="8"/>
        <v>#N/A</v>
      </c>
      <c r="T12" s="163" t="e">
        <f t="shared" si="9"/>
        <v>#N/A</v>
      </c>
      <c r="U12" s="164" t="e">
        <f t="shared" si="10"/>
        <v>#N/A</v>
      </c>
      <c r="V12" s="164" t="e">
        <f t="shared" si="11"/>
        <v>#N/A</v>
      </c>
      <c r="W12" s="144" t="e">
        <f t="shared" si="12"/>
        <v>#N/A</v>
      </c>
      <c r="X12" s="150" t="e">
        <f t="shared" si="13"/>
        <v>#N/A</v>
      </c>
      <c r="Y12" s="150" t="e">
        <f t="shared" si="14"/>
        <v>#N/A</v>
      </c>
      <c r="Z12" s="150" t="e">
        <f t="shared" si="15"/>
        <v>#N/A</v>
      </c>
      <c r="AA12" s="150">
        <f t="shared" si="16"/>
        <v>836</v>
      </c>
      <c r="AB12" s="150" t="e">
        <f t="shared" si="17"/>
        <v>#N/A</v>
      </c>
      <c r="AC12" s="150">
        <f t="shared" si="18"/>
        <v>750</v>
      </c>
      <c r="AD12" s="150" t="e">
        <f t="shared" si="19"/>
        <v>#N/A</v>
      </c>
      <c r="AE12" s="154" t="e">
        <f t="shared" si="20"/>
        <v>#N/A</v>
      </c>
      <c r="AF12" s="70" t="e">
        <f t="shared" si="21"/>
        <v>#N/A</v>
      </c>
      <c r="AG12" s="155" t="e">
        <f t="shared" si="22"/>
        <v>#N/A</v>
      </c>
    </row>
    <row r="13" spans="2:33" ht="14.25" customHeight="1" x14ac:dyDescent="0.25">
      <c r="B13" s="168" t="s">
        <v>146</v>
      </c>
      <c r="C13" s="141" t="s">
        <v>109</v>
      </c>
      <c r="D13" s="103">
        <v>176</v>
      </c>
      <c r="E13" s="104" t="s">
        <v>76</v>
      </c>
      <c r="F13" s="92">
        <v>0</v>
      </c>
      <c r="G13" s="150" t="e">
        <f>IF(F13&gt;0,F13,
IF(B13&lt;&gt;"",
IF(C13="CLT",VLOOKUP(B13,'Lista Profissionais'!$C$11:$H$348,3,0),
VLOOKUP(B13,'Lista Profissionais'!$C$11:$H$348,4,0)), 0))</f>
        <v>#N/A</v>
      </c>
      <c r="H13" s="66" t="e">
        <f t="shared" si="0"/>
        <v>#N/A</v>
      </c>
      <c r="I13" s="66" t="e">
        <f t="shared" si="1"/>
        <v>#N/A</v>
      </c>
      <c r="J13" s="66" t="e">
        <f t="shared" si="2"/>
        <v>#N/A</v>
      </c>
      <c r="K13" s="93" t="e">
        <f t="shared" si="3"/>
        <v>#N/A</v>
      </c>
      <c r="L13" s="151"/>
      <c r="M13" s="152">
        <v>0</v>
      </c>
      <c r="N13" s="69" t="e">
        <f t="shared" si="4"/>
        <v>#N/A</v>
      </c>
      <c r="O13" s="69" t="e">
        <f t="shared" si="5"/>
        <v>#N/A</v>
      </c>
      <c r="P13" s="70" t="e">
        <f t="shared" si="6"/>
        <v>#N/A</v>
      </c>
      <c r="Q13" s="153" t="e">
        <f t="shared" si="7"/>
        <v>#N/A</v>
      </c>
      <c r="R13" s="70">
        <v>0</v>
      </c>
      <c r="S13" s="165" t="e">
        <f t="shared" si="8"/>
        <v>#N/A</v>
      </c>
      <c r="T13" s="163" t="e">
        <f t="shared" si="9"/>
        <v>#N/A</v>
      </c>
      <c r="U13" s="164" t="e">
        <f t="shared" si="10"/>
        <v>#N/A</v>
      </c>
      <c r="V13" s="164" t="e">
        <f t="shared" si="11"/>
        <v>#N/A</v>
      </c>
      <c r="W13" s="144" t="e">
        <f t="shared" si="12"/>
        <v>#N/A</v>
      </c>
      <c r="X13" s="150" t="e">
        <f t="shared" si="13"/>
        <v>#N/A</v>
      </c>
      <c r="Y13" s="150" t="e">
        <f t="shared" si="14"/>
        <v>#N/A</v>
      </c>
      <c r="Z13" s="150" t="e">
        <f t="shared" si="15"/>
        <v>#N/A</v>
      </c>
      <c r="AA13" s="150">
        <f t="shared" si="16"/>
        <v>836</v>
      </c>
      <c r="AB13" s="150" t="e">
        <f t="shared" si="17"/>
        <v>#N/A</v>
      </c>
      <c r="AC13" s="150">
        <f t="shared" si="18"/>
        <v>750</v>
      </c>
      <c r="AD13" s="150" t="e">
        <f t="shared" si="19"/>
        <v>#N/A</v>
      </c>
      <c r="AE13" s="154" t="e">
        <f t="shared" si="20"/>
        <v>#N/A</v>
      </c>
      <c r="AF13" s="70" t="e">
        <f t="shared" si="21"/>
        <v>#N/A</v>
      </c>
      <c r="AG13" s="155" t="e">
        <f t="shared" si="22"/>
        <v>#N/A</v>
      </c>
    </row>
    <row r="14" spans="2:33" ht="14.25" customHeight="1" x14ac:dyDescent="0.25">
      <c r="B14" s="168" t="s">
        <v>154</v>
      </c>
      <c r="C14" s="141" t="s">
        <v>109</v>
      </c>
      <c r="D14" s="103">
        <v>176</v>
      </c>
      <c r="E14" s="104" t="s">
        <v>76</v>
      </c>
      <c r="F14" s="92">
        <v>0</v>
      </c>
      <c r="G14" s="150">
        <f>IF(F14&gt;0,F14,
IF(B14&lt;&gt;"",
IF(C14="CLT",VLOOKUP(B14,'Lista Profissionais'!$C$11:$H$348,3,0),
VLOOKUP(B14,'Lista Profissionais'!$C$11:$H$348,4,0)), 0))</f>
        <v>5600</v>
      </c>
      <c r="H14" s="66">
        <f t="shared" ref="H14:H19" si="23">(G14/$G$2)*D14</f>
        <v>5600</v>
      </c>
      <c r="I14" s="66">
        <f t="shared" si="1"/>
        <v>9872.7555555555555</v>
      </c>
      <c r="J14" s="66">
        <f t="shared" si="2"/>
        <v>12982.673555555555</v>
      </c>
      <c r="K14" s="93">
        <f t="shared" si="3"/>
        <v>56.095202020202017</v>
      </c>
      <c r="L14" s="151"/>
      <c r="M14" s="152">
        <v>0</v>
      </c>
      <c r="N14" s="69">
        <f t="shared" si="4"/>
        <v>0</v>
      </c>
      <c r="O14" s="69">
        <f t="shared" si="5"/>
        <v>17770.96</v>
      </c>
      <c r="P14" s="70">
        <f t="shared" si="6"/>
        <v>17770.96</v>
      </c>
      <c r="Q14" s="153">
        <f t="shared" si="7"/>
        <v>0</v>
      </c>
      <c r="R14" s="70">
        <v>0</v>
      </c>
      <c r="S14" s="165">
        <f t="shared" si="8"/>
        <v>17770.96</v>
      </c>
      <c r="T14" s="163">
        <f t="shared" si="9"/>
        <v>100.97136363636363</v>
      </c>
      <c r="U14" s="164">
        <f t="shared" si="10"/>
        <v>448</v>
      </c>
      <c r="V14" s="164">
        <f t="shared" si="11"/>
        <v>179.20000000000002</v>
      </c>
      <c r="W14" s="144">
        <f t="shared" si="12"/>
        <v>466.66666666666669</v>
      </c>
      <c r="X14" s="150">
        <f t="shared" si="13"/>
        <v>155.55555555555557</v>
      </c>
      <c r="Y14" s="150">
        <f t="shared" si="14"/>
        <v>466.66666666666669</v>
      </c>
      <c r="Z14" s="150">
        <f t="shared" si="15"/>
        <v>466.66666666666669</v>
      </c>
      <c r="AA14" s="150">
        <f t="shared" si="16"/>
        <v>836</v>
      </c>
      <c r="AB14" s="150">
        <f t="shared" si="17"/>
        <v>504</v>
      </c>
      <c r="AC14" s="150">
        <f t="shared" si="18"/>
        <v>750</v>
      </c>
      <c r="AD14" s="150">
        <f t="shared" si="19"/>
        <v>4272.7555555555555</v>
      </c>
      <c r="AE14" s="154">
        <f t="shared" si="20"/>
        <v>3109.9179999999997</v>
      </c>
      <c r="AF14" s="70">
        <f t="shared" si="21"/>
        <v>4788.286444444444</v>
      </c>
      <c r="AG14" s="155">
        <f t="shared" si="22"/>
        <v>0.26944444444444443</v>
      </c>
    </row>
    <row r="15" spans="2:33" ht="14.25" customHeight="1" x14ac:dyDescent="0.25">
      <c r="B15" s="168" t="s">
        <v>151</v>
      </c>
      <c r="C15" s="141" t="s">
        <v>109</v>
      </c>
      <c r="D15" s="103">
        <v>176</v>
      </c>
      <c r="E15" s="104" t="s">
        <v>76</v>
      </c>
      <c r="F15" s="92">
        <v>0</v>
      </c>
      <c r="G15" s="150" t="e">
        <f>IF(F15&gt;0,F15,
IF(B15&lt;&gt;"",
IF(C15="CLT",VLOOKUP(B15,'Lista Profissionais'!$C$11:$H$348,3,0),
VLOOKUP(B15,'Lista Profissionais'!$C$11:$H$348,4,0)), 0))</f>
        <v>#N/A</v>
      </c>
      <c r="H15" s="66" t="e">
        <f t="shared" si="23"/>
        <v>#N/A</v>
      </c>
      <c r="I15" s="66" t="e">
        <f t="shared" si="1"/>
        <v>#N/A</v>
      </c>
      <c r="J15" s="66" t="e">
        <f t="shared" si="2"/>
        <v>#N/A</v>
      </c>
      <c r="K15" s="93" t="e">
        <f t="shared" si="3"/>
        <v>#N/A</v>
      </c>
      <c r="L15" s="151"/>
      <c r="M15" s="152">
        <v>0</v>
      </c>
      <c r="N15" s="69" t="e">
        <f t="shared" si="4"/>
        <v>#N/A</v>
      </c>
      <c r="O15" s="69" t="e">
        <f t="shared" si="5"/>
        <v>#N/A</v>
      </c>
      <c r="P15" s="70" t="e">
        <f t="shared" si="6"/>
        <v>#N/A</v>
      </c>
      <c r="Q15" s="153" t="e">
        <f t="shared" si="7"/>
        <v>#N/A</v>
      </c>
      <c r="R15" s="70">
        <v>0</v>
      </c>
      <c r="S15" s="165" t="e">
        <f t="shared" si="8"/>
        <v>#N/A</v>
      </c>
      <c r="T15" s="163" t="e">
        <f t="shared" si="9"/>
        <v>#N/A</v>
      </c>
      <c r="U15" s="164" t="e">
        <f t="shared" si="10"/>
        <v>#N/A</v>
      </c>
      <c r="V15" s="164" t="e">
        <f t="shared" si="11"/>
        <v>#N/A</v>
      </c>
      <c r="W15" s="144" t="e">
        <f t="shared" si="12"/>
        <v>#N/A</v>
      </c>
      <c r="X15" s="150" t="e">
        <f t="shared" si="13"/>
        <v>#N/A</v>
      </c>
      <c r="Y15" s="150" t="e">
        <f t="shared" si="14"/>
        <v>#N/A</v>
      </c>
      <c r="Z15" s="150" t="e">
        <f t="shared" si="15"/>
        <v>#N/A</v>
      </c>
      <c r="AA15" s="150">
        <f t="shared" si="16"/>
        <v>836</v>
      </c>
      <c r="AB15" s="150" t="e">
        <f t="shared" si="17"/>
        <v>#N/A</v>
      </c>
      <c r="AC15" s="150">
        <f t="shared" si="18"/>
        <v>750</v>
      </c>
      <c r="AD15" s="150" t="e">
        <f t="shared" si="19"/>
        <v>#N/A</v>
      </c>
      <c r="AE15" s="154" t="e">
        <f t="shared" si="20"/>
        <v>#N/A</v>
      </c>
      <c r="AF15" s="70" t="e">
        <f t="shared" si="21"/>
        <v>#N/A</v>
      </c>
      <c r="AG15" s="155" t="e">
        <f t="shared" si="22"/>
        <v>#N/A</v>
      </c>
    </row>
    <row r="16" spans="2:33" ht="14.25" customHeight="1" x14ac:dyDescent="0.25">
      <c r="B16" s="168" t="s">
        <v>146</v>
      </c>
      <c r="C16" s="141" t="s">
        <v>109</v>
      </c>
      <c r="D16" s="103">
        <v>176</v>
      </c>
      <c r="E16" s="104" t="s">
        <v>76</v>
      </c>
      <c r="F16" s="92">
        <v>0</v>
      </c>
      <c r="G16" s="150" t="e">
        <f>IF(F16&gt;0,F16,
IF(B16&lt;&gt;"",
IF(C16="CLT",VLOOKUP(B16,'Lista Profissionais'!$C$11:$H$348,3,0),
VLOOKUP(B16,'Lista Profissionais'!$C$11:$H$348,4,0)), 0))</f>
        <v>#N/A</v>
      </c>
      <c r="H16" s="66" t="e">
        <f t="shared" si="23"/>
        <v>#N/A</v>
      </c>
      <c r="I16" s="66" t="e">
        <f t="shared" si="1"/>
        <v>#N/A</v>
      </c>
      <c r="J16" s="66" t="e">
        <f t="shared" si="2"/>
        <v>#N/A</v>
      </c>
      <c r="K16" s="93" t="e">
        <f t="shared" si="3"/>
        <v>#N/A</v>
      </c>
      <c r="L16" s="151"/>
      <c r="M16" s="152">
        <v>0</v>
      </c>
      <c r="N16" s="69" t="e">
        <f t="shared" si="4"/>
        <v>#N/A</v>
      </c>
      <c r="O16" s="69" t="e">
        <f t="shared" si="5"/>
        <v>#N/A</v>
      </c>
      <c r="P16" s="70" t="e">
        <f t="shared" si="6"/>
        <v>#N/A</v>
      </c>
      <c r="Q16" s="153" t="e">
        <f t="shared" si="7"/>
        <v>#N/A</v>
      </c>
      <c r="R16" s="70">
        <v>0</v>
      </c>
      <c r="S16" s="165" t="e">
        <f t="shared" si="8"/>
        <v>#N/A</v>
      </c>
      <c r="T16" s="163" t="e">
        <f t="shared" si="9"/>
        <v>#N/A</v>
      </c>
      <c r="U16" s="164" t="e">
        <f t="shared" si="10"/>
        <v>#N/A</v>
      </c>
      <c r="V16" s="164" t="e">
        <f t="shared" si="11"/>
        <v>#N/A</v>
      </c>
      <c r="W16" s="144" t="e">
        <f t="shared" si="12"/>
        <v>#N/A</v>
      </c>
      <c r="X16" s="150" t="e">
        <f t="shared" si="13"/>
        <v>#N/A</v>
      </c>
      <c r="Y16" s="150" t="e">
        <f t="shared" si="14"/>
        <v>#N/A</v>
      </c>
      <c r="Z16" s="150" t="e">
        <f t="shared" si="15"/>
        <v>#N/A</v>
      </c>
      <c r="AA16" s="150">
        <f t="shared" si="16"/>
        <v>836</v>
      </c>
      <c r="AB16" s="150" t="e">
        <f t="shared" si="17"/>
        <v>#N/A</v>
      </c>
      <c r="AC16" s="150">
        <f t="shared" si="18"/>
        <v>750</v>
      </c>
      <c r="AD16" s="150" t="e">
        <f t="shared" si="19"/>
        <v>#N/A</v>
      </c>
      <c r="AE16" s="154" t="e">
        <f t="shared" si="20"/>
        <v>#N/A</v>
      </c>
      <c r="AF16" s="70" t="e">
        <f t="shared" si="21"/>
        <v>#N/A</v>
      </c>
      <c r="AG16" s="155" t="e">
        <f t="shared" si="22"/>
        <v>#N/A</v>
      </c>
    </row>
    <row r="17" spans="2:33" ht="14.25" customHeight="1" x14ac:dyDescent="0.25">
      <c r="B17" s="168" t="s">
        <v>145</v>
      </c>
      <c r="C17" s="141" t="s">
        <v>109</v>
      </c>
      <c r="D17" s="103">
        <v>176</v>
      </c>
      <c r="E17" s="104" t="s">
        <v>76</v>
      </c>
      <c r="F17" s="92">
        <v>0</v>
      </c>
      <c r="G17" s="150" t="e">
        <f>IF(F17&gt;0,F17,
IF(B17&lt;&gt;"",
IF(C17="CLT",VLOOKUP(B17,'Lista Profissionais'!$C$11:$H$348,3,0),
VLOOKUP(B17,'Lista Profissionais'!$C$11:$H$348,4,0)), 0))</f>
        <v>#N/A</v>
      </c>
      <c r="H17" s="66" t="e">
        <f t="shared" si="23"/>
        <v>#N/A</v>
      </c>
      <c r="I17" s="66" t="e">
        <f t="shared" si="1"/>
        <v>#N/A</v>
      </c>
      <c r="J17" s="66" t="e">
        <f t="shared" si="2"/>
        <v>#N/A</v>
      </c>
      <c r="K17" s="93" t="e">
        <f t="shared" si="3"/>
        <v>#N/A</v>
      </c>
      <c r="L17" s="151"/>
      <c r="M17" s="152">
        <v>0</v>
      </c>
      <c r="N17" s="69" t="e">
        <f t="shared" si="4"/>
        <v>#N/A</v>
      </c>
      <c r="O17" s="69" t="e">
        <f t="shared" si="5"/>
        <v>#N/A</v>
      </c>
      <c r="P17" s="70" t="e">
        <f t="shared" si="6"/>
        <v>#N/A</v>
      </c>
      <c r="Q17" s="153" t="e">
        <f t="shared" si="7"/>
        <v>#N/A</v>
      </c>
      <c r="R17" s="70">
        <v>0</v>
      </c>
      <c r="S17" s="165" t="e">
        <f t="shared" si="8"/>
        <v>#N/A</v>
      </c>
      <c r="T17" s="163" t="e">
        <f t="shared" si="9"/>
        <v>#N/A</v>
      </c>
      <c r="U17" s="164" t="e">
        <f t="shared" si="10"/>
        <v>#N/A</v>
      </c>
      <c r="V17" s="164" t="e">
        <f t="shared" si="11"/>
        <v>#N/A</v>
      </c>
      <c r="W17" s="144" t="e">
        <f t="shared" si="12"/>
        <v>#N/A</v>
      </c>
      <c r="X17" s="150" t="e">
        <f t="shared" si="13"/>
        <v>#N/A</v>
      </c>
      <c r="Y17" s="150" t="e">
        <f t="shared" si="14"/>
        <v>#N/A</v>
      </c>
      <c r="Z17" s="150" t="e">
        <f t="shared" si="15"/>
        <v>#N/A</v>
      </c>
      <c r="AA17" s="150">
        <f t="shared" si="16"/>
        <v>836</v>
      </c>
      <c r="AB17" s="150" t="e">
        <f t="shared" si="17"/>
        <v>#N/A</v>
      </c>
      <c r="AC17" s="150">
        <f t="shared" si="18"/>
        <v>750</v>
      </c>
      <c r="AD17" s="150" t="e">
        <f t="shared" si="19"/>
        <v>#N/A</v>
      </c>
      <c r="AE17" s="154" t="e">
        <f t="shared" si="20"/>
        <v>#N/A</v>
      </c>
      <c r="AF17" s="70" t="e">
        <f t="shared" si="21"/>
        <v>#N/A</v>
      </c>
      <c r="AG17" s="155" t="e">
        <f t="shared" si="22"/>
        <v>#N/A</v>
      </c>
    </row>
    <row r="18" spans="2:33" ht="14.25" customHeight="1" x14ac:dyDescent="0.25">
      <c r="B18" s="168" t="s">
        <v>151</v>
      </c>
      <c r="C18" s="141" t="s">
        <v>109</v>
      </c>
      <c r="D18" s="103">
        <v>176</v>
      </c>
      <c r="E18" s="104" t="s">
        <v>76</v>
      </c>
      <c r="F18" s="92">
        <v>0</v>
      </c>
      <c r="G18" s="150" t="e">
        <f>IF(F18&gt;0,F18,
IF(B18&lt;&gt;"",
IF(C18="CLT",VLOOKUP(B18,'Lista Profissionais'!$C$11:$H$348,3,0),
VLOOKUP(B18,'Lista Profissionais'!$C$11:$H$348,4,0)), 0))</f>
        <v>#N/A</v>
      </c>
      <c r="H18" s="66" t="e">
        <f t="shared" si="23"/>
        <v>#N/A</v>
      </c>
      <c r="I18" s="66" t="e">
        <f t="shared" si="1"/>
        <v>#N/A</v>
      </c>
      <c r="J18" s="66" t="e">
        <f t="shared" si="2"/>
        <v>#N/A</v>
      </c>
      <c r="K18" s="93" t="e">
        <f t="shared" si="3"/>
        <v>#N/A</v>
      </c>
      <c r="L18" s="151"/>
      <c r="M18" s="152">
        <v>0</v>
      </c>
      <c r="N18" s="69" t="e">
        <f t="shared" si="4"/>
        <v>#N/A</v>
      </c>
      <c r="O18" s="69" t="e">
        <f t="shared" si="5"/>
        <v>#N/A</v>
      </c>
      <c r="P18" s="70" t="e">
        <f t="shared" si="6"/>
        <v>#N/A</v>
      </c>
      <c r="Q18" s="153" t="e">
        <f t="shared" si="7"/>
        <v>#N/A</v>
      </c>
      <c r="R18" s="70">
        <v>0</v>
      </c>
      <c r="S18" s="165" t="e">
        <f t="shared" si="8"/>
        <v>#N/A</v>
      </c>
      <c r="T18" s="163" t="e">
        <f t="shared" si="9"/>
        <v>#N/A</v>
      </c>
      <c r="U18" s="164" t="e">
        <f t="shared" si="10"/>
        <v>#N/A</v>
      </c>
      <c r="V18" s="164" t="e">
        <f t="shared" si="11"/>
        <v>#N/A</v>
      </c>
      <c r="W18" s="144" t="e">
        <f t="shared" si="12"/>
        <v>#N/A</v>
      </c>
      <c r="X18" s="150" t="e">
        <f t="shared" si="13"/>
        <v>#N/A</v>
      </c>
      <c r="Y18" s="150" t="e">
        <f t="shared" si="14"/>
        <v>#N/A</v>
      </c>
      <c r="Z18" s="150" t="e">
        <f t="shared" si="15"/>
        <v>#N/A</v>
      </c>
      <c r="AA18" s="150">
        <f t="shared" si="16"/>
        <v>836</v>
      </c>
      <c r="AB18" s="150" t="e">
        <f t="shared" si="17"/>
        <v>#N/A</v>
      </c>
      <c r="AC18" s="150">
        <f t="shared" si="18"/>
        <v>750</v>
      </c>
      <c r="AD18" s="150" t="e">
        <f t="shared" si="19"/>
        <v>#N/A</v>
      </c>
      <c r="AE18" s="154" t="e">
        <f t="shared" si="20"/>
        <v>#N/A</v>
      </c>
      <c r="AF18" s="70" t="e">
        <f t="shared" si="21"/>
        <v>#N/A</v>
      </c>
      <c r="AG18" s="155" t="e">
        <f t="shared" si="22"/>
        <v>#N/A</v>
      </c>
    </row>
    <row r="19" spans="2:33" ht="14.25" customHeight="1" x14ac:dyDescent="0.25">
      <c r="B19" s="168" t="s">
        <v>151</v>
      </c>
      <c r="C19" s="141" t="s">
        <v>109</v>
      </c>
      <c r="D19" s="103">
        <v>176</v>
      </c>
      <c r="E19" s="104" t="s">
        <v>76</v>
      </c>
      <c r="F19" s="92">
        <v>0</v>
      </c>
      <c r="G19" s="150" t="e">
        <f>IF(F19&gt;0,F19,
IF(B19&lt;&gt;"",
IF(C19="CLT",VLOOKUP(B19,'Lista Profissionais'!$C$11:$H$348,3,0),
VLOOKUP(B19,'Lista Profissionais'!$C$11:$H$348,4,0)), 0))</f>
        <v>#N/A</v>
      </c>
      <c r="H19" s="66" t="e">
        <f t="shared" si="23"/>
        <v>#N/A</v>
      </c>
      <c r="I19" s="66" t="e">
        <f t="shared" si="1"/>
        <v>#N/A</v>
      </c>
      <c r="J19" s="66" t="e">
        <f t="shared" si="2"/>
        <v>#N/A</v>
      </c>
      <c r="K19" s="93" t="e">
        <f t="shared" si="3"/>
        <v>#N/A</v>
      </c>
      <c r="L19" s="151"/>
      <c r="M19" s="152">
        <v>0</v>
      </c>
      <c r="N19" s="69" t="e">
        <f t="shared" si="4"/>
        <v>#N/A</v>
      </c>
      <c r="O19" s="69" t="e">
        <f t="shared" si="5"/>
        <v>#N/A</v>
      </c>
      <c r="P19" s="70" t="e">
        <f t="shared" si="6"/>
        <v>#N/A</v>
      </c>
      <c r="Q19" s="153" t="e">
        <f t="shared" si="7"/>
        <v>#N/A</v>
      </c>
      <c r="R19" s="70">
        <v>0</v>
      </c>
      <c r="S19" s="165" t="e">
        <f t="shared" si="8"/>
        <v>#N/A</v>
      </c>
      <c r="T19" s="163" t="e">
        <f t="shared" si="9"/>
        <v>#N/A</v>
      </c>
      <c r="U19" s="164" t="e">
        <f t="shared" si="10"/>
        <v>#N/A</v>
      </c>
      <c r="V19" s="164" t="e">
        <f t="shared" si="11"/>
        <v>#N/A</v>
      </c>
      <c r="W19" s="144" t="e">
        <f t="shared" si="12"/>
        <v>#N/A</v>
      </c>
      <c r="X19" s="150" t="e">
        <f t="shared" si="13"/>
        <v>#N/A</v>
      </c>
      <c r="Y19" s="150" t="e">
        <f t="shared" si="14"/>
        <v>#N/A</v>
      </c>
      <c r="Z19" s="150" t="e">
        <f t="shared" si="15"/>
        <v>#N/A</v>
      </c>
      <c r="AA19" s="150">
        <f t="shared" si="16"/>
        <v>836</v>
      </c>
      <c r="AB19" s="150" t="e">
        <f t="shared" si="17"/>
        <v>#N/A</v>
      </c>
      <c r="AC19" s="150">
        <f t="shared" si="18"/>
        <v>750</v>
      </c>
      <c r="AD19" s="150" t="e">
        <f t="shared" si="19"/>
        <v>#N/A</v>
      </c>
      <c r="AE19" s="154" t="e">
        <f t="shared" si="20"/>
        <v>#N/A</v>
      </c>
      <c r="AF19" s="70" t="e">
        <f t="shared" si="21"/>
        <v>#N/A</v>
      </c>
      <c r="AG19" s="155" t="e">
        <f t="shared" si="22"/>
        <v>#N/A</v>
      </c>
    </row>
    <row r="20" spans="2:33" ht="14.25" customHeight="1" x14ac:dyDescent="0.25">
      <c r="B20" s="167" t="s">
        <v>154</v>
      </c>
      <c r="C20" s="141" t="s">
        <v>109</v>
      </c>
      <c r="D20" s="103">
        <v>176</v>
      </c>
      <c r="E20" s="104" t="s">
        <v>76</v>
      </c>
      <c r="F20" s="92">
        <v>0</v>
      </c>
      <c r="G20" s="150">
        <f>IF(F20&gt;0,F20,
IF(B20&lt;&gt;"",
IF(C20="CLT",VLOOKUP(B20,'Lista Profissionais'!$C$11:$H$348,3,0),
VLOOKUP(B20,'Lista Profissionais'!$C$11:$H$348,4,0)), 0))</f>
        <v>5600</v>
      </c>
      <c r="H20" s="66">
        <f t="shared" ref="H20:H83" si="24">(G20/$G$2)*D20</f>
        <v>5600</v>
      </c>
      <c r="I20" s="66">
        <f t="shared" si="1"/>
        <v>9872.7555555555555</v>
      </c>
      <c r="J20" s="66">
        <f t="shared" si="2"/>
        <v>12982.673555555555</v>
      </c>
      <c r="K20" s="93">
        <f t="shared" si="3"/>
        <v>56.095202020202017</v>
      </c>
      <c r="L20" s="151"/>
      <c r="M20" s="152">
        <v>0</v>
      </c>
      <c r="N20" s="69">
        <f t="shared" si="4"/>
        <v>0</v>
      </c>
      <c r="O20" s="69">
        <f t="shared" si="5"/>
        <v>17770.96</v>
      </c>
      <c r="P20" s="70">
        <f t="shared" si="6"/>
        <v>17770.96</v>
      </c>
      <c r="Q20" s="153">
        <f t="shared" si="7"/>
        <v>0</v>
      </c>
      <c r="R20" s="70">
        <v>0</v>
      </c>
      <c r="S20" s="165">
        <f t="shared" si="8"/>
        <v>17770.96</v>
      </c>
      <c r="T20" s="163">
        <f t="shared" si="9"/>
        <v>100.97136363636363</v>
      </c>
      <c r="U20" s="164">
        <f t="shared" si="10"/>
        <v>448</v>
      </c>
      <c r="V20" s="164">
        <f t="shared" si="11"/>
        <v>179.20000000000002</v>
      </c>
      <c r="W20" s="144">
        <f t="shared" si="12"/>
        <v>466.66666666666669</v>
      </c>
      <c r="X20" s="150">
        <f t="shared" si="13"/>
        <v>155.55555555555557</v>
      </c>
      <c r="Y20" s="150">
        <f t="shared" si="14"/>
        <v>466.66666666666669</v>
      </c>
      <c r="Z20" s="150">
        <f t="shared" si="15"/>
        <v>466.66666666666669</v>
      </c>
      <c r="AA20" s="150">
        <f t="shared" si="16"/>
        <v>836</v>
      </c>
      <c r="AB20" s="150">
        <f t="shared" si="17"/>
        <v>504</v>
      </c>
      <c r="AC20" s="150">
        <f t="shared" si="18"/>
        <v>750</v>
      </c>
      <c r="AD20" s="150">
        <f t="shared" si="19"/>
        <v>4272.7555555555555</v>
      </c>
      <c r="AE20" s="154">
        <f t="shared" si="20"/>
        <v>3109.9179999999997</v>
      </c>
      <c r="AF20" s="70">
        <f t="shared" si="21"/>
        <v>4788.286444444444</v>
      </c>
      <c r="AG20" s="155">
        <f t="shared" si="22"/>
        <v>0.26944444444444443</v>
      </c>
    </row>
    <row r="21" spans="2:33" ht="14.25" customHeight="1" x14ac:dyDescent="0.25">
      <c r="B21" s="168" t="s">
        <v>146</v>
      </c>
      <c r="C21" s="141" t="s">
        <v>109</v>
      </c>
      <c r="D21" s="103">
        <v>176</v>
      </c>
      <c r="E21" s="104" t="s">
        <v>76</v>
      </c>
      <c r="F21" s="92">
        <v>0</v>
      </c>
      <c r="G21" s="150" t="e">
        <f>IF(F21&gt;0,F21,
IF(B21&lt;&gt;"",
IF(C21="CLT",VLOOKUP(B21,'Lista Profissionais'!$C$11:$H$348,3,0),
VLOOKUP(B21,'Lista Profissionais'!$C$11:$H$348,4,0)), 0))</f>
        <v>#N/A</v>
      </c>
      <c r="H21" s="66" t="e">
        <f t="shared" si="24"/>
        <v>#N/A</v>
      </c>
      <c r="I21" s="66" t="e">
        <f t="shared" si="1"/>
        <v>#N/A</v>
      </c>
      <c r="J21" s="66" t="e">
        <f t="shared" si="2"/>
        <v>#N/A</v>
      </c>
      <c r="K21" s="93" t="e">
        <f t="shared" si="3"/>
        <v>#N/A</v>
      </c>
      <c r="L21" s="151"/>
      <c r="M21" s="152">
        <v>0</v>
      </c>
      <c r="N21" s="69" t="e">
        <f t="shared" si="4"/>
        <v>#N/A</v>
      </c>
      <c r="O21" s="69" t="e">
        <f t="shared" si="5"/>
        <v>#N/A</v>
      </c>
      <c r="P21" s="70" t="e">
        <f t="shared" si="6"/>
        <v>#N/A</v>
      </c>
      <c r="Q21" s="153" t="e">
        <f t="shared" si="7"/>
        <v>#N/A</v>
      </c>
      <c r="R21" s="70">
        <v>0</v>
      </c>
      <c r="S21" s="165" t="e">
        <f t="shared" si="8"/>
        <v>#N/A</v>
      </c>
      <c r="T21" s="163" t="e">
        <f t="shared" si="9"/>
        <v>#N/A</v>
      </c>
      <c r="U21" s="164" t="e">
        <f t="shared" si="10"/>
        <v>#N/A</v>
      </c>
      <c r="V21" s="164" t="e">
        <f t="shared" si="11"/>
        <v>#N/A</v>
      </c>
      <c r="W21" s="144" t="e">
        <f t="shared" si="12"/>
        <v>#N/A</v>
      </c>
      <c r="X21" s="150" t="e">
        <f t="shared" si="13"/>
        <v>#N/A</v>
      </c>
      <c r="Y21" s="150" t="e">
        <f t="shared" si="14"/>
        <v>#N/A</v>
      </c>
      <c r="Z21" s="150" t="e">
        <f t="shared" si="15"/>
        <v>#N/A</v>
      </c>
      <c r="AA21" s="150">
        <f t="shared" si="16"/>
        <v>836</v>
      </c>
      <c r="AB21" s="150" t="e">
        <f t="shared" si="17"/>
        <v>#N/A</v>
      </c>
      <c r="AC21" s="150">
        <f t="shared" si="18"/>
        <v>750</v>
      </c>
      <c r="AD21" s="150" t="e">
        <f t="shared" si="19"/>
        <v>#N/A</v>
      </c>
      <c r="AE21" s="154" t="e">
        <f t="shared" si="20"/>
        <v>#N/A</v>
      </c>
      <c r="AF21" s="70" t="e">
        <f t="shared" si="21"/>
        <v>#N/A</v>
      </c>
      <c r="AG21" s="155" t="e">
        <f t="shared" si="22"/>
        <v>#N/A</v>
      </c>
    </row>
    <row r="22" spans="2:33" ht="14.25" customHeight="1" x14ac:dyDescent="0.25">
      <c r="B22" s="168" t="s">
        <v>150</v>
      </c>
      <c r="C22" s="141" t="s">
        <v>109</v>
      </c>
      <c r="D22" s="103">
        <v>176</v>
      </c>
      <c r="E22" s="104" t="s">
        <v>76</v>
      </c>
      <c r="F22" s="92">
        <v>0</v>
      </c>
      <c r="G22" s="150" t="e">
        <f>IF(F22&gt;0,F22,
IF(B22&lt;&gt;"",
IF(C22="CLT",VLOOKUP(B22,'Lista Profissionais'!$C$11:$H$348,3,0),
VLOOKUP(B22,'Lista Profissionais'!$C$11:$H$348,4,0)), 0))</f>
        <v>#N/A</v>
      </c>
      <c r="H22" s="66" t="e">
        <f t="shared" si="24"/>
        <v>#N/A</v>
      </c>
      <c r="I22" s="66" t="e">
        <f t="shared" si="1"/>
        <v>#N/A</v>
      </c>
      <c r="J22" s="66" t="e">
        <f t="shared" si="2"/>
        <v>#N/A</v>
      </c>
      <c r="K22" s="93" t="e">
        <f t="shared" si="3"/>
        <v>#N/A</v>
      </c>
      <c r="L22" s="151"/>
      <c r="M22" s="152">
        <v>0</v>
      </c>
      <c r="N22" s="69" t="e">
        <f t="shared" si="4"/>
        <v>#N/A</v>
      </c>
      <c r="O22" s="69" t="e">
        <f t="shared" si="5"/>
        <v>#N/A</v>
      </c>
      <c r="P22" s="70" t="e">
        <f t="shared" si="6"/>
        <v>#N/A</v>
      </c>
      <c r="Q22" s="153" t="e">
        <f t="shared" si="7"/>
        <v>#N/A</v>
      </c>
      <c r="R22" s="70">
        <v>0</v>
      </c>
      <c r="S22" s="165" t="e">
        <f t="shared" si="8"/>
        <v>#N/A</v>
      </c>
      <c r="T22" s="163" t="e">
        <f t="shared" si="9"/>
        <v>#N/A</v>
      </c>
      <c r="U22" s="164" t="e">
        <f t="shared" si="10"/>
        <v>#N/A</v>
      </c>
      <c r="V22" s="164" t="e">
        <f t="shared" si="11"/>
        <v>#N/A</v>
      </c>
      <c r="W22" s="144" t="e">
        <f t="shared" si="12"/>
        <v>#N/A</v>
      </c>
      <c r="X22" s="150" t="e">
        <f t="shared" si="13"/>
        <v>#N/A</v>
      </c>
      <c r="Y22" s="150" t="e">
        <f t="shared" si="14"/>
        <v>#N/A</v>
      </c>
      <c r="Z22" s="150" t="e">
        <f t="shared" si="15"/>
        <v>#N/A</v>
      </c>
      <c r="AA22" s="150">
        <f t="shared" si="16"/>
        <v>836</v>
      </c>
      <c r="AB22" s="150" t="e">
        <f t="shared" si="17"/>
        <v>#N/A</v>
      </c>
      <c r="AC22" s="150">
        <f t="shared" si="18"/>
        <v>750</v>
      </c>
      <c r="AD22" s="150" t="e">
        <f t="shared" si="19"/>
        <v>#N/A</v>
      </c>
      <c r="AE22" s="154" t="e">
        <f t="shared" si="20"/>
        <v>#N/A</v>
      </c>
      <c r="AF22" s="70" t="e">
        <f t="shared" si="21"/>
        <v>#N/A</v>
      </c>
      <c r="AG22" s="155" t="e">
        <f t="shared" si="22"/>
        <v>#N/A</v>
      </c>
    </row>
    <row r="23" spans="2:33" ht="14.25" customHeight="1" x14ac:dyDescent="0.25">
      <c r="B23" s="168" t="s">
        <v>154</v>
      </c>
      <c r="C23" s="141" t="s">
        <v>109</v>
      </c>
      <c r="D23" s="103">
        <v>176</v>
      </c>
      <c r="E23" s="104" t="s">
        <v>76</v>
      </c>
      <c r="F23" s="92">
        <v>0</v>
      </c>
      <c r="G23" s="150">
        <f>IF(F23&gt;0,F23,
IF(B23&lt;&gt;"",
IF(C23="CLT",VLOOKUP(B23,'Lista Profissionais'!$C$11:$H$348,3,0),
VLOOKUP(B23,'Lista Profissionais'!$C$11:$H$348,4,0)), 0))</f>
        <v>5600</v>
      </c>
      <c r="H23" s="66">
        <f t="shared" si="24"/>
        <v>5600</v>
      </c>
      <c r="I23" s="66">
        <f t="shared" si="1"/>
        <v>9872.7555555555555</v>
      </c>
      <c r="J23" s="66">
        <f t="shared" si="2"/>
        <v>12982.673555555555</v>
      </c>
      <c r="K23" s="93">
        <f t="shared" si="3"/>
        <v>56.095202020202017</v>
      </c>
      <c r="L23" s="151"/>
      <c r="M23" s="152">
        <v>0</v>
      </c>
      <c r="N23" s="69">
        <f t="shared" si="4"/>
        <v>0</v>
      </c>
      <c r="O23" s="69">
        <f t="shared" si="5"/>
        <v>17770.96</v>
      </c>
      <c r="P23" s="70">
        <f t="shared" si="6"/>
        <v>17770.96</v>
      </c>
      <c r="Q23" s="153">
        <f t="shared" si="7"/>
        <v>0</v>
      </c>
      <c r="R23" s="70">
        <v>0</v>
      </c>
      <c r="S23" s="165">
        <f t="shared" si="8"/>
        <v>17770.96</v>
      </c>
      <c r="T23" s="163">
        <f t="shared" si="9"/>
        <v>100.97136363636363</v>
      </c>
      <c r="U23" s="164">
        <f t="shared" si="10"/>
        <v>448</v>
      </c>
      <c r="V23" s="164">
        <f t="shared" si="11"/>
        <v>179.20000000000002</v>
      </c>
      <c r="W23" s="144">
        <f t="shared" si="12"/>
        <v>466.66666666666669</v>
      </c>
      <c r="X23" s="150">
        <f t="shared" si="13"/>
        <v>155.55555555555557</v>
      </c>
      <c r="Y23" s="150">
        <f t="shared" si="14"/>
        <v>466.66666666666669</v>
      </c>
      <c r="Z23" s="150">
        <f t="shared" si="15"/>
        <v>466.66666666666669</v>
      </c>
      <c r="AA23" s="150">
        <f t="shared" si="16"/>
        <v>836</v>
      </c>
      <c r="AB23" s="150">
        <f t="shared" si="17"/>
        <v>504</v>
      </c>
      <c r="AC23" s="150">
        <f t="shared" si="18"/>
        <v>750</v>
      </c>
      <c r="AD23" s="150">
        <f t="shared" si="19"/>
        <v>4272.7555555555555</v>
      </c>
      <c r="AE23" s="154">
        <f t="shared" si="20"/>
        <v>3109.9179999999997</v>
      </c>
      <c r="AF23" s="70">
        <f t="shared" si="21"/>
        <v>4788.286444444444</v>
      </c>
      <c r="AG23" s="155">
        <f t="shared" si="22"/>
        <v>0.26944444444444443</v>
      </c>
    </row>
    <row r="24" spans="2:33" ht="14.25" customHeight="1" x14ac:dyDescent="0.25">
      <c r="B24" s="168" t="s">
        <v>146</v>
      </c>
      <c r="C24" s="141" t="s">
        <v>109</v>
      </c>
      <c r="D24" s="103">
        <v>176</v>
      </c>
      <c r="E24" s="104" t="s">
        <v>76</v>
      </c>
      <c r="F24" s="92">
        <v>0</v>
      </c>
      <c r="G24" s="150" t="e">
        <f>IF(F24&gt;0,F24,
IF(B24&lt;&gt;"",
IF(C24="CLT",VLOOKUP(B24,'Lista Profissionais'!$C$11:$H$348,3,0),
VLOOKUP(B24,'Lista Profissionais'!$C$11:$H$348,4,0)), 0))</f>
        <v>#N/A</v>
      </c>
      <c r="H24" s="66" t="e">
        <f t="shared" si="24"/>
        <v>#N/A</v>
      </c>
      <c r="I24" s="66" t="e">
        <f t="shared" si="1"/>
        <v>#N/A</v>
      </c>
      <c r="J24" s="66" t="e">
        <f t="shared" si="2"/>
        <v>#N/A</v>
      </c>
      <c r="K24" s="93" t="e">
        <f t="shared" si="3"/>
        <v>#N/A</v>
      </c>
      <c r="L24" s="151"/>
      <c r="M24" s="152">
        <v>0</v>
      </c>
      <c r="N24" s="69" t="e">
        <f t="shared" si="4"/>
        <v>#N/A</v>
      </c>
      <c r="O24" s="69" t="e">
        <f t="shared" si="5"/>
        <v>#N/A</v>
      </c>
      <c r="P24" s="70" t="e">
        <f t="shared" si="6"/>
        <v>#N/A</v>
      </c>
      <c r="Q24" s="153" t="e">
        <f t="shared" si="7"/>
        <v>#N/A</v>
      </c>
      <c r="R24" s="70">
        <v>0</v>
      </c>
      <c r="S24" s="165" t="e">
        <f t="shared" si="8"/>
        <v>#N/A</v>
      </c>
      <c r="T24" s="163" t="e">
        <f t="shared" si="9"/>
        <v>#N/A</v>
      </c>
      <c r="U24" s="164" t="e">
        <f t="shared" si="10"/>
        <v>#N/A</v>
      </c>
      <c r="V24" s="164" t="e">
        <f t="shared" si="11"/>
        <v>#N/A</v>
      </c>
      <c r="W24" s="144" t="e">
        <f t="shared" si="12"/>
        <v>#N/A</v>
      </c>
      <c r="X24" s="150" t="e">
        <f t="shared" si="13"/>
        <v>#N/A</v>
      </c>
      <c r="Y24" s="150" t="e">
        <f t="shared" si="14"/>
        <v>#N/A</v>
      </c>
      <c r="Z24" s="150" t="e">
        <f t="shared" si="15"/>
        <v>#N/A</v>
      </c>
      <c r="AA24" s="150">
        <f t="shared" si="16"/>
        <v>836</v>
      </c>
      <c r="AB24" s="150" t="e">
        <f t="shared" si="17"/>
        <v>#N/A</v>
      </c>
      <c r="AC24" s="150">
        <f t="shared" si="18"/>
        <v>750</v>
      </c>
      <c r="AD24" s="150" t="e">
        <f t="shared" si="19"/>
        <v>#N/A</v>
      </c>
      <c r="AE24" s="154" t="e">
        <f t="shared" si="20"/>
        <v>#N/A</v>
      </c>
      <c r="AF24" s="70" t="e">
        <f t="shared" si="21"/>
        <v>#N/A</v>
      </c>
      <c r="AG24" s="155" t="e">
        <f t="shared" si="22"/>
        <v>#N/A</v>
      </c>
    </row>
    <row r="25" spans="2:33" ht="14.25" customHeight="1" x14ac:dyDescent="0.25">
      <c r="B25" s="168" t="s">
        <v>154</v>
      </c>
      <c r="C25" s="141" t="s">
        <v>109</v>
      </c>
      <c r="D25" s="103">
        <v>176</v>
      </c>
      <c r="E25" s="104" t="s">
        <v>76</v>
      </c>
      <c r="F25" s="92">
        <v>0</v>
      </c>
      <c r="G25" s="150">
        <f>IF(F25&gt;0,F25,
IF(B25&lt;&gt;"",
IF(C25="CLT",VLOOKUP(B25,'Lista Profissionais'!$C$11:$H$348,3,0),
VLOOKUP(B25,'Lista Profissionais'!$C$11:$H$348,4,0)), 0))</f>
        <v>5600</v>
      </c>
      <c r="H25" s="66">
        <f t="shared" si="24"/>
        <v>5600</v>
      </c>
      <c r="I25" s="66">
        <f t="shared" si="1"/>
        <v>9872.7555555555555</v>
      </c>
      <c r="J25" s="66">
        <f t="shared" si="2"/>
        <v>12982.673555555555</v>
      </c>
      <c r="K25" s="93">
        <f t="shared" si="3"/>
        <v>56.095202020202017</v>
      </c>
      <c r="L25" s="151"/>
      <c r="M25" s="152">
        <v>0</v>
      </c>
      <c r="N25" s="69">
        <f t="shared" si="4"/>
        <v>0</v>
      </c>
      <c r="O25" s="69">
        <f t="shared" si="5"/>
        <v>17770.96</v>
      </c>
      <c r="P25" s="70">
        <f t="shared" si="6"/>
        <v>17770.96</v>
      </c>
      <c r="Q25" s="153">
        <f t="shared" si="7"/>
        <v>0</v>
      </c>
      <c r="R25" s="70">
        <v>0</v>
      </c>
      <c r="S25" s="165">
        <f t="shared" si="8"/>
        <v>17770.96</v>
      </c>
      <c r="T25" s="163">
        <f t="shared" si="9"/>
        <v>100.97136363636363</v>
      </c>
      <c r="U25" s="164">
        <f t="shared" si="10"/>
        <v>448</v>
      </c>
      <c r="V25" s="164">
        <f t="shared" si="11"/>
        <v>179.20000000000002</v>
      </c>
      <c r="W25" s="144">
        <f t="shared" si="12"/>
        <v>466.66666666666669</v>
      </c>
      <c r="X25" s="150">
        <f t="shared" si="13"/>
        <v>155.55555555555557</v>
      </c>
      <c r="Y25" s="150">
        <f t="shared" si="14"/>
        <v>466.66666666666669</v>
      </c>
      <c r="Z25" s="150">
        <f t="shared" si="15"/>
        <v>466.66666666666669</v>
      </c>
      <c r="AA25" s="150">
        <f t="shared" si="16"/>
        <v>836</v>
      </c>
      <c r="AB25" s="150">
        <f t="shared" si="17"/>
        <v>504</v>
      </c>
      <c r="AC25" s="150">
        <f t="shared" si="18"/>
        <v>750</v>
      </c>
      <c r="AD25" s="150">
        <f t="shared" si="19"/>
        <v>4272.7555555555555</v>
      </c>
      <c r="AE25" s="154">
        <f t="shared" si="20"/>
        <v>3109.9179999999997</v>
      </c>
      <c r="AF25" s="70">
        <f t="shared" si="21"/>
        <v>4788.286444444444</v>
      </c>
      <c r="AG25" s="155">
        <f t="shared" si="22"/>
        <v>0.26944444444444443</v>
      </c>
    </row>
    <row r="26" spans="2:33" ht="14.25" customHeight="1" x14ac:dyDescent="0.25">
      <c r="B26" s="168"/>
      <c r="C26" s="141"/>
      <c r="D26" s="103"/>
      <c r="E26" s="104"/>
      <c r="F26" s="92">
        <v>0</v>
      </c>
      <c r="G26" s="150">
        <f>IF(F26&gt;0,F26,
IF(B26&lt;&gt;"",
IF(C26="CLT",VLOOKUP(B26,'Lista Profissionais'!$C$11:$H$348,3,0),
VLOOKUP(B26,'Lista Profissionais'!$C$11:$H$348,4,0)), 0))</f>
        <v>0</v>
      </c>
      <c r="H26" s="66">
        <f t="shared" si="24"/>
        <v>0</v>
      </c>
      <c r="I26" s="66">
        <f t="shared" si="1"/>
        <v>0</v>
      </c>
      <c r="J26" s="66">
        <f t="shared" si="2"/>
        <v>0</v>
      </c>
      <c r="K26" s="93">
        <f t="shared" si="3"/>
        <v>0</v>
      </c>
      <c r="L26" s="151"/>
      <c r="M26" s="152">
        <v>0</v>
      </c>
      <c r="N26" s="69">
        <f t="shared" si="4"/>
        <v>0</v>
      </c>
      <c r="O26" s="69">
        <f t="shared" si="5"/>
        <v>0</v>
      </c>
      <c r="P26" s="70">
        <f t="shared" si="6"/>
        <v>0</v>
      </c>
      <c r="Q26" s="153">
        <f t="shared" si="7"/>
        <v>0</v>
      </c>
      <c r="R26" s="70">
        <v>0</v>
      </c>
      <c r="S26" s="165">
        <f t="shared" si="8"/>
        <v>0</v>
      </c>
      <c r="T26" s="163">
        <f t="shared" si="9"/>
        <v>0</v>
      </c>
      <c r="U26" s="164">
        <f t="shared" si="10"/>
        <v>0</v>
      </c>
      <c r="V26" s="164">
        <f t="shared" si="11"/>
        <v>0</v>
      </c>
      <c r="W26" s="144">
        <f t="shared" si="12"/>
        <v>0</v>
      </c>
      <c r="X26" s="150">
        <f t="shared" si="13"/>
        <v>0</v>
      </c>
      <c r="Y26" s="150">
        <f t="shared" si="14"/>
        <v>0</v>
      </c>
      <c r="Z26" s="150">
        <f t="shared" si="15"/>
        <v>0</v>
      </c>
      <c r="AA26" s="150">
        <f t="shared" si="16"/>
        <v>0</v>
      </c>
      <c r="AB26" s="150">
        <f t="shared" si="17"/>
        <v>0</v>
      </c>
      <c r="AC26" s="150">
        <f t="shared" si="18"/>
        <v>0</v>
      </c>
      <c r="AD26" s="150">
        <f t="shared" si="19"/>
        <v>0</v>
      </c>
      <c r="AE26" s="154">
        <f t="shared" si="20"/>
        <v>0</v>
      </c>
      <c r="AF26" s="70">
        <f t="shared" si="21"/>
        <v>0</v>
      </c>
      <c r="AG26" s="155">
        <f t="shared" si="22"/>
        <v>0</v>
      </c>
    </row>
    <row r="27" spans="2:33" ht="14.25" customHeight="1" x14ac:dyDescent="0.25">
      <c r="B27" s="168"/>
      <c r="C27" s="141"/>
      <c r="D27" s="103"/>
      <c r="E27" s="104"/>
      <c r="F27" s="92">
        <v>0</v>
      </c>
      <c r="G27" s="150">
        <f>IF(F27&gt;0,F27,
IF(B27&lt;&gt;"",
IF(C27="CLT",VLOOKUP(B27,'Lista Profissionais'!$C$11:$H$348,3,0),
VLOOKUP(B27,'Lista Profissionais'!$C$11:$H$348,4,0)), 0))</f>
        <v>0</v>
      </c>
      <c r="H27" s="66">
        <f t="shared" si="24"/>
        <v>0</v>
      </c>
      <c r="I27" s="66">
        <f t="shared" si="1"/>
        <v>0</v>
      </c>
      <c r="J27" s="66">
        <f t="shared" si="2"/>
        <v>0</v>
      </c>
      <c r="K27" s="93">
        <f t="shared" si="3"/>
        <v>0</v>
      </c>
      <c r="L27" s="151"/>
      <c r="M27" s="152">
        <v>0</v>
      </c>
      <c r="N27" s="69">
        <f t="shared" si="4"/>
        <v>0</v>
      </c>
      <c r="O27" s="69">
        <f t="shared" si="5"/>
        <v>0</v>
      </c>
      <c r="P27" s="70">
        <f t="shared" si="6"/>
        <v>0</v>
      </c>
      <c r="Q27" s="153">
        <f t="shared" si="7"/>
        <v>0</v>
      </c>
      <c r="R27" s="70">
        <v>0</v>
      </c>
      <c r="S27" s="165">
        <f t="shared" si="8"/>
        <v>0</v>
      </c>
      <c r="T27" s="163">
        <f t="shared" si="9"/>
        <v>0</v>
      </c>
      <c r="U27" s="164">
        <f t="shared" si="10"/>
        <v>0</v>
      </c>
      <c r="V27" s="164">
        <f t="shared" si="11"/>
        <v>0</v>
      </c>
      <c r="W27" s="144">
        <f t="shared" si="12"/>
        <v>0</v>
      </c>
      <c r="X27" s="150">
        <f t="shared" si="13"/>
        <v>0</v>
      </c>
      <c r="Y27" s="150">
        <f t="shared" si="14"/>
        <v>0</v>
      </c>
      <c r="Z27" s="150">
        <f t="shared" si="15"/>
        <v>0</v>
      </c>
      <c r="AA27" s="150">
        <f t="shared" si="16"/>
        <v>0</v>
      </c>
      <c r="AB27" s="150">
        <f t="shared" si="17"/>
        <v>0</v>
      </c>
      <c r="AC27" s="150">
        <f t="shared" si="18"/>
        <v>0</v>
      </c>
      <c r="AD27" s="150">
        <f t="shared" si="19"/>
        <v>0</v>
      </c>
      <c r="AE27" s="154">
        <f t="shared" si="20"/>
        <v>0</v>
      </c>
      <c r="AF27" s="70">
        <f t="shared" si="21"/>
        <v>0</v>
      </c>
      <c r="AG27" s="155">
        <f t="shared" si="22"/>
        <v>0</v>
      </c>
    </row>
    <row r="28" spans="2:33" ht="14.25" customHeight="1" x14ac:dyDescent="0.25">
      <c r="B28" s="168"/>
      <c r="C28" s="141"/>
      <c r="D28" s="103"/>
      <c r="E28" s="104"/>
      <c r="F28" s="92">
        <v>0</v>
      </c>
      <c r="G28" s="150">
        <f>IF(F28&gt;0,F28,
IF(B28&lt;&gt;"",
IF(C28="CLT",VLOOKUP(B28,'Lista Profissionais'!$C$11:$H$348,3,0),
VLOOKUP(B28,'Lista Profissionais'!$C$11:$H$348,4,0)), 0))</f>
        <v>0</v>
      </c>
      <c r="H28" s="66">
        <f t="shared" si="24"/>
        <v>0</v>
      </c>
      <c r="I28" s="66">
        <f t="shared" si="1"/>
        <v>0</v>
      </c>
      <c r="J28" s="66">
        <f t="shared" si="2"/>
        <v>0</v>
      </c>
      <c r="K28" s="93">
        <f t="shared" si="3"/>
        <v>0</v>
      </c>
      <c r="L28" s="151"/>
      <c r="M28" s="152">
        <v>0</v>
      </c>
      <c r="N28" s="69">
        <f t="shared" si="4"/>
        <v>0</v>
      </c>
      <c r="O28" s="69">
        <f t="shared" si="5"/>
        <v>0</v>
      </c>
      <c r="P28" s="70">
        <f t="shared" si="6"/>
        <v>0</v>
      </c>
      <c r="Q28" s="153">
        <f t="shared" si="7"/>
        <v>0</v>
      </c>
      <c r="R28" s="70">
        <v>0</v>
      </c>
      <c r="S28" s="165">
        <f t="shared" si="8"/>
        <v>0</v>
      </c>
      <c r="T28" s="163">
        <f t="shared" si="9"/>
        <v>0</v>
      </c>
      <c r="U28" s="164">
        <f t="shared" si="10"/>
        <v>0</v>
      </c>
      <c r="V28" s="164">
        <f t="shared" si="11"/>
        <v>0</v>
      </c>
      <c r="W28" s="144">
        <f t="shared" si="12"/>
        <v>0</v>
      </c>
      <c r="X28" s="150">
        <f t="shared" si="13"/>
        <v>0</v>
      </c>
      <c r="Y28" s="150">
        <f t="shared" si="14"/>
        <v>0</v>
      </c>
      <c r="Z28" s="150">
        <f t="shared" si="15"/>
        <v>0</v>
      </c>
      <c r="AA28" s="150">
        <f t="shared" si="16"/>
        <v>0</v>
      </c>
      <c r="AB28" s="150">
        <f t="shared" si="17"/>
        <v>0</v>
      </c>
      <c r="AC28" s="150">
        <f t="shared" si="18"/>
        <v>0</v>
      </c>
      <c r="AD28" s="150">
        <f t="shared" si="19"/>
        <v>0</v>
      </c>
      <c r="AE28" s="154">
        <f t="shared" si="20"/>
        <v>0</v>
      </c>
      <c r="AF28" s="70">
        <f t="shared" si="21"/>
        <v>0</v>
      </c>
      <c r="AG28" s="155">
        <f t="shared" si="22"/>
        <v>0</v>
      </c>
    </row>
    <row r="29" spans="2:33" ht="14.25" customHeight="1" x14ac:dyDescent="0.25">
      <c r="B29" s="167"/>
      <c r="C29" s="141"/>
      <c r="D29" s="103"/>
      <c r="E29" s="104"/>
      <c r="F29" s="92">
        <v>0</v>
      </c>
      <c r="G29" s="150">
        <f>IF(F29&gt;0,F29,
IF(B29&lt;&gt;"",
IF(C29="CLT",VLOOKUP(B29,'Lista Profissionais'!$C$11:$H$348,3,0),
VLOOKUP(B29,'Lista Profissionais'!$C$11:$H$348,4,0)), 0))</f>
        <v>0</v>
      </c>
      <c r="H29" s="66">
        <f t="shared" si="24"/>
        <v>0</v>
      </c>
      <c r="I29" s="66">
        <f t="shared" si="1"/>
        <v>0</v>
      </c>
      <c r="J29" s="66">
        <f t="shared" si="2"/>
        <v>0</v>
      </c>
      <c r="K29" s="93">
        <f t="shared" si="3"/>
        <v>0</v>
      </c>
      <c r="L29" s="151"/>
      <c r="M29" s="152">
        <v>0</v>
      </c>
      <c r="N29" s="69">
        <f t="shared" si="4"/>
        <v>0</v>
      </c>
      <c r="O29" s="69">
        <f t="shared" si="5"/>
        <v>0</v>
      </c>
      <c r="P29" s="70">
        <f t="shared" si="6"/>
        <v>0</v>
      </c>
      <c r="Q29" s="153">
        <f t="shared" si="7"/>
        <v>0</v>
      </c>
      <c r="R29" s="70">
        <v>0</v>
      </c>
      <c r="S29" s="165">
        <f t="shared" si="8"/>
        <v>0</v>
      </c>
      <c r="T29" s="163">
        <f t="shared" si="9"/>
        <v>0</v>
      </c>
      <c r="U29" s="164">
        <f t="shared" si="10"/>
        <v>0</v>
      </c>
      <c r="V29" s="164">
        <f t="shared" si="11"/>
        <v>0</v>
      </c>
      <c r="W29" s="144">
        <f t="shared" si="12"/>
        <v>0</v>
      </c>
      <c r="X29" s="150">
        <f t="shared" si="13"/>
        <v>0</v>
      </c>
      <c r="Y29" s="150">
        <f t="shared" si="14"/>
        <v>0</v>
      </c>
      <c r="Z29" s="150">
        <f t="shared" si="15"/>
        <v>0</v>
      </c>
      <c r="AA29" s="150">
        <f t="shared" si="16"/>
        <v>0</v>
      </c>
      <c r="AB29" s="150">
        <f t="shared" si="17"/>
        <v>0</v>
      </c>
      <c r="AC29" s="150">
        <f t="shared" si="18"/>
        <v>0</v>
      </c>
      <c r="AD29" s="150">
        <f t="shared" si="19"/>
        <v>0</v>
      </c>
      <c r="AE29" s="154">
        <f t="shared" si="20"/>
        <v>0</v>
      </c>
      <c r="AF29" s="70">
        <f t="shared" si="21"/>
        <v>0</v>
      </c>
      <c r="AG29" s="155">
        <f t="shared" si="22"/>
        <v>0</v>
      </c>
    </row>
    <row r="30" spans="2:33" ht="14.25" customHeight="1" x14ac:dyDescent="0.25">
      <c r="B30" s="142"/>
      <c r="C30" s="141"/>
      <c r="D30" s="103"/>
      <c r="E30" s="104"/>
      <c r="F30" s="92">
        <v>0</v>
      </c>
      <c r="G30" s="150">
        <f>IF(F30&gt;0,F30,
IF(B30&lt;&gt;"",
IF(C30="CLT",VLOOKUP(B30,'Lista Profissionais'!$C$11:$H$348,3,0),
VLOOKUP(B30,'Lista Profissionais'!$C$11:$H$348,4,0)), 0))</f>
        <v>0</v>
      </c>
      <c r="H30" s="66">
        <f t="shared" si="24"/>
        <v>0</v>
      </c>
      <c r="I30" s="66">
        <f t="shared" si="1"/>
        <v>0</v>
      </c>
      <c r="J30" s="66">
        <f t="shared" si="2"/>
        <v>0</v>
      </c>
      <c r="K30" s="93">
        <f t="shared" si="3"/>
        <v>0</v>
      </c>
      <c r="L30" s="151"/>
      <c r="M30" s="152">
        <v>0</v>
      </c>
      <c r="N30" s="69">
        <f t="shared" si="4"/>
        <v>0</v>
      </c>
      <c r="O30" s="69">
        <f t="shared" si="5"/>
        <v>0</v>
      </c>
      <c r="P30" s="70">
        <f t="shared" si="6"/>
        <v>0</v>
      </c>
      <c r="Q30" s="153">
        <f t="shared" si="7"/>
        <v>0</v>
      </c>
      <c r="R30" s="70">
        <v>0</v>
      </c>
      <c r="S30" s="165">
        <f t="shared" si="8"/>
        <v>0</v>
      </c>
      <c r="T30" s="163">
        <f t="shared" si="9"/>
        <v>0</v>
      </c>
      <c r="U30" s="164">
        <f t="shared" si="10"/>
        <v>0</v>
      </c>
      <c r="V30" s="164">
        <f t="shared" si="11"/>
        <v>0</v>
      </c>
      <c r="W30" s="144">
        <f t="shared" si="12"/>
        <v>0</v>
      </c>
      <c r="X30" s="150">
        <f t="shared" si="13"/>
        <v>0</v>
      </c>
      <c r="Y30" s="150">
        <f t="shared" si="14"/>
        <v>0</v>
      </c>
      <c r="Z30" s="150">
        <f t="shared" si="15"/>
        <v>0</v>
      </c>
      <c r="AA30" s="150">
        <f t="shared" si="16"/>
        <v>0</v>
      </c>
      <c r="AB30" s="150">
        <f t="shared" si="17"/>
        <v>0</v>
      </c>
      <c r="AC30" s="150">
        <f t="shared" si="18"/>
        <v>0</v>
      </c>
      <c r="AD30" s="150">
        <f t="shared" si="19"/>
        <v>0</v>
      </c>
      <c r="AE30" s="154">
        <f t="shared" si="20"/>
        <v>0</v>
      </c>
      <c r="AF30" s="70">
        <f t="shared" si="21"/>
        <v>0</v>
      </c>
      <c r="AG30" s="155">
        <f t="shared" si="22"/>
        <v>0</v>
      </c>
    </row>
    <row r="31" spans="2:33" ht="14.25" customHeight="1" x14ac:dyDescent="0.25">
      <c r="B31" s="142"/>
      <c r="C31" s="141"/>
      <c r="D31" s="103"/>
      <c r="E31" s="104"/>
      <c r="F31" s="92">
        <v>0</v>
      </c>
      <c r="G31" s="150">
        <f>IF(F31&gt;0,F31,
IF(B31&lt;&gt;"",
IF(C31="CLT",VLOOKUP(B31,'Lista Profissionais'!$C$11:$H$348,3,0),
VLOOKUP(B31,'Lista Profissionais'!$C$11:$H$348,4,0)), 0))</f>
        <v>0</v>
      </c>
      <c r="H31" s="66">
        <f t="shared" si="24"/>
        <v>0</v>
      </c>
      <c r="I31" s="66">
        <f t="shared" si="1"/>
        <v>0</v>
      </c>
      <c r="J31" s="66">
        <f t="shared" si="2"/>
        <v>0</v>
      </c>
      <c r="K31" s="93">
        <f t="shared" si="3"/>
        <v>0</v>
      </c>
      <c r="L31" s="151"/>
      <c r="M31" s="152">
        <v>0</v>
      </c>
      <c r="N31" s="69">
        <f t="shared" si="4"/>
        <v>0</v>
      </c>
      <c r="O31" s="69">
        <f t="shared" si="5"/>
        <v>0</v>
      </c>
      <c r="P31" s="70">
        <f t="shared" si="6"/>
        <v>0</v>
      </c>
      <c r="Q31" s="153">
        <f t="shared" si="7"/>
        <v>0</v>
      </c>
      <c r="R31" s="70">
        <v>0</v>
      </c>
      <c r="S31" s="165">
        <f t="shared" si="8"/>
        <v>0</v>
      </c>
      <c r="T31" s="163">
        <f t="shared" si="9"/>
        <v>0</v>
      </c>
      <c r="U31" s="164">
        <f t="shared" si="10"/>
        <v>0</v>
      </c>
      <c r="V31" s="164">
        <f t="shared" si="11"/>
        <v>0</v>
      </c>
      <c r="W31" s="144">
        <f t="shared" si="12"/>
        <v>0</v>
      </c>
      <c r="X31" s="150">
        <f t="shared" si="13"/>
        <v>0</v>
      </c>
      <c r="Y31" s="150">
        <f t="shared" si="14"/>
        <v>0</v>
      </c>
      <c r="Z31" s="150">
        <f t="shared" si="15"/>
        <v>0</v>
      </c>
      <c r="AA31" s="150">
        <f t="shared" si="16"/>
        <v>0</v>
      </c>
      <c r="AB31" s="150">
        <f t="shared" si="17"/>
        <v>0</v>
      </c>
      <c r="AC31" s="150">
        <f t="shared" si="18"/>
        <v>0</v>
      </c>
      <c r="AD31" s="150">
        <f t="shared" si="19"/>
        <v>0</v>
      </c>
      <c r="AE31" s="154">
        <f t="shared" si="20"/>
        <v>0</v>
      </c>
      <c r="AF31" s="70">
        <f t="shared" si="21"/>
        <v>0</v>
      </c>
      <c r="AG31" s="155">
        <f t="shared" si="22"/>
        <v>0</v>
      </c>
    </row>
    <row r="32" spans="2:33" ht="14.25" customHeight="1" x14ac:dyDescent="0.25">
      <c r="B32" s="142"/>
      <c r="C32" s="141"/>
      <c r="D32" s="103"/>
      <c r="E32" s="104"/>
      <c r="F32" s="92">
        <v>0</v>
      </c>
      <c r="G32" s="150">
        <f>IF(F32&gt;0,F32,
IF(B32&lt;&gt;"",
IF(C32="CLT",VLOOKUP(B32,'Lista Profissionais'!$C$11:$H$348,3,0),
VLOOKUP(B32,'Lista Profissionais'!$C$11:$H$348,4,0)), 0))</f>
        <v>0</v>
      </c>
      <c r="H32" s="66">
        <f t="shared" si="24"/>
        <v>0</v>
      </c>
      <c r="I32" s="66">
        <f t="shared" si="1"/>
        <v>0</v>
      </c>
      <c r="J32" s="66">
        <f t="shared" si="2"/>
        <v>0</v>
      </c>
      <c r="K32" s="93">
        <f t="shared" si="3"/>
        <v>0</v>
      </c>
      <c r="L32" s="151"/>
      <c r="M32" s="152">
        <v>0</v>
      </c>
      <c r="N32" s="69">
        <f t="shared" si="4"/>
        <v>0</v>
      </c>
      <c r="O32" s="69">
        <f t="shared" si="5"/>
        <v>0</v>
      </c>
      <c r="P32" s="70">
        <f t="shared" si="6"/>
        <v>0</v>
      </c>
      <c r="Q32" s="153">
        <f t="shared" si="7"/>
        <v>0</v>
      </c>
      <c r="R32" s="70">
        <v>0</v>
      </c>
      <c r="S32" s="165">
        <f t="shared" si="8"/>
        <v>0</v>
      </c>
      <c r="T32" s="163">
        <f t="shared" si="9"/>
        <v>0</v>
      </c>
      <c r="U32" s="164">
        <f t="shared" si="10"/>
        <v>0</v>
      </c>
      <c r="V32" s="164">
        <f t="shared" si="11"/>
        <v>0</v>
      </c>
      <c r="W32" s="144">
        <f t="shared" si="12"/>
        <v>0</v>
      </c>
      <c r="X32" s="150">
        <f t="shared" si="13"/>
        <v>0</v>
      </c>
      <c r="Y32" s="150">
        <f t="shared" si="14"/>
        <v>0</v>
      </c>
      <c r="Z32" s="150">
        <f t="shared" si="15"/>
        <v>0</v>
      </c>
      <c r="AA32" s="150">
        <f t="shared" si="16"/>
        <v>0</v>
      </c>
      <c r="AB32" s="150">
        <f t="shared" si="17"/>
        <v>0</v>
      </c>
      <c r="AC32" s="150">
        <f t="shared" si="18"/>
        <v>0</v>
      </c>
      <c r="AD32" s="150">
        <f t="shared" si="19"/>
        <v>0</v>
      </c>
      <c r="AE32" s="154">
        <f t="shared" si="20"/>
        <v>0</v>
      </c>
      <c r="AF32" s="70">
        <f t="shared" si="21"/>
        <v>0</v>
      </c>
      <c r="AG32" s="155">
        <f t="shared" si="22"/>
        <v>0</v>
      </c>
    </row>
    <row r="33" spans="2:33" ht="14.25" customHeight="1" x14ac:dyDescent="0.25">
      <c r="B33" s="142"/>
      <c r="C33" s="141"/>
      <c r="D33" s="103"/>
      <c r="E33" s="104"/>
      <c r="F33" s="92">
        <v>0</v>
      </c>
      <c r="G33" s="150">
        <f>IF(F33&gt;0,F33,
IF(B33&lt;&gt;"",
IF(C33="CLT",VLOOKUP(B33,'Lista Profissionais'!$C$11:$H$348,3,0),
VLOOKUP(B33,'Lista Profissionais'!$C$11:$H$348,4,0)), 0))</f>
        <v>0</v>
      </c>
      <c r="H33" s="66">
        <f t="shared" si="24"/>
        <v>0</v>
      </c>
      <c r="I33" s="66">
        <f t="shared" si="1"/>
        <v>0</v>
      </c>
      <c r="J33" s="66">
        <f t="shared" si="2"/>
        <v>0</v>
      </c>
      <c r="K33" s="93">
        <f t="shared" si="3"/>
        <v>0</v>
      </c>
      <c r="L33" s="151"/>
      <c r="M33" s="152">
        <v>0</v>
      </c>
      <c r="N33" s="69">
        <f t="shared" si="4"/>
        <v>0</v>
      </c>
      <c r="O33" s="69">
        <f t="shared" si="5"/>
        <v>0</v>
      </c>
      <c r="P33" s="70">
        <f t="shared" si="6"/>
        <v>0</v>
      </c>
      <c r="Q33" s="153">
        <f t="shared" si="7"/>
        <v>0</v>
      </c>
      <c r="R33" s="70">
        <v>0</v>
      </c>
      <c r="S33" s="165">
        <f t="shared" si="8"/>
        <v>0</v>
      </c>
      <c r="T33" s="163">
        <f t="shared" si="9"/>
        <v>0</v>
      </c>
      <c r="U33" s="164">
        <f t="shared" si="10"/>
        <v>0</v>
      </c>
      <c r="V33" s="164">
        <f t="shared" si="11"/>
        <v>0</v>
      </c>
      <c r="W33" s="144">
        <f t="shared" si="12"/>
        <v>0</v>
      </c>
      <c r="X33" s="150">
        <f t="shared" si="13"/>
        <v>0</v>
      </c>
      <c r="Y33" s="150">
        <f t="shared" si="14"/>
        <v>0</v>
      </c>
      <c r="Z33" s="150">
        <f t="shared" si="15"/>
        <v>0</v>
      </c>
      <c r="AA33" s="150">
        <f t="shared" si="16"/>
        <v>0</v>
      </c>
      <c r="AB33" s="150">
        <f t="shared" si="17"/>
        <v>0</v>
      </c>
      <c r="AC33" s="150">
        <f t="shared" si="18"/>
        <v>0</v>
      </c>
      <c r="AD33" s="150">
        <f t="shared" si="19"/>
        <v>0</v>
      </c>
      <c r="AE33" s="154">
        <f t="shared" si="20"/>
        <v>0</v>
      </c>
      <c r="AF33" s="70">
        <f t="shared" si="21"/>
        <v>0</v>
      </c>
      <c r="AG33" s="155">
        <f t="shared" si="22"/>
        <v>0</v>
      </c>
    </row>
    <row r="34" spans="2:33" ht="14.25" customHeight="1" x14ac:dyDescent="0.25">
      <c r="B34" s="143"/>
      <c r="C34" s="141"/>
      <c r="D34" s="103"/>
      <c r="E34" s="104"/>
      <c r="F34" s="92">
        <v>0</v>
      </c>
      <c r="G34" s="150">
        <f>IF(F34&gt;0,F34,
IF(B34&lt;&gt;"",
IF(C34="CLT",VLOOKUP(B34,'Lista Profissionais'!$C$11:$H$348,3,0),
VLOOKUP(B34,'Lista Profissionais'!$C$11:$H$348,4,0)), 0))</f>
        <v>0</v>
      </c>
      <c r="H34" s="66">
        <f t="shared" si="24"/>
        <v>0</v>
      </c>
      <c r="I34" s="66">
        <f t="shared" si="1"/>
        <v>0</v>
      </c>
      <c r="J34" s="66">
        <f t="shared" si="2"/>
        <v>0</v>
      </c>
      <c r="K34" s="93">
        <f t="shared" si="3"/>
        <v>0</v>
      </c>
      <c r="L34" s="151"/>
      <c r="M34" s="152">
        <v>0</v>
      </c>
      <c r="N34" s="69">
        <f t="shared" si="4"/>
        <v>0</v>
      </c>
      <c r="O34" s="69">
        <f t="shared" si="5"/>
        <v>0</v>
      </c>
      <c r="P34" s="70">
        <f t="shared" si="6"/>
        <v>0</v>
      </c>
      <c r="Q34" s="153">
        <f t="shared" si="7"/>
        <v>0</v>
      </c>
      <c r="R34" s="70">
        <v>0</v>
      </c>
      <c r="S34" s="165">
        <f t="shared" si="8"/>
        <v>0</v>
      </c>
      <c r="T34" s="163">
        <f t="shared" si="9"/>
        <v>0</v>
      </c>
      <c r="U34" s="164">
        <f t="shared" si="10"/>
        <v>0</v>
      </c>
      <c r="V34" s="164">
        <f t="shared" si="11"/>
        <v>0</v>
      </c>
      <c r="W34" s="144">
        <f t="shared" si="12"/>
        <v>0</v>
      </c>
      <c r="X34" s="150">
        <f t="shared" si="13"/>
        <v>0</v>
      </c>
      <c r="Y34" s="150">
        <f t="shared" si="14"/>
        <v>0</v>
      </c>
      <c r="Z34" s="150">
        <f t="shared" si="15"/>
        <v>0</v>
      </c>
      <c r="AA34" s="150">
        <f t="shared" si="16"/>
        <v>0</v>
      </c>
      <c r="AB34" s="150">
        <f t="shared" si="17"/>
        <v>0</v>
      </c>
      <c r="AC34" s="150">
        <f t="shared" si="18"/>
        <v>0</v>
      </c>
      <c r="AD34" s="150">
        <f t="shared" si="19"/>
        <v>0</v>
      </c>
      <c r="AE34" s="154">
        <f t="shared" si="20"/>
        <v>0</v>
      </c>
      <c r="AF34" s="70">
        <f t="shared" si="21"/>
        <v>0</v>
      </c>
      <c r="AG34" s="155">
        <f t="shared" si="22"/>
        <v>0</v>
      </c>
    </row>
    <row r="35" spans="2:33" ht="14.25" customHeight="1" x14ac:dyDescent="0.25">
      <c r="B35" s="143"/>
      <c r="C35" s="141"/>
      <c r="D35" s="103"/>
      <c r="E35" s="104"/>
      <c r="F35" s="92">
        <v>0</v>
      </c>
      <c r="G35" s="150">
        <f>IF(F35&gt;0,F35,
IF(B35&lt;&gt;"",
IF(C35="CLT",VLOOKUP(B35,'Lista Profissionais'!$C$11:$H$348,3,0),
VLOOKUP(B35,'Lista Profissionais'!$C$11:$H$348,4,0)), 0))</f>
        <v>0</v>
      </c>
      <c r="H35" s="66">
        <f t="shared" si="24"/>
        <v>0</v>
      </c>
      <c r="I35" s="66">
        <f t="shared" si="1"/>
        <v>0</v>
      </c>
      <c r="J35" s="66">
        <f t="shared" si="2"/>
        <v>0</v>
      </c>
      <c r="K35" s="93">
        <f t="shared" si="3"/>
        <v>0</v>
      </c>
      <c r="L35" s="151"/>
      <c r="M35" s="152">
        <v>0</v>
      </c>
      <c r="N35" s="69">
        <f t="shared" si="4"/>
        <v>0</v>
      </c>
      <c r="O35" s="69">
        <f t="shared" si="5"/>
        <v>0</v>
      </c>
      <c r="P35" s="70">
        <f t="shared" si="6"/>
        <v>0</v>
      </c>
      <c r="Q35" s="153">
        <f t="shared" si="7"/>
        <v>0</v>
      </c>
      <c r="R35" s="70">
        <v>0</v>
      </c>
      <c r="S35" s="165">
        <f t="shared" si="8"/>
        <v>0</v>
      </c>
      <c r="T35" s="163">
        <f t="shared" si="9"/>
        <v>0</v>
      </c>
      <c r="U35" s="164">
        <f t="shared" si="10"/>
        <v>0</v>
      </c>
      <c r="V35" s="164">
        <f t="shared" si="11"/>
        <v>0</v>
      </c>
      <c r="W35" s="144">
        <f t="shared" si="12"/>
        <v>0</v>
      </c>
      <c r="X35" s="150">
        <f t="shared" si="13"/>
        <v>0</v>
      </c>
      <c r="Y35" s="150">
        <f t="shared" si="14"/>
        <v>0</v>
      </c>
      <c r="Z35" s="150">
        <f t="shared" si="15"/>
        <v>0</v>
      </c>
      <c r="AA35" s="150">
        <f t="shared" si="16"/>
        <v>0</v>
      </c>
      <c r="AB35" s="150">
        <f t="shared" si="17"/>
        <v>0</v>
      </c>
      <c r="AC35" s="150">
        <f t="shared" si="18"/>
        <v>0</v>
      </c>
      <c r="AD35" s="150">
        <f t="shared" si="19"/>
        <v>0</v>
      </c>
      <c r="AE35" s="154">
        <f t="shared" si="20"/>
        <v>0</v>
      </c>
      <c r="AF35" s="70">
        <f t="shared" si="21"/>
        <v>0</v>
      </c>
      <c r="AG35" s="155">
        <f t="shared" si="22"/>
        <v>0</v>
      </c>
    </row>
    <row r="36" spans="2:33" ht="14.25" customHeight="1" x14ac:dyDescent="0.25">
      <c r="B36" s="143"/>
      <c r="C36" s="141"/>
      <c r="D36" s="103"/>
      <c r="E36" s="104"/>
      <c r="F36" s="92">
        <v>0</v>
      </c>
      <c r="G36" s="150">
        <f>IF(F36&gt;0,F36,
IF(B36&lt;&gt;"",
IF(C36="CLT",VLOOKUP(B36,'Lista Profissionais'!$C$11:$H$348,3,0),
VLOOKUP(B36,'Lista Profissionais'!$C$11:$H$348,4,0)), 0))</f>
        <v>0</v>
      </c>
      <c r="H36" s="66">
        <f t="shared" si="24"/>
        <v>0</v>
      </c>
      <c r="I36" s="66">
        <f t="shared" si="1"/>
        <v>0</v>
      </c>
      <c r="J36" s="66">
        <f t="shared" si="2"/>
        <v>0</v>
      </c>
      <c r="K36" s="93">
        <f t="shared" si="3"/>
        <v>0</v>
      </c>
      <c r="L36" s="151"/>
      <c r="M36" s="152">
        <v>0</v>
      </c>
      <c r="N36" s="69">
        <f t="shared" si="4"/>
        <v>0</v>
      </c>
      <c r="O36" s="69">
        <f t="shared" si="5"/>
        <v>0</v>
      </c>
      <c r="P36" s="70">
        <f t="shared" si="6"/>
        <v>0</v>
      </c>
      <c r="Q36" s="153">
        <f t="shared" si="7"/>
        <v>0</v>
      </c>
      <c r="R36" s="70">
        <v>0</v>
      </c>
      <c r="S36" s="165">
        <f t="shared" si="8"/>
        <v>0</v>
      </c>
      <c r="T36" s="163">
        <f t="shared" si="9"/>
        <v>0</v>
      </c>
      <c r="U36" s="164">
        <f t="shared" si="10"/>
        <v>0</v>
      </c>
      <c r="V36" s="164">
        <f t="shared" si="11"/>
        <v>0</v>
      </c>
      <c r="W36" s="144">
        <f t="shared" si="12"/>
        <v>0</v>
      </c>
      <c r="X36" s="150">
        <f t="shared" si="13"/>
        <v>0</v>
      </c>
      <c r="Y36" s="150">
        <f t="shared" si="14"/>
        <v>0</v>
      </c>
      <c r="Z36" s="150">
        <f t="shared" si="15"/>
        <v>0</v>
      </c>
      <c r="AA36" s="150">
        <f t="shared" si="16"/>
        <v>0</v>
      </c>
      <c r="AB36" s="150">
        <f t="shared" si="17"/>
        <v>0</v>
      </c>
      <c r="AC36" s="150">
        <f t="shared" si="18"/>
        <v>0</v>
      </c>
      <c r="AD36" s="150">
        <f t="shared" si="19"/>
        <v>0</v>
      </c>
      <c r="AE36" s="154">
        <f t="shared" si="20"/>
        <v>0</v>
      </c>
      <c r="AF36" s="70">
        <f t="shared" si="21"/>
        <v>0</v>
      </c>
      <c r="AG36" s="155">
        <f t="shared" si="22"/>
        <v>0</v>
      </c>
    </row>
    <row r="37" spans="2:33" ht="14.25" customHeight="1" x14ac:dyDescent="0.25">
      <c r="B37" s="143"/>
      <c r="C37" s="141"/>
      <c r="D37" s="103"/>
      <c r="E37" s="104"/>
      <c r="F37" s="92">
        <v>0</v>
      </c>
      <c r="G37" s="150">
        <f>IF(F37&gt;0,F37,
IF(B37&lt;&gt;"",
IF(C37="CLT",VLOOKUP(B37,'Lista Profissionais'!$C$11:$H$348,3,0),
VLOOKUP(B37,'Lista Profissionais'!$C$11:$H$348,4,0)), 0))</f>
        <v>0</v>
      </c>
      <c r="H37" s="66">
        <f t="shared" si="24"/>
        <v>0</v>
      </c>
      <c r="I37" s="66">
        <f t="shared" si="1"/>
        <v>0</v>
      </c>
      <c r="J37" s="66">
        <f t="shared" si="2"/>
        <v>0</v>
      </c>
      <c r="K37" s="93">
        <f t="shared" si="3"/>
        <v>0</v>
      </c>
      <c r="L37" s="151"/>
      <c r="M37" s="152">
        <v>0</v>
      </c>
      <c r="N37" s="69">
        <f t="shared" si="4"/>
        <v>0</v>
      </c>
      <c r="O37" s="69">
        <f t="shared" si="5"/>
        <v>0</v>
      </c>
      <c r="P37" s="70">
        <f t="shared" si="6"/>
        <v>0</v>
      </c>
      <c r="Q37" s="153">
        <f t="shared" si="7"/>
        <v>0</v>
      </c>
      <c r="R37" s="70">
        <v>0</v>
      </c>
      <c r="S37" s="165">
        <f t="shared" si="8"/>
        <v>0</v>
      </c>
      <c r="T37" s="163">
        <f t="shared" si="9"/>
        <v>0</v>
      </c>
      <c r="U37" s="164">
        <f t="shared" si="10"/>
        <v>0</v>
      </c>
      <c r="V37" s="164">
        <f t="shared" si="11"/>
        <v>0</v>
      </c>
      <c r="W37" s="144">
        <f t="shared" si="12"/>
        <v>0</v>
      </c>
      <c r="X37" s="150">
        <f t="shared" si="13"/>
        <v>0</v>
      </c>
      <c r="Y37" s="150">
        <f t="shared" si="14"/>
        <v>0</v>
      </c>
      <c r="Z37" s="150">
        <f t="shared" si="15"/>
        <v>0</v>
      </c>
      <c r="AA37" s="150">
        <f t="shared" si="16"/>
        <v>0</v>
      </c>
      <c r="AB37" s="150">
        <f t="shared" si="17"/>
        <v>0</v>
      </c>
      <c r="AC37" s="150">
        <f t="shared" si="18"/>
        <v>0</v>
      </c>
      <c r="AD37" s="150">
        <f t="shared" si="19"/>
        <v>0</v>
      </c>
      <c r="AE37" s="154">
        <f t="shared" si="20"/>
        <v>0</v>
      </c>
      <c r="AF37" s="70">
        <f t="shared" si="21"/>
        <v>0</v>
      </c>
      <c r="AG37" s="155">
        <f t="shared" si="22"/>
        <v>0</v>
      </c>
    </row>
    <row r="38" spans="2:33" ht="14.25" customHeight="1" x14ac:dyDescent="0.25">
      <c r="B38" s="143"/>
      <c r="C38" s="141"/>
      <c r="D38" s="103"/>
      <c r="E38" s="104"/>
      <c r="F38" s="92">
        <v>0</v>
      </c>
      <c r="G38" s="150">
        <f>IF(F38&gt;0,F38,
IF(B38&lt;&gt;"",
IF(C38="CLT",VLOOKUP(B38,'Lista Profissionais'!$C$11:$H$348,3,0),
VLOOKUP(B38,'Lista Profissionais'!$C$11:$H$348,4,0)), 0))</f>
        <v>0</v>
      </c>
      <c r="H38" s="66">
        <f t="shared" si="24"/>
        <v>0</v>
      </c>
      <c r="I38" s="66">
        <f t="shared" si="1"/>
        <v>0</v>
      </c>
      <c r="J38" s="66">
        <f t="shared" si="2"/>
        <v>0</v>
      </c>
      <c r="K38" s="93">
        <f t="shared" si="3"/>
        <v>0</v>
      </c>
      <c r="L38" s="151"/>
      <c r="M38" s="152">
        <v>0</v>
      </c>
      <c r="N38" s="69">
        <f t="shared" si="4"/>
        <v>0</v>
      </c>
      <c r="O38" s="69">
        <f t="shared" si="5"/>
        <v>0</v>
      </c>
      <c r="P38" s="70">
        <f t="shared" si="6"/>
        <v>0</v>
      </c>
      <c r="Q38" s="153">
        <f t="shared" si="7"/>
        <v>0</v>
      </c>
      <c r="R38" s="70">
        <v>0</v>
      </c>
      <c r="S38" s="165">
        <f t="shared" si="8"/>
        <v>0</v>
      </c>
      <c r="T38" s="163">
        <f t="shared" si="9"/>
        <v>0</v>
      </c>
      <c r="U38" s="164">
        <f t="shared" si="10"/>
        <v>0</v>
      </c>
      <c r="V38" s="164">
        <f t="shared" si="11"/>
        <v>0</v>
      </c>
      <c r="W38" s="144">
        <f t="shared" si="12"/>
        <v>0</v>
      </c>
      <c r="X38" s="150">
        <f t="shared" si="13"/>
        <v>0</v>
      </c>
      <c r="Y38" s="150">
        <f t="shared" si="14"/>
        <v>0</v>
      </c>
      <c r="Z38" s="150">
        <f t="shared" si="15"/>
        <v>0</v>
      </c>
      <c r="AA38" s="150">
        <f t="shared" si="16"/>
        <v>0</v>
      </c>
      <c r="AB38" s="150">
        <f t="shared" si="17"/>
        <v>0</v>
      </c>
      <c r="AC38" s="150">
        <f t="shared" si="18"/>
        <v>0</v>
      </c>
      <c r="AD38" s="150">
        <f t="shared" si="19"/>
        <v>0</v>
      </c>
      <c r="AE38" s="154">
        <f t="shared" si="20"/>
        <v>0</v>
      </c>
      <c r="AF38" s="70">
        <f t="shared" si="21"/>
        <v>0</v>
      </c>
      <c r="AG38" s="155">
        <f t="shared" si="22"/>
        <v>0</v>
      </c>
    </row>
    <row r="39" spans="2:33" ht="14.25" customHeight="1" x14ac:dyDescent="0.25">
      <c r="B39" s="143"/>
      <c r="C39" s="141"/>
      <c r="D39" s="103"/>
      <c r="E39" s="104"/>
      <c r="F39" s="92">
        <v>0</v>
      </c>
      <c r="G39" s="150">
        <f>IF(F39&gt;0,F39,
IF(B39&lt;&gt;"",
IF(C39="CLT",VLOOKUP(B39,'Lista Profissionais'!$C$11:$H$348,3,0),
VLOOKUP(B39,'Lista Profissionais'!$C$11:$H$348,4,0)), 0))</f>
        <v>0</v>
      </c>
      <c r="H39" s="66">
        <f t="shared" si="24"/>
        <v>0</v>
      </c>
      <c r="I39" s="66">
        <f t="shared" si="1"/>
        <v>0</v>
      </c>
      <c r="J39" s="66">
        <f t="shared" si="2"/>
        <v>0</v>
      </c>
      <c r="K39" s="93">
        <f t="shared" si="3"/>
        <v>0</v>
      </c>
      <c r="L39" s="151"/>
      <c r="M39" s="152">
        <v>0</v>
      </c>
      <c r="N39" s="69">
        <f t="shared" si="4"/>
        <v>0</v>
      </c>
      <c r="O39" s="69">
        <f t="shared" si="5"/>
        <v>0</v>
      </c>
      <c r="P39" s="70">
        <f t="shared" si="6"/>
        <v>0</v>
      </c>
      <c r="Q39" s="153">
        <f t="shared" si="7"/>
        <v>0</v>
      </c>
      <c r="R39" s="70">
        <v>0</v>
      </c>
      <c r="S39" s="165">
        <f t="shared" si="8"/>
        <v>0</v>
      </c>
      <c r="T39" s="163">
        <f t="shared" si="9"/>
        <v>0</v>
      </c>
      <c r="U39" s="164">
        <f t="shared" si="10"/>
        <v>0</v>
      </c>
      <c r="V39" s="164">
        <f t="shared" si="11"/>
        <v>0</v>
      </c>
      <c r="W39" s="144">
        <f t="shared" si="12"/>
        <v>0</v>
      </c>
      <c r="X39" s="150">
        <f t="shared" si="13"/>
        <v>0</v>
      </c>
      <c r="Y39" s="150">
        <f t="shared" si="14"/>
        <v>0</v>
      </c>
      <c r="Z39" s="150">
        <f t="shared" si="15"/>
        <v>0</v>
      </c>
      <c r="AA39" s="150">
        <f t="shared" si="16"/>
        <v>0</v>
      </c>
      <c r="AB39" s="150">
        <f t="shared" si="17"/>
        <v>0</v>
      </c>
      <c r="AC39" s="150">
        <f t="shared" si="18"/>
        <v>0</v>
      </c>
      <c r="AD39" s="150">
        <f t="shared" si="19"/>
        <v>0</v>
      </c>
      <c r="AE39" s="154">
        <f t="shared" si="20"/>
        <v>0</v>
      </c>
      <c r="AF39" s="70">
        <f t="shared" si="21"/>
        <v>0</v>
      </c>
      <c r="AG39" s="155">
        <f t="shared" si="22"/>
        <v>0</v>
      </c>
    </row>
    <row r="40" spans="2:33" ht="14.25" customHeight="1" x14ac:dyDescent="0.25">
      <c r="B40" s="143"/>
      <c r="C40" s="141"/>
      <c r="D40" s="103"/>
      <c r="E40" s="104"/>
      <c r="F40" s="92">
        <v>0</v>
      </c>
      <c r="G40" s="150">
        <f>IF(F40&gt;0,F40,
IF(B40&lt;&gt;"",
IF(C40="CLT",VLOOKUP(B40,'Lista Profissionais'!$C$11:$H$348,3,0),
VLOOKUP(B40,'Lista Profissionais'!$C$11:$H$348,4,0)), 0))</f>
        <v>0</v>
      </c>
      <c r="H40" s="66">
        <f t="shared" si="24"/>
        <v>0</v>
      </c>
      <c r="I40" s="66">
        <f t="shared" si="1"/>
        <v>0</v>
      </c>
      <c r="J40" s="66">
        <f t="shared" si="2"/>
        <v>0</v>
      </c>
      <c r="K40" s="93">
        <f t="shared" si="3"/>
        <v>0</v>
      </c>
      <c r="L40" s="151"/>
      <c r="M40" s="152">
        <v>0</v>
      </c>
      <c r="N40" s="69">
        <f t="shared" si="4"/>
        <v>0</v>
      </c>
      <c r="O40" s="69">
        <f t="shared" si="5"/>
        <v>0</v>
      </c>
      <c r="P40" s="70">
        <f t="shared" si="6"/>
        <v>0</v>
      </c>
      <c r="Q40" s="153">
        <f t="shared" si="7"/>
        <v>0</v>
      </c>
      <c r="R40" s="70">
        <v>0</v>
      </c>
      <c r="S40" s="165">
        <f t="shared" si="8"/>
        <v>0</v>
      </c>
      <c r="T40" s="163">
        <f t="shared" si="9"/>
        <v>0</v>
      </c>
      <c r="U40" s="164">
        <f t="shared" si="10"/>
        <v>0</v>
      </c>
      <c r="V40" s="164">
        <f t="shared" si="11"/>
        <v>0</v>
      </c>
      <c r="W40" s="144">
        <f t="shared" si="12"/>
        <v>0</v>
      </c>
      <c r="X40" s="150">
        <f t="shared" si="13"/>
        <v>0</v>
      </c>
      <c r="Y40" s="150">
        <f t="shared" si="14"/>
        <v>0</v>
      </c>
      <c r="Z40" s="150">
        <f t="shared" si="15"/>
        <v>0</v>
      </c>
      <c r="AA40" s="150">
        <f t="shared" si="16"/>
        <v>0</v>
      </c>
      <c r="AB40" s="150">
        <f t="shared" si="17"/>
        <v>0</v>
      </c>
      <c r="AC40" s="150">
        <f t="shared" si="18"/>
        <v>0</v>
      </c>
      <c r="AD40" s="150">
        <f t="shared" si="19"/>
        <v>0</v>
      </c>
      <c r="AE40" s="154">
        <f t="shared" si="20"/>
        <v>0</v>
      </c>
      <c r="AF40" s="70">
        <f t="shared" si="21"/>
        <v>0</v>
      </c>
      <c r="AG40" s="155">
        <f t="shared" si="22"/>
        <v>0</v>
      </c>
    </row>
    <row r="41" spans="2:33" ht="14.25" customHeight="1" x14ac:dyDescent="0.25">
      <c r="B41" s="143"/>
      <c r="C41" s="141"/>
      <c r="D41" s="103"/>
      <c r="E41" s="104"/>
      <c r="F41" s="92">
        <v>0</v>
      </c>
      <c r="G41" s="150">
        <f>IF(F41&gt;0,F41,
IF(B41&lt;&gt;"",
IF(C41="CLT",VLOOKUP(B41,'Lista Profissionais'!$C$11:$H$348,3,0),
VLOOKUP(B41,'Lista Profissionais'!$C$11:$H$348,4,0)), 0))</f>
        <v>0</v>
      </c>
      <c r="H41" s="66">
        <f t="shared" si="24"/>
        <v>0</v>
      </c>
      <c r="I41" s="66">
        <f t="shared" ref="I41:I72" si="25">H41+AD41</f>
        <v>0</v>
      </c>
      <c r="J41" s="66">
        <f t="shared" ref="J41:J72" si="26">I41+R41+AE41</f>
        <v>0</v>
      </c>
      <c r="K41" s="93">
        <f t="shared" ref="K41:K72" si="27">IF(D41&gt;0,I41/D41,0)</f>
        <v>0</v>
      </c>
      <c r="L41" s="151"/>
      <c r="M41" s="152">
        <v>0</v>
      </c>
      <c r="N41" s="69">
        <f t="shared" ref="N41:N72" si="28">I41*$G$6</f>
        <v>0</v>
      </c>
      <c r="O41" s="69">
        <f t="shared" ref="O41:O72" si="29">IF(L41&gt;0,L41,  I41*(1+$G$5))</f>
        <v>0</v>
      </c>
      <c r="P41" s="70">
        <f t="shared" si="6"/>
        <v>0</v>
      </c>
      <c r="Q41" s="153">
        <f t="shared" ref="Q41:Q72" si="30">IF(E41="Sim", P41*$G$3,0)</f>
        <v>0</v>
      </c>
      <c r="R41" s="70">
        <v>0</v>
      </c>
      <c r="S41" s="165">
        <f t="shared" ref="S41:S72" si="31">IF($D$4="Sim",(IF(E41="Não",0,(P41+(P41*$N$4)+Q41+R41)*$D$5)+P41),
IF(E41="Não",0,P41+(P41*$N$4)+Q41+R41
))</f>
        <v>0</v>
      </c>
      <c r="T41" s="163">
        <f t="shared" ref="T41:T72" si="32">IF(D41&gt;0,S41/D41,0)</f>
        <v>0</v>
      </c>
      <c r="U41" s="164">
        <f t="shared" ref="U41:U72" si="33">IF(C41="CLT",
       H41*$L$2, 0)</f>
        <v>0</v>
      </c>
      <c r="V41" s="164">
        <f t="shared" ref="V41:V72" si="34">IF(C41="CLT",
       U41*$L$3, 0)</f>
        <v>0</v>
      </c>
      <c r="W41" s="144">
        <f t="shared" ref="W41:W72" si="35">IF(C41="CLT",
       H41/12, 0)</f>
        <v>0</v>
      </c>
      <c r="X41" s="150">
        <f t="shared" ref="X41:X72" si="36">IF(C41="CLT",
       W41/3, 0)</f>
        <v>0</v>
      </c>
      <c r="Y41" s="150">
        <f t="shared" ref="Y41:Y72" si="37">IF(C41="CLT",
       H41/12, 0)</f>
        <v>0</v>
      </c>
      <c r="Z41" s="150">
        <f t="shared" ref="Z41:Z72" si="38">IF(C41="CLT",
       H41/12, 0)</f>
        <v>0</v>
      </c>
      <c r="AA41" s="150">
        <f t="shared" ref="AA41:AA72" si="39">IF(B41&lt;&gt;"",
IF(C41="CLT",
       22*$L$5,0),0)</f>
        <v>0</v>
      </c>
      <c r="AB41" s="150">
        <f t="shared" ref="AB41:AB72" si="40">IF(C41="CLT",
       H41*$L$4, 0)</f>
        <v>0</v>
      </c>
      <c r="AC41" s="150">
        <f t="shared" ref="AC41:AC72" si="41">IF(B41&lt;&gt;"",
IF(C41="CLT",
       $P$2, 0),0)</f>
        <v>0</v>
      </c>
      <c r="AD41" s="150">
        <f t="shared" si="19"/>
        <v>0</v>
      </c>
      <c r="AE41" s="154">
        <f t="shared" ref="AE41:AE72" si="42">IF(E41="Sim", S41*$G$4, 0)</f>
        <v>0</v>
      </c>
      <c r="AF41" s="70">
        <f t="shared" ref="AF41:AF72" si="43">S41-AE41-I41-Q41</f>
        <v>0</v>
      </c>
      <c r="AG41" s="155">
        <f t="shared" si="22"/>
        <v>0</v>
      </c>
    </row>
    <row r="42" spans="2:33" ht="14.25" customHeight="1" x14ac:dyDescent="0.25">
      <c r="B42" s="143"/>
      <c r="C42" s="141"/>
      <c r="D42" s="103"/>
      <c r="E42" s="104"/>
      <c r="F42" s="92">
        <v>0</v>
      </c>
      <c r="G42" s="150">
        <f>IF(F42&gt;0,F42,
IF(B42&lt;&gt;"",
IF(C42="CLT",VLOOKUP(B42,'Lista Profissionais'!$C$11:$H$348,3,0),
VLOOKUP(B42,'Lista Profissionais'!$C$11:$H$348,4,0)), 0))</f>
        <v>0</v>
      </c>
      <c r="H42" s="66">
        <f t="shared" si="24"/>
        <v>0</v>
      </c>
      <c r="I42" s="66">
        <f t="shared" si="25"/>
        <v>0</v>
      </c>
      <c r="J42" s="66">
        <f t="shared" si="26"/>
        <v>0</v>
      </c>
      <c r="K42" s="93">
        <f t="shared" si="27"/>
        <v>0</v>
      </c>
      <c r="L42" s="151"/>
      <c r="M42" s="152">
        <v>0</v>
      </c>
      <c r="N42" s="69">
        <f t="shared" si="28"/>
        <v>0</v>
      </c>
      <c r="O42" s="69">
        <f t="shared" si="29"/>
        <v>0</v>
      </c>
      <c r="P42" s="70">
        <f t="shared" si="6"/>
        <v>0</v>
      </c>
      <c r="Q42" s="153">
        <f t="shared" si="30"/>
        <v>0</v>
      </c>
      <c r="R42" s="70">
        <v>0</v>
      </c>
      <c r="S42" s="165">
        <f t="shared" si="31"/>
        <v>0</v>
      </c>
      <c r="T42" s="163">
        <f t="shared" si="32"/>
        <v>0</v>
      </c>
      <c r="U42" s="164">
        <f t="shared" si="33"/>
        <v>0</v>
      </c>
      <c r="V42" s="164">
        <f t="shared" si="34"/>
        <v>0</v>
      </c>
      <c r="W42" s="144">
        <f t="shared" si="35"/>
        <v>0</v>
      </c>
      <c r="X42" s="150">
        <f t="shared" si="36"/>
        <v>0</v>
      </c>
      <c r="Y42" s="150">
        <f t="shared" si="37"/>
        <v>0</v>
      </c>
      <c r="Z42" s="150">
        <f t="shared" si="38"/>
        <v>0</v>
      </c>
      <c r="AA42" s="150">
        <f t="shared" si="39"/>
        <v>0</v>
      </c>
      <c r="AB42" s="150">
        <f t="shared" si="40"/>
        <v>0</v>
      </c>
      <c r="AC42" s="150">
        <f t="shared" si="41"/>
        <v>0</v>
      </c>
      <c r="AD42" s="150">
        <f t="shared" si="19"/>
        <v>0</v>
      </c>
      <c r="AE42" s="154">
        <f t="shared" si="42"/>
        <v>0</v>
      </c>
      <c r="AF42" s="70">
        <f t="shared" si="43"/>
        <v>0</v>
      </c>
      <c r="AG42" s="155">
        <f t="shared" si="22"/>
        <v>0</v>
      </c>
    </row>
    <row r="43" spans="2:33" ht="14.25" customHeight="1" x14ac:dyDescent="0.25">
      <c r="B43" s="143"/>
      <c r="C43" s="141"/>
      <c r="D43" s="103"/>
      <c r="E43" s="104"/>
      <c r="F43" s="92">
        <v>0</v>
      </c>
      <c r="G43" s="150">
        <f>IF(F43&gt;0,F43,
IF(B43&lt;&gt;"",
IF(C43="CLT",VLOOKUP(B43,'Lista Profissionais'!$C$11:$H$348,3,0),
VLOOKUP(B43,'Lista Profissionais'!$C$11:$H$348,4,0)), 0))</f>
        <v>0</v>
      </c>
      <c r="H43" s="66">
        <f t="shared" si="24"/>
        <v>0</v>
      </c>
      <c r="I43" s="66">
        <f t="shared" si="25"/>
        <v>0</v>
      </c>
      <c r="J43" s="66">
        <f t="shared" si="26"/>
        <v>0</v>
      </c>
      <c r="K43" s="93">
        <f t="shared" si="27"/>
        <v>0</v>
      </c>
      <c r="L43" s="151"/>
      <c r="M43" s="152">
        <v>0</v>
      </c>
      <c r="N43" s="69">
        <f t="shared" si="28"/>
        <v>0</v>
      </c>
      <c r="O43" s="69">
        <f t="shared" si="29"/>
        <v>0</v>
      </c>
      <c r="P43" s="70">
        <f t="shared" si="6"/>
        <v>0</v>
      </c>
      <c r="Q43" s="153">
        <f t="shared" si="30"/>
        <v>0</v>
      </c>
      <c r="R43" s="70">
        <v>0</v>
      </c>
      <c r="S43" s="165">
        <f t="shared" si="31"/>
        <v>0</v>
      </c>
      <c r="T43" s="163">
        <f t="shared" si="32"/>
        <v>0</v>
      </c>
      <c r="U43" s="164">
        <f t="shared" si="33"/>
        <v>0</v>
      </c>
      <c r="V43" s="164">
        <f t="shared" si="34"/>
        <v>0</v>
      </c>
      <c r="W43" s="144">
        <f t="shared" si="35"/>
        <v>0</v>
      </c>
      <c r="X43" s="150">
        <f t="shared" si="36"/>
        <v>0</v>
      </c>
      <c r="Y43" s="150">
        <f t="shared" si="37"/>
        <v>0</v>
      </c>
      <c r="Z43" s="150">
        <f t="shared" si="38"/>
        <v>0</v>
      </c>
      <c r="AA43" s="150">
        <f t="shared" si="39"/>
        <v>0</v>
      </c>
      <c r="AB43" s="150">
        <f t="shared" si="40"/>
        <v>0</v>
      </c>
      <c r="AC43" s="150">
        <f t="shared" si="41"/>
        <v>0</v>
      </c>
      <c r="AD43" s="150">
        <f t="shared" si="19"/>
        <v>0</v>
      </c>
      <c r="AE43" s="154">
        <f t="shared" si="42"/>
        <v>0</v>
      </c>
      <c r="AF43" s="70">
        <f t="shared" si="43"/>
        <v>0</v>
      </c>
      <c r="AG43" s="155">
        <f t="shared" si="22"/>
        <v>0</v>
      </c>
    </row>
    <row r="44" spans="2:33" ht="14.25" customHeight="1" x14ac:dyDescent="0.25">
      <c r="B44" s="143"/>
      <c r="C44" s="141"/>
      <c r="D44" s="103"/>
      <c r="E44" s="104"/>
      <c r="F44" s="92">
        <v>0</v>
      </c>
      <c r="G44" s="150">
        <f>IF(F44&gt;0,F44,
IF(B44&lt;&gt;"",
IF(C44="CLT",VLOOKUP(B44,'Lista Profissionais'!$C$11:$H$348,3,0),
VLOOKUP(B44,'Lista Profissionais'!$C$11:$H$348,4,0)), 0))</f>
        <v>0</v>
      </c>
      <c r="H44" s="66">
        <f t="shared" si="24"/>
        <v>0</v>
      </c>
      <c r="I44" s="66">
        <f t="shared" si="25"/>
        <v>0</v>
      </c>
      <c r="J44" s="66">
        <f t="shared" si="26"/>
        <v>0</v>
      </c>
      <c r="K44" s="93">
        <f t="shared" si="27"/>
        <v>0</v>
      </c>
      <c r="L44" s="151"/>
      <c r="M44" s="152">
        <v>0</v>
      </c>
      <c r="N44" s="69">
        <f t="shared" si="28"/>
        <v>0</v>
      </c>
      <c r="O44" s="69">
        <f t="shared" si="29"/>
        <v>0</v>
      </c>
      <c r="P44" s="70">
        <f t="shared" si="6"/>
        <v>0</v>
      </c>
      <c r="Q44" s="153">
        <f t="shared" si="30"/>
        <v>0</v>
      </c>
      <c r="R44" s="70">
        <v>0</v>
      </c>
      <c r="S44" s="165">
        <f t="shared" si="31"/>
        <v>0</v>
      </c>
      <c r="T44" s="163">
        <f t="shared" si="32"/>
        <v>0</v>
      </c>
      <c r="U44" s="164">
        <f t="shared" si="33"/>
        <v>0</v>
      </c>
      <c r="V44" s="164">
        <f t="shared" si="34"/>
        <v>0</v>
      </c>
      <c r="W44" s="144">
        <f t="shared" si="35"/>
        <v>0</v>
      </c>
      <c r="X44" s="150">
        <f t="shared" si="36"/>
        <v>0</v>
      </c>
      <c r="Y44" s="150">
        <f t="shared" si="37"/>
        <v>0</v>
      </c>
      <c r="Z44" s="150">
        <f t="shared" si="38"/>
        <v>0</v>
      </c>
      <c r="AA44" s="150">
        <f t="shared" si="39"/>
        <v>0</v>
      </c>
      <c r="AB44" s="150">
        <f t="shared" si="40"/>
        <v>0</v>
      </c>
      <c r="AC44" s="150">
        <f t="shared" si="41"/>
        <v>0</v>
      </c>
      <c r="AD44" s="150">
        <f t="shared" si="19"/>
        <v>0</v>
      </c>
      <c r="AE44" s="154">
        <f t="shared" si="42"/>
        <v>0</v>
      </c>
      <c r="AF44" s="70">
        <f t="shared" si="43"/>
        <v>0</v>
      </c>
      <c r="AG44" s="155">
        <f t="shared" si="22"/>
        <v>0</v>
      </c>
    </row>
    <row r="45" spans="2:33" ht="14.25" customHeight="1" x14ac:dyDescent="0.25">
      <c r="B45" s="143"/>
      <c r="C45" s="141"/>
      <c r="D45" s="103"/>
      <c r="E45" s="104"/>
      <c r="F45" s="92">
        <v>0</v>
      </c>
      <c r="G45" s="150">
        <f>IF(F45&gt;0,F45,
IF(B45&lt;&gt;"",
IF(C45="CLT",VLOOKUP(B45,'Lista Profissionais'!$C$11:$H$348,3,0),
VLOOKUP(B45,'Lista Profissionais'!$C$11:$H$348,4,0)), 0))</f>
        <v>0</v>
      </c>
      <c r="H45" s="66">
        <f t="shared" si="24"/>
        <v>0</v>
      </c>
      <c r="I45" s="66">
        <f t="shared" si="25"/>
        <v>0</v>
      </c>
      <c r="J45" s="66">
        <f t="shared" si="26"/>
        <v>0</v>
      </c>
      <c r="K45" s="93">
        <f t="shared" si="27"/>
        <v>0</v>
      </c>
      <c r="L45" s="151"/>
      <c r="M45" s="152">
        <v>0</v>
      </c>
      <c r="N45" s="69">
        <f t="shared" si="28"/>
        <v>0</v>
      </c>
      <c r="O45" s="69">
        <f t="shared" si="29"/>
        <v>0</v>
      </c>
      <c r="P45" s="70">
        <f t="shared" si="6"/>
        <v>0</v>
      </c>
      <c r="Q45" s="153">
        <f t="shared" si="30"/>
        <v>0</v>
      </c>
      <c r="R45" s="70">
        <v>0</v>
      </c>
      <c r="S45" s="165">
        <f t="shared" si="31"/>
        <v>0</v>
      </c>
      <c r="T45" s="163">
        <f t="shared" si="32"/>
        <v>0</v>
      </c>
      <c r="U45" s="164">
        <f t="shared" si="33"/>
        <v>0</v>
      </c>
      <c r="V45" s="164">
        <f t="shared" si="34"/>
        <v>0</v>
      </c>
      <c r="W45" s="144">
        <f t="shared" si="35"/>
        <v>0</v>
      </c>
      <c r="X45" s="150">
        <f t="shared" si="36"/>
        <v>0</v>
      </c>
      <c r="Y45" s="150">
        <f t="shared" si="37"/>
        <v>0</v>
      </c>
      <c r="Z45" s="150">
        <f t="shared" si="38"/>
        <v>0</v>
      </c>
      <c r="AA45" s="150">
        <f t="shared" si="39"/>
        <v>0</v>
      </c>
      <c r="AB45" s="150">
        <f t="shared" si="40"/>
        <v>0</v>
      </c>
      <c r="AC45" s="150">
        <f t="shared" si="41"/>
        <v>0</v>
      </c>
      <c r="AD45" s="150">
        <f t="shared" si="19"/>
        <v>0</v>
      </c>
      <c r="AE45" s="154">
        <f t="shared" si="42"/>
        <v>0</v>
      </c>
      <c r="AF45" s="70">
        <f t="shared" si="43"/>
        <v>0</v>
      </c>
      <c r="AG45" s="155">
        <f t="shared" si="22"/>
        <v>0</v>
      </c>
    </row>
    <row r="46" spans="2:33" ht="14.25" customHeight="1" x14ac:dyDescent="0.25">
      <c r="B46" s="143"/>
      <c r="C46" s="141"/>
      <c r="D46" s="103"/>
      <c r="E46" s="104"/>
      <c r="F46" s="92">
        <v>0</v>
      </c>
      <c r="G46" s="150">
        <f>IF(F46&gt;0,F46,
IF(B46&lt;&gt;"",
IF(C46="CLT",VLOOKUP(B46,'Lista Profissionais'!$C$11:$H$348,3,0),
VLOOKUP(B46,'Lista Profissionais'!$C$11:$H$348,4,0)), 0))</f>
        <v>0</v>
      </c>
      <c r="H46" s="66">
        <f t="shared" si="24"/>
        <v>0</v>
      </c>
      <c r="I46" s="66">
        <f t="shared" si="25"/>
        <v>0</v>
      </c>
      <c r="J46" s="66">
        <f t="shared" si="26"/>
        <v>0</v>
      </c>
      <c r="K46" s="93">
        <f t="shared" si="27"/>
        <v>0</v>
      </c>
      <c r="L46" s="151"/>
      <c r="M46" s="152">
        <v>0</v>
      </c>
      <c r="N46" s="69">
        <f t="shared" si="28"/>
        <v>0</v>
      </c>
      <c r="O46" s="69">
        <f t="shared" si="29"/>
        <v>0</v>
      </c>
      <c r="P46" s="70">
        <f t="shared" si="6"/>
        <v>0</v>
      </c>
      <c r="Q46" s="153">
        <f t="shared" si="30"/>
        <v>0</v>
      </c>
      <c r="R46" s="70">
        <v>0</v>
      </c>
      <c r="S46" s="165">
        <f t="shared" si="31"/>
        <v>0</v>
      </c>
      <c r="T46" s="163">
        <f t="shared" si="32"/>
        <v>0</v>
      </c>
      <c r="U46" s="164">
        <f t="shared" si="33"/>
        <v>0</v>
      </c>
      <c r="V46" s="164">
        <f t="shared" si="34"/>
        <v>0</v>
      </c>
      <c r="W46" s="144">
        <f t="shared" si="35"/>
        <v>0</v>
      </c>
      <c r="X46" s="150">
        <f t="shared" si="36"/>
        <v>0</v>
      </c>
      <c r="Y46" s="150">
        <f t="shared" si="37"/>
        <v>0</v>
      </c>
      <c r="Z46" s="150">
        <f t="shared" si="38"/>
        <v>0</v>
      </c>
      <c r="AA46" s="150">
        <f t="shared" si="39"/>
        <v>0</v>
      </c>
      <c r="AB46" s="150">
        <f t="shared" si="40"/>
        <v>0</v>
      </c>
      <c r="AC46" s="150">
        <f t="shared" si="41"/>
        <v>0</v>
      </c>
      <c r="AD46" s="150">
        <f t="shared" si="19"/>
        <v>0</v>
      </c>
      <c r="AE46" s="154">
        <f t="shared" si="42"/>
        <v>0</v>
      </c>
      <c r="AF46" s="70">
        <f t="shared" si="43"/>
        <v>0</v>
      </c>
      <c r="AG46" s="155">
        <f t="shared" si="22"/>
        <v>0</v>
      </c>
    </row>
    <row r="47" spans="2:33" ht="14.25" customHeight="1" x14ac:dyDescent="0.25">
      <c r="B47" s="143"/>
      <c r="C47" s="141"/>
      <c r="D47" s="103"/>
      <c r="E47" s="104"/>
      <c r="F47" s="92">
        <v>0</v>
      </c>
      <c r="G47" s="150">
        <f>IF(F47&gt;0,F47,
IF(B47&lt;&gt;"",
IF(C47="CLT",VLOOKUP(B47,'Lista Profissionais'!$C$11:$H$348,3,0),
VLOOKUP(B47,'Lista Profissionais'!$C$11:$H$348,4,0)), 0))</f>
        <v>0</v>
      </c>
      <c r="H47" s="66">
        <f t="shared" si="24"/>
        <v>0</v>
      </c>
      <c r="I47" s="66">
        <f t="shared" si="25"/>
        <v>0</v>
      </c>
      <c r="J47" s="66">
        <f t="shared" si="26"/>
        <v>0</v>
      </c>
      <c r="K47" s="93">
        <f t="shared" si="27"/>
        <v>0</v>
      </c>
      <c r="L47" s="151"/>
      <c r="M47" s="152">
        <v>0</v>
      </c>
      <c r="N47" s="69">
        <f t="shared" si="28"/>
        <v>0</v>
      </c>
      <c r="O47" s="69">
        <f t="shared" si="29"/>
        <v>0</v>
      </c>
      <c r="P47" s="70">
        <f t="shared" si="6"/>
        <v>0</v>
      </c>
      <c r="Q47" s="153">
        <f t="shared" si="30"/>
        <v>0</v>
      </c>
      <c r="R47" s="70">
        <v>0</v>
      </c>
      <c r="S47" s="165">
        <f t="shared" si="31"/>
        <v>0</v>
      </c>
      <c r="T47" s="163">
        <f t="shared" si="32"/>
        <v>0</v>
      </c>
      <c r="U47" s="164">
        <f t="shared" si="33"/>
        <v>0</v>
      </c>
      <c r="V47" s="164">
        <f t="shared" si="34"/>
        <v>0</v>
      </c>
      <c r="W47" s="144">
        <f t="shared" si="35"/>
        <v>0</v>
      </c>
      <c r="X47" s="150">
        <f t="shared" si="36"/>
        <v>0</v>
      </c>
      <c r="Y47" s="150">
        <f t="shared" si="37"/>
        <v>0</v>
      </c>
      <c r="Z47" s="150">
        <f t="shared" si="38"/>
        <v>0</v>
      </c>
      <c r="AA47" s="150">
        <f t="shared" si="39"/>
        <v>0</v>
      </c>
      <c r="AB47" s="150">
        <f t="shared" si="40"/>
        <v>0</v>
      </c>
      <c r="AC47" s="150">
        <f t="shared" si="41"/>
        <v>0</v>
      </c>
      <c r="AD47" s="150">
        <f t="shared" si="19"/>
        <v>0</v>
      </c>
      <c r="AE47" s="154">
        <f t="shared" si="42"/>
        <v>0</v>
      </c>
      <c r="AF47" s="70">
        <f t="shared" si="43"/>
        <v>0</v>
      </c>
      <c r="AG47" s="155">
        <f t="shared" si="22"/>
        <v>0</v>
      </c>
    </row>
    <row r="48" spans="2:33" ht="14.25" customHeight="1" x14ac:dyDescent="0.25">
      <c r="B48" s="142"/>
      <c r="C48" s="141"/>
      <c r="D48" s="103"/>
      <c r="E48" s="104"/>
      <c r="F48" s="92">
        <v>0</v>
      </c>
      <c r="G48" s="150">
        <f>IF(F48&gt;0,F48,
IF(B48&lt;&gt;"",
IF(C48="CLT",VLOOKUP(B48,'Lista Profissionais'!$C$11:$H$348,3,0),
VLOOKUP(B48,'Lista Profissionais'!$C$11:$H$348,4,0)), 0))</f>
        <v>0</v>
      </c>
      <c r="H48" s="66">
        <f t="shared" si="24"/>
        <v>0</v>
      </c>
      <c r="I48" s="66">
        <f t="shared" si="25"/>
        <v>0</v>
      </c>
      <c r="J48" s="66">
        <f t="shared" si="26"/>
        <v>0</v>
      </c>
      <c r="K48" s="93">
        <f t="shared" si="27"/>
        <v>0</v>
      </c>
      <c r="L48" s="151"/>
      <c r="M48" s="152">
        <v>0</v>
      </c>
      <c r="N48" s="69">
        <f t="shared" si="28"/>
        <v>0</v>
      </c>
      <c r="O48" s="69">
        <f t="shared" si="29"/>
        <v>0</v>
      </c>
      <c r="P48" s="70">
        <f t="shared" si="6"/>
        <v>0</v>
      </c>
      <c r="Q48" s="153">
        <f t="shared" si="30"/>
        <v>0</v>
      </c>
      <c r="R48" s="70">
        <v>0</v>
      </c>
      <c r="S48" s="165">
        <f t="shared" si="31"/>
        <v>0</v>
      </c>
      <c r="T48" s="163">
        <f t="shared" si="32"/>
        <v>0</v>
      </c>
      <c r="U48" s="164">
        <f t="shared" si="33"/>
        <v>0</v>
      </c>
      <c r="V48" s="164">
        <f t="shared" si="34"/>
        <v>0</v>
      </c>
      <c r="W48" s="144">
        <f t="shared" si="35"/>
        <v>0</v>
      </c>
      <c r="X48" s="150">
        <f t="shared" si="36"/>
        <v>0</v>
      </c>
      <c r="Y48" s="150">
        <f t="shared" si="37"/>
        <v>0</v>
      </c>
      <c r="Z48" s="150">
        <f t="shared" si="38"/>
        <v>0</v>
      </c>
      <c r="AA48" s="150">
        <f t="shared" si="39"/>
        <v>0</v>
      </c>
      <c r="AB48" s="150">
        <f t="shared" si="40"/>
        <v>0</v>
      </c>
      <c r="AC48" s="150">
        <f t="shared" si="41"/>
        <v>0</v>
      </c>
      <c r="AD48" s="150">
        <f t="shared" si="19"/>
        <v>0</v>
      </c>
      <c r="AE48" s="154">
        <f t="shared" si="42"/>
        <v>0</v>
      </c>
      <c r="AF48" s="70">
        <f t="shared" si="43"/>
        <v>0</v>
      </c>
      <c r="AG48" s="155">
        <f t="shared" si="22"/>
        <v>0</v>
      </c>
    </row>
    <row r="49" spans="2:33" ht="14.25" customHeight="1" x14ac:dyDescent="0.25">
      <c r="B49" s="142"/>
      <c r="C49" s="141"/>
      <c r="D49" s="103"/>
      <c r="E49" s="104"/>
      <c r="F49" s="92">
        <v>0</v>
      </c>
      <c r="G49" s="150">
        <f>IF(F49&gt;0,F49,
IF(B49&lt;&gt;"",
IF(C49="CLT",VLOOKUP(B49,'Lista Profissionais'!$C$11:$H$348,3,0),
VLOOKUP(B49,'Lista Profissionais'!$C$11:$H$348,4,0)), 0))</f>
        <v>0</v>
      </c>
      <c r="H49" s="66">
        <f t="shared" si="24"/>
        <v>0</v>
      </c>
      <c r="I49" s="66">
        <f t="shared" si="25"/>
        <v>0</v>
      </c>
      <c r="J49" s="66">
        <f t="shared" si="26"/>
        <v>0</v>
      </c>
      <c r="K49" s="93">
        <f t="shared" si="27"/>
        <v>0</v>
      </c>
      <c r="L49" s="151"/>
      <c r="M49" s="152">
        <v>0</v>
      </c>
      <c r="N49" s="69">
        <f t="shared" si="28"/>
        <v>0</v>
      </c>
      <c r="O49" s="69">
        <f t="shared" si="29"/>
        <v>0</v>
      </c>
      <c r="P49" s="70">
        <f t="shared" si="6"/>
        <v>0</v>
      </c>
      <c r="Q49" s="153">
        <f t="shared" si="30"/>
        <v>0</v>
      </c>
      <c r="R49" s="70">
        <v>0</v>
      </c>
      <c r="S49" s="165">
        <f t="shared" si="31"/>
        <v>0</v>
      </c>
      <c r="T49" s="163">
        <f t="shared" si="32"/>
        <v>0</v>
      </c>
      <c r="U49" s="164">
        <f t="shared" si="33"/>
        <v>0</v>
      </c>
      <c r="V49" s="164">
        <f t="shared" si="34"/>
        <v>0</v>
      </c>
      <c r="W49" s="144">
        <f t="shared" si="35"/>
        <v>0</v>
      </c>
      <c r="X49" s="150">
        <f t="shared" si="36"/>
        <v>0</v>
      </c>
      <c r="Y49" s="150">
        <f t="shared" si="37"/>
        <v>0</v>
      </c>
      <c r="Z49" s="150">
        <f t="shared" si="38"/>
        <v>0</v>
      </c>
      <c r="AA49" s="150">
        <f t="shared" si="39"/>
        <v>0</v>
      </c>
      <c r="AB49" s="150">
        <f t="shared" si="40"/>
        <v>0</v>
      </c>
      <c r="AC49" s="150">
        <f t="shared" si="41"/>
        <v>0</v>
      </c>
      <c r="AD49" s="150">
        <f t="shared" si="19"/>
        <v>0</v>
      </c>
      <c r="AE49" s="154">
        <f t="shared" si="42"/>
        <v>0</v>
      </c>
      <c r="AF49" s="70">
        <f t="shared" si="43"/>
        <v>0</v>
      </c>
      <c r="AG49" s="155">
        <f t="shared" si="22"/>
        <v>0</v>
      </c>
    </row>
    <row r="50" spans="2:33" ht="14.25" customHeight="1" x14ac:dyDescent="0.25">
      <c r="B50" s="142"/>
      <c r="C50" s="141"/>
      <c r="D50" s="103"/>
      <c r="E50" s="104"/>
      <c r="F50" s="92">
        <v>0</v>
      </c>
      <c r="G50" s="150">
        <f>IF(F50&gt;0,F50,
IF(B50&lt;&gt;"",
IF(C50="CLT",VLOOKUP(B50,'Lista Profissionais'!$C$11:$H$348,3,0),
VLOOKUP(B50,'Lista Profissionais'!$C$11:$H$348,4,0)), 0))</f>
        <v>0</v>
      </c>
      <c r="H50" s="66">
        <f t="shared" si="24"/>
        <v>0</v>
      </c>
      <c r="I50" s="66">
        <f t="shared" si="25"/>
        <v>0</v>
      </c>
      <c r="J50" s="66">
        <f t="shared" si="26"/>
        <v>0</v>
      </c>
      <c r="K50" s="93">
        <f t="shared" si="27"/>
        <v>0</v>
      </c>
      <c r="L50" s="151"/>
      <c r="M50" s="152">
        <v>0</v>
      </c>
      <c r="N50" s="69">
        <f t="shared" si="28"/>
        <v>0</v>
      </c>
      <c r="O50" s="69">
        <f t="shared" si="29"/>
        <v>0</v>
      </c>
      <c r="P50" s="70">
        <f t="shared" si="6"/>
        <v>0</v>
      </c>
      <c r="Q50" s="153">
        <f t="shared" si="30"/>
        <v>0</v>
      </c>
      <c r="R50" s="70">
        <v>0</v>
      </c>
      <c r="S50" s="165">
        <f t="shared" si="31"/>
        <v>0</v>
      </c>
      <c r="T50" s="163">
        <f t="shared" si="32"/>
        <v>0</v>
      </c>
      <c r="U50" s="164">
        <f t="shared" si="33"/>
        <v>0</v>
      </c>
      <c r="V50" s="164">
        <f t="shared" si="34"/>
        <v>0</v>
      </c>
      <c r="W50" s="144">
        <f t="shared" si="35"/>
        <v>0</v>
      </c>
      <c r="X50" s="150">
        <f t="shared" si="36"/>
        <v>0</v>
      </c>
      <c r="Y50" s="150">
        <f t="shared" si="37"/>
        <v>0</v>
      </c>
      <c r="Z50" s="150">
        <f t="shared" si="38"/>
        <v>0</v>
      </c>
      <c r="AA50" s="150">
        <f t="shared" si="39"/>
        <v>0</v>
      </c>
      <c r="AB50" s="150">
        <f t="shared" si="40"/>
        <v>0</v>
      </c>
      <c r="AC50" s="150">
        <f t="shared" si="41"/>
        <v>0</v>
      </c>
      <c r="AD50" s="150">
        <f t="shared" si="19"/>
        <v>0</v>
      </c>
      <c r="AE50" s="154">
        <f t="shared" si="42"/>
        <v>0</v>
      </c>
      <c r="AF50" s="70">
        <f t="shared" si="43"/>
        <v>0</v>
      </c>
      <c r="AG50" s="155">
        <f t="shared" si="22"/>
        <v>0</v>
      </c>
    </row>
    <row r="51" spans="2:33" ht="14.25" customHeight="1" x14ac:dyDescent="0.25">
      <c r="B51" s="142"/>
      <c r="C51" s="141"/>
      <c r="D51" s="103"/>
      <c r="E51" s="104"/>
      <c r="F51" s="92">
        <v>0</v>
      </c>
      <c r="G51" s="150">
        <f>IF(F51&gt;0,F51,
IF(B51&lt;&gt;"",
IF(C51="CLT",VLOOKUP(B51,'Lista Profissionais'!$C$11:$H$348,3,0),
VLOOKUP(B51,'Lista Profissionais'!$C$11:$H$348,4,0)), 0))</f>
        <v>0</v>
      </c>
      <c r="H51" s="66">
        <f t="shared" si="24"/>
        <v>0</v>
      </c>
      <c r="I51" s="66">
        <f t="shared" si="25"/>
        <v>0</v>
      </c>
      <c r="J51" s="66">
        <f t="shared" si="26"/>
        <v>0</v>
      </c>
      <c r="K51" s="93">
        <f t="shared" si="27"/>
        <v>0</v>
      </c>
      <c r="L51" s="151"/>
      <c r="M51" s="152">
        <v>0</v>
      </c>
      <c r="N51" s="69">
        <f t="shared" si="28"/>
        <v>0</v>
      </c>
      <c r="O51" s="69">
        <f t="shared" si="29"/>
        <v>0</v>
      </c>
      <c r="P51" s="70">
        <f t="shared" si="6"/>
        <v>0</v>
      </c>
      <c r="Q51" s="153">
        <f t="shared" si="30"/>
        <v>0</v>
      </c>
      <c r="R51" s="70">
        <v>0</v>
      </c>
      <c r="S51" s="165">
        <f t="shared" si="31"/>
        <v>0</v>
      </c>
      <c r="T51" s="163">
        <f t="shared" si="32"/>
        <v>0</v>
      </c>
      <c r="U51" s="164">
        <f t="shared" si="33"/>
        <v>0</v>
      </c>
      <c r="V51" s="164">
        <f t="shared" si="34"/>
        <v>0</v>
      </c>
      <c r="W51" s="144">
        <f t="shared" si="35"/>
        <v>0</v>
      </c>
      <c r="X51" s="150">
        <f t="shared" si="36"/>
        <v>0</v>
      </c>
      <c r="Y51" s="150">
        <f t="shared" si="37"/>
        <v>0</v>
      </c>
      <c r="Z51" s="150">
        <f t="shared" si="38"/>
        <v>0</v>
      </c>
      <c r="AA51" s="150">
        <f t="shared" si="39"/>
        <v>0</v>
      </c>
      <c r="AB51" s="150">
        <f t="shared" si="40"/>
        <v>0</v>
      </c>
      <c r="AC51" s="150">
        <f t="shared" si="41"/>
        <v>0</v>
      </c>
      <c r="AD51" s="150">
        <f t="shared" si="19"/>
        <v>0</v>
      </c>
      <c r="AE51" s="154">
        <f t="shared" si="42"/>
        <v>0</v>
      </c>
      <c r="AF51" s="70">
        <f t="shared" si="43"/>
        <v>0</v>
      </c>
      <c r="AG51" s="155">
        <f t="shared" si="22"/>
        <v>0</v>
      </c>
    </row>
    <row r="52" spans="2:33" ht="14.25" customHeight="1" x14ac:dyDescent="0.25">
      <c r="B52" s="143"/>
      <c r="C52" s="141"/>
      <c r="D52" s="103"/>
      <c r="E52" s="104"/>
      <c r="F52" s="92">
        <v>0</v>
      </c>
      <c r="G52" s="150">
        <f>IF(F52&gt;0,F52,
IF(B52&lt;&gt;"",
IF(C52="CLT",VLOOKUP(B52,'Lista Profissionais'!$C$11:$H$348,3,0),
VLOOKUP(B52,'Lista Profissionais'!$C$11:$H$348,4,0)), 0))</f>
        <v>0</v>
      </c>
      <c r="H52" s="66">
        <f t="shared" si="24"/>
        <v>0</v>
      </c>
      <c r="I52" s="66">
        <f t="shared" si="25"/>
        <v>0</v>
      </c>
      <c r="J52" s="66">
        <f t="shared" si="26"/>
        <v>0</v>
      </c>
      <c r="K52" s="93">
        <f t="shared" si="27"/>
        <v>0</v>
      </c>
      <c r="L52" s="151"/>
      <c r="M52" s="152">
        <v>0</v>
      </c>
      <c r="N52" s="69">
        <f t="shared" si="28"/>
        <v>0</v>
      </c>
      <c r="O52" s="69">
        <f t="shared" si="29"/>
        <v>0</v>
      </c>
      <c r="P52" s="70">
        <f t="shared" si="6"/>
        <v>0</v>
      </c>
      <c r="Q52" s="153">
        <f t="shared" si="30"/>
        <v>0</v>
      </c>
      <c r="R52" s="70">
        <v>0</v>
      </c>
      <c r="S52" s="165">
        <f t="shared" si="31"/>
        <v>0</v>
      </c>
      <c r="T52" s="163">
        <f t="shared" si="32"/>
        <v>0</v>
      </c>
      <c r="U52" s="164">
        <f t="shared" si="33"/>
        <v>0</v>
      </c>
      <c r="V52" s="164">
        <f t="shared" si="34"/>
        <v>0</v>
      </c>
      <c r="W52" s="144">
        <f t="shared" si="35"/>
        <v>0</v>
      </c>
      <c r="X52" s="150">
        <f t="shared" si="36"/>
        <v>0</v>
      </c>
      <c r="Y52" s="150">
        <f t="shared" si="37"/>
        <v>0</v>
      </c>
      <c r="Z52" s="150">
        <f t="shared" si="38"/>
        <v>0</v>
      </c>
      <c r="AA52" s="150">
        <f t="shared" si="39"/>
        <v>0</v>
      </c>
      <c r="AB52" s="150">
        <f t="shared" si="40"/>
        <v>0</v>
      </c>
      <c r="AC52" s="150">
        <f t="shared" si="41"/>
        <v>0</v>
      </c>
      <c r="AD52" s="150">
        <f t="shared" si="19"/>
        <v>0</v>
      </c>
      <c r="AE52" s="154">
        <f t="shared" si="42"/>
        <v>0</v>
      </c>
      <c r="AF52" s="70">
        <f t="shared" si="43"/>
        <v>0</v>
      </c>
      <c r="AG52" s="155">
        <f t="shared" si="22"/>
        <v>0</v>
      </c>
    </row>
    <row r="53" spans="2:33" ht="14.25" customHeight="1" x14ac:dyDescent="0.25">
      <c r="B53" s="143"/>
      <c r="C53" s="141"/>
      <c r="D53" s="103"/>
      <c r="E53" s="104"/>
      <c r="F53" s="92">
        <v>0</v>
      </c>
      <c r="G53" s="150">
        <f>IF(F53&gt;0,F53,
IF(B53&lt;&gt;"",
IF(C53="CLT",VLOOKUP(B53,'Lista Profissionais'!$C$11:$H$348,3,0),
VLOOKUP(B53,'Lista Profissionais'!$C$11:$H$348,4,0)), 0))</f>
        <v>0</v>
      </c>
      <c r="H53" s="66">
        <f t="shared" si="24"/>
        <v>0</v>
      </c>
      <c r="I53" s="66">
        <f t="shared" si="25"/>
        <v>0</v>
      </c>
      <c r="J53" s="66">
        <f t="shared" si="26"/>
        <v>0</v>
      </c>
      <c r="K53" s="93">
        <f t="shared" si="27"/>
        <v>0</v>
      </c>
      <c r="L53" s="151"/>
      <c r="M53" s="152">
        <v>0</v>
      </c>
      <c r="N53" s="69">
        <f t="shared" si="28"/>
        <v>0</v>
      </c>
      <c r="O53" s="69">
        <f t="shared" si="29"/>
        <v>0</v>
      </c>
      <c r="P53" s="70">
        <f t="shared" si="6"/>
        <v>0</v>
      </c>
      <c r="Q53" s="153">
        <f t="shared" si="30"/>
        <v>0</v>
      </c>
      <c r="R53" s="70">
        <v>0</v>
      </c>
      <c r="S53" s="165">
        <f t="shared" si="31"/>
        <v>0</v>
      </c>
      <c r="T53" s="163">
        <f t="shared" si="32"/>
        <v>0</v>
      </c>
      <c r="U53" s="164">
        <f t="shared" si="33"/>
        <v>0</v>
      </c>
      <c r="V53" s="164">
        <f t="shared" si="34"/>
        <v>0</v>
      </c>
      <c r="W53" s="144">
        <f t="shared" si="35"/>
        <v>0</v>
      </c>
      <c r="X53" s="150">
        <f t="shared" si="36"/>
        <v>0</v>
      </c>
      <c r="Y53" s="150">
        <f t="shared" si="37"/>
        <v>0</v>
      </c>
      <c r="Z53" s="150">
        <f t="shared" si="38"/>
        <v>0</v>
      </c>
      <c r="AA53" s="150">
        <f t="shared" si="39"/>
        <v>0</v>
      </c>
      <c r="AB53" s="150">
        <f t="shared" si="40"/>
        <v>0</v>
      </c>
      <c r="AC53" s="150">
        <f t="shared" si="41"/>
        <v>0</v>
      </c>
      <c r="AD53" s="150">
        <f t="shared" si="19"/>
        <v>0</v>
      </c>
      <c r="AE53" s="154">
        <f t="shared" si="42"/>
        <v>0</v>
      </c>
      <c r="AF53" s="70">
        <f t="shared" si="43"/>
        <v>0</v>
      </c>
      <c r="AG53" s="155">
        <f t="shared" si="22"/>
        <v>0</v>
      </c>
    </row>
    <row r="54" spans="2:33" ht="14.25" customHeight="1" x14ac:dyDescent="0.25">
      <c r="B54" s="143"/>
      <c r="C54" s="141"/>
      <c r="D54" s="103"/>
      <c r="E54" s="104"/>
      <c r="F54" s="92">
        <v>0</v>
      </c>
      <c r="G54" s="150">
        <f>IF(F54&gt;0,F54,
IF(B54&lt;&gt;"",
IF(C54="CLT",VLOOKUP(B54,'Lista Profissionais'!$C$11:$H$348,3,0),
VLOOKUP(B54,'Lista Profissionais'!$C$11:$H$348,4,0)), 0))</f>
        <v>0</v>
      </c>
      <c r="H54" s="66">
        <f t="shared" si="24"/>
        <v>0</v>
      </c>
      <c r="I54" s="66">
        <f t="shared" si="25"/>
        <v>0</v>
      </c>
      <c r="J54" s="66">
        <f t="shared" si="26"/>
        <v>0</v>
      </c>
      <c r="K54" s="93">
        <f t="shared" si="27"/>
        <v>0</v>
      </c>
      <c r="L54" s="151"/>
      <c r="M54" s="152">
        <v>0</v>
      </c>
      <c r="N54" s="69">
        <f t="shared" si="28"/>
        <v>0</v>
      </c>
      <c r="O54" s="69">
        <f t="shared" si="29"/>
        <v>0</v>
      </c>
      <c r="P54" s="70">
        <f t="shared" si="6"/>
        <v>0</v>
      </c>
      <c r="Q54" s="153">
        <f t="shared" si="30"/>
        <v>0</v>
      </c>
      <c r="R54" s="70">
        <v>0</v>
      </c>
      <c r="S54" s="165">
        <f t="shared" si="31"/>
        <v>0</v>
      </c>
      <c r="T54" s="163">
        <f t="shared" si="32"/>
        <v>0</v>
      </c>
      <c r="U54" s="164">
        <f t="shared" si="33"/>
        <v>0</v>
      </c>
      <c r="V54" s="164">
        <f t="shared" si="34"/>
        <v>0</v>
      </c>
      <c r="W54" s="144">
        <f t="shared" si="35"/>
        <v>0</v>
      </c>
      <c r="X54" s="150">
        <f t="shared" si="36"/>
        <v>0</v>
      </c>
      <c r="Y54" s="150">
        <f t="shared" si="37"/>
        <v>0</v>
      </c>
      <c r="Z54" s="150">
        <f t="shared" si="38"/>
        <v>0</v>
      </c>
      <c r="AA54" s="150">
        <f t="shared" si="39"/>
        <v>0</v>
      </c>
      <c r="AB54" s="150">
        <f t="shared" si="40"/>
        <v>0</v>
      </c>
      <c r="AC54" s="150">
        <f t="shared" si="41"/>
        <v>0</v>
      </c>
      <c r="AD54" s="150">
        <f t="shared" si="19"/>
        <v>0</v>
      </c>
      <c r="AE54" s="154">
        <f t="shared" si="42"/>
        <v>0</v>
      </c>
      <c r="AF54" s="70">
        <f t="shared" si="43"/>
        <v>0</v>
      </c>
      <c r="AG54" s="155">
        <f t="shared" si="22"/>
        <v>0</v>
      </c>
    </row>
    <row r="55" spans="2:33" ht="14.25" customHeight="1" x14ac:dyDescent="0.25">
      <c r="B55" s="143"/>
      <c r="C55" s="141"/>
      <c r="D55" s="103"/>
      <c r="E55" s="104"/>
      <c r="F55" s="92">
        <v>0</v>
      </c>
      <c r="G55" s="150">
        <f>IF(F55&gt;0,F55,
IF(B55&lt;&gt;"",
IF(C55="CLT",VLOOKUP(B55,'Lista Profissionais'!$C$11:$H$348,3,0),
VLOOKUP(B55,'Lista Profissionais'!$C$11:$H$348,4,0)), 0))</f>
        <v>0</v>
      </c>
      <c r="H55" s="66">
        <f t="shared" si="24"/>
        <v>0</v>
      </c>
      <c r="I55" s="66">
        <f t="shared" si="25"/>
        <v>0</v>
      </c>
      <c r="J55" s="66">
        <f t="shared" si="26"/>
        <v>0</v>
      </c>
      <c r="K55" s="93">
        <f t="shared" si="27"/>
        <v>0</v>
      </c>
      <c r="L55" s="151"/>
      <c r="M55" s="152">
        <v>0</v>
      </c>
      <c r="N55" s="69">
        <f t="shared" si="28"/>
        <v>0</v>
      </c>
      <c r="O55" s="69">
        <f t="shared" si="29"/>
        <v>0</v>
      </c>
      <c r="P55" s="70">
        <f t="shared" si="6"/>
        <v>0</v>
      </c>
      <c r="Q55" s="153">
        <f t="shared" si="30"/>
        <v>0</v>
      </c>
      <c r="R55" s="70">
        <v>0</v>
      </c>
      <c r="S55" s="165">
        <f t="shared" si="31"/>
        <v>0</v>
      </c>
      <c r="T55" s="163">
        <f t="shared" si="32"/>
        <v>0</v>
      </c>
      <c r="U55" s="164">
        <f t="shared" si="33"/>
        <v>0</v>
      </c>
      <c r="V55" s="164">
        <f t="shared" si="34"/>
        <v>0</v>
      </c>
      <c r="W55" s="144">
        <f t="shared" si="35"/>
        <v>0</v>
      </c>
      <c r="X55" s="150">
        <f t="shared" si="36"/>
        <v>0</v>
      </c>
      <c r="Y55" s="150">
        <f t="shared" si="37"/>
        <v>0</v>
      </c>
      <c r="Z55" s="150">
        <f t="shared" si="38"/>
        <v>0</v>
      </c>
      <c r="AA55" s="150">
        <f t="shared" si="39"/>
        <v>0</v>
      </c>
      <c r="AB55" s="150">
        <f t="shared" si="40"/>
        <v>0</v>
      </c>
      <c r="AC55" s="150">
        <f t="shared" si="41"/>
        <v>0</v>
      </c>
      <c r="AD55" s="150">
        <f t="shared" si="19"/>
        <v>0</v>
      </c>
      <c r="AE55" s="154">
        <f t="shared" si="42"/>
        <v>0</v>
      </c>
      <c r="AF55" s="70">
        <f t="shared" si="43"/>
        <v>0</v>
      </c>
      <c r="AG55" s="155">
        <f t="shared" si="22"/>
        <v>0</v>
      </c>
    </row>
    <row r="56" spans="2:33" ht="14.25" customHeight="1" x14ac:dyDescent="0.25">
      <c r="B56" s="143"/>
      <c r="C56" s="141"/>
      <c r="D56" s="103"/>
      <c r="E56" s="104"/>
      <c r="F56" s="92">
        <v>0</v>
      </c>
      <c r="G56" s="150">
        <f>IF(F56&gt;0,F56,
IF(B56&lt;&gt;"",
IF(C56="CLT",VLOOKUP(B56,'Lista Profissionais'!$C$11:$H$348,3,0),
VLOOKUP(B56,'Lista Profissionais'!$C$11:$H$348,4,0)), 0))</f>
        <v>0</v>
      </c>
      <c r="H56" s="66">
        <f t="shared" si="24"/>
        <v>0</v>
      </c>
      <c r="I56" s="66">
        <f t="shared" si="25"/>
        <v>0</v>
      </c>
      <c r="J56" s="66">
        <f t="shared" si="26"/>
        <v>0</v>
      </c>
      <c r="K56" s="93">
        <f t="shared" si="27"/>
        <v>0</v>
      </c>
      <c r="L56" s="151"/>
      <c r="M56" s="152">
        <v>0</v>
      </c>
      <c r="N56" s="69">
        <f t="shared" si="28"/>
        <v>0</v>
      </c>
      <c r="O56" s="69">
        <f t="shared" si="29"/>
        <v>0</v>
      </c>
      <c r="P56" s="70">
        <f t="shared" si="6"/>
        <v>0</v>
      </c>
      <c r="Q56" s="153">
        <f t="shared" si="30"/>
        <v>0</v>
      </c>
      <c r="R56" s="70">
        <v>0</v>
      </c>
      <c r="S56" s="165">
        <f t="shared" si="31"/>
        <v>0</v>
      </c>
      <c r="T56" s="163">
        <f t="shared" si="32"/>
        <v>0</v>
      </c>
      <c r="U56" s="164">
        <f t="shared" si="33"/>
        <v>0</v>
      </c>
      <c r="V56" s="164">
        <f t="shared" si="34"/>
        <v>0</v>
      </c>
      <c r="W56" s="144">
        <f t="shared" si="35"/>
        <v>0</v>
      </c>
      <c r="X56" s="150">
        <f t="shared" si="36"/>
        <v>0</v>
      </c>
      <c r="Y56" s="150">
        <f t="shared" si="37"/>
        <v>0</v>
      </c>
      <c r="Z56" s="150">
        <f t="shared" si="38"/>
        <v>0</v>
      </c>
      <c r="AA56" s="150">
        <f t="shared" si="39"/>
        <v>0</v>
      </c>
      <c r="AB56" s="150">
        <f t="shared" si="40"/>
        <v>0</v>
      </c>
      <c r="AC56" s="150">
        <f t="shared" si="41"/>
        <v>0</v>
      </c>
      <c r="AD56" s="150">
        <f t="shared" si="19"/>
        <v>0</v>
      </c>
      <c r="AE56" s="154">
        <f t="shared" si="42"/>
        <v>0</v>
      </c>
      <c r="AF56" s="70">
        <f t="shared" si="43"/>
        <v>0</v>
      </c>
      <c r="AG56" s="155">
        <f t="shared" si="22"/>
        <v>0</v>
      </c>
    </row>
    <row r="57" spans="2:33" ht="14.25" customHeight="1" x14ac:dyDescent="0.25">
      <c r="B57" s="143"/>
      <c r="C57" s="141"/>
      <c r="D57" s="103"/>
      <c r="E57" s="104"/>
      <c r="F57" s="92">
        <v>0</v>
      </c>
      <c r="G57" s="150">
        <f>IF(F57&gt;0,F57,
IF(B57&lt;&gt;"",
IF(C57="CLT",VLOOKUP(B57,'Lista Profissionais'!$C$11:$H$348,3,0),
VLOOKUP(B57,'Lista Profissionais'!$C$11:$H$348,4,0)), 0))</f>
        <v>0</v>
      </c>
      <c r="H57" s="66">
        <f t="shared" si="24"/>
        <v>0</v>
      </c>
      <c r="I57" s="66">
        <f t="shared" si="25"/>
        <v>0</v>
      </c>
      <c r="J57" s="66">
        <f t="shared" si="26"/>
        <v>0</v>
      </c>
      <c r="K57" s="93">
        <f t="shared" si="27"/>
        <v>0</v>
      </c>
      <c r="L57" s="151"/>
      <c r="M57" s="152">
        <v>0</v>
      </c>
      <c r="N57" s="69">
        <f t="shared" si="28"/>
        <v>0</v>
      </c>
      <c r="O57" s="69">
        <f t="shared" si="29"/>
        <v>0</v>
      </c>
      <c r="P57" s="70">
        <f t="shared" si="6"/>
        <v>0</v>
      </c>
      <c r="Q57" s="153">
        <f t="shared" si="30"/>
        <v>0</v>
      </c>
      <c r="R57" s="70">
        <v>0</v>
      </c>
      <c r="S57" s="165">
        <f t="shared" si="31"/>
        <v>0</v>
      </c>
      <c r="T57" s="163">
        <f t="shared" si="32"/>
        <v>0</v>
      </c>
      <c r="U57" s="164">
        <f t="shared" si="33"/>
        <v>0</v>
      </c>
      <c r="V57" s="164">
        <f t="shared" si="34"/>
        <v>0</v>
      </c>
      <c r="W57" s="144">
        <f t="shared" si="35"/>
        <v>0</v>
      </c>
      <c r="X57" s="150">
        <f t="shared" si="36"/>
        <v>0</v>
      </c>
      <c r="Y57" s="150">
        <f t="shared" si="37"/>
        <v>0</v>
      </c>
      <c r="Z57" s="150">
        <f t="shared" si="38"/>
        <v>0</v>
      </c>
      <c r="AA57" s="150">
        <f t="shared" si="39"/>
        <v>0</v>
      </c>
      <c r="AB57" s="150">
        <f t="shared" si="40"/>
        <v>0</v>
      </c>
      <c r="AC57" s="150">
        <f t="shared" si="41"/>
        <v>0</v>
      </c>
      <c r="AD57" s="150">
        <f t="shared" si="19"/>
        <v>0</v>
      </c>
      <c r="AE57" s="154">
        <f t="shared" si="42"/>
        <v>0</v>
      </c>
      <c r="AF57" s="70">
        <f t="shared" si="43"/>
        <v>0</v>
      </c>
      <c r="AG57" s="155">
        <f t="shared" si="22"/>
        <v>0</v>
      </c>
    </row>
    <row r="58" spans="2:33" ht="14.25" customHeight="1" x14ac:dyDescent="0.25">
      <c r="B58" s="143"/>
      <c r="C58" s="141"/>
      <c r="D58" s="103"/>
      <c r="E58" s="104"/>
      <c r="F58" s="92">
        <v>0</v>
      </c>
      <c r="G58" s="150">
        <f>IF(F58&gt;0,F58,
IF(B58&lt;&gt;"",
IF(C58="CLT",VLOOKUP(B58,'Lista Profissionais'!$C$11:$H$348,3,0),
VLOOKUP(B58,'Lista Profissionais'!$C$11:$H$348,4,0)), 0))</f>
        <v>0</v>
      </c>
      <c r="H58" s="66">
        <f t="shared" si="24"/>
        <v>0</v>
      </c>
      <c r="I58" s="66">
        <f t="shared" si="25"/>
        <v>0</v>
      </c>
      <c r="J58" s="66">
        <f t="shared" si="26"/>
        <v>0</v>
      </c>
      <c r="K58" s="93">
        <f t="shared" si="27"/>
        <v>0</v>
      </c>
      <c r="L58" s="151"/>
      <c r="M58" s="152">
        <v>0</v>
      </c>
      <c r="N58" s="69">
        <f t="shared" si="28"/>
        <v>0</v>
      </c>
      <c r="O58" s="69">
        <f t="shared" si="29"/>
        <v>0</v>
      </c>
      <c r="P58" s="70">
        <f t="shared" si="6"/>
        <v>0</v>
      </c>
      <c r="Q58" s="153">
        <f t="shared" si="30"/>
        <v>0</v>
      </c>
      <c r="R58" s="70">
        <v>0</v>
      </c>
      <c r="S58" s="165">
        <f t="shared" si="31"/>
        <v>0</v>
      </c>
      <c r="T58" s="163">
        <f t="shared" si="32"/>
        <v>0</v>
      </c>
      <c r="U58" s="164">
        <f t="shared" si="33"/>
        <v>0</v>
      </c>
      <c r="V58" s="164">
        <f t="shared" si="34"/>
        <v>0</v>
      </c>
      <c r="W58" s="144">
        <f t="shared" si="35"/>
        <v>0</v>
      </c>
      <c r="X58" s="150">
        <f t="shared" si="36"/>
        <v>0</v>
      </c>
      <c r="Y58" s="150">
        <f t="shared" si="37"/>
        <v>0</v>
      </c>
      <c r="Z58" s="150">
        <f t="shared" si="38"/>
        <v>0</v>
      </c>
      <c r="AA58" s="150">
        <f t="shared" si="39"/>
        <v>0</v>
      </c>
      <c r="AB58" s="150">
        <f t="shared" si="40"/>
        <v>0</v>
      </c>
      <c r="AC58" s="150">
        <f t="shared" si="41"/>
        <v>0</v>
      </c>
      <c r="AD58" s="150">
        <f t="shared" si="19"/>
        <v>0</v>
      </c>
      <c r="AE58" s="154">
        <f t="shared" si="42"/>
        <v>0</v>
      </c>
      <c r="AF58" s="70">
        <f t="shared" si="43"/>
        <v>0</v>
      </c>
      <c r="AG58" s="155">
        <f t="shared" si="22"/>
        <v>0</v>
      </c>
    </row>
    <row r="59" spans="2:33" ht="14.25" customHeight="1" x14ac:dyDescent="0.25">
      <c r="B59" s="143"/>
      <c r="C59" s="141"/>
      <c r="D59" s="103"/>
      <c r="E59" s="104"/>
      <c r="F59" s="92">
        <v>0</v>
      </c>
      <c r="G59" s="150">
        <f>IF(F59&gt;0,F59,
IF(B59&lt;&gt;"",
IF(C59="CLT",VLOOKUP(B59,'Lista Profissionais'!$C$11:$H$348,3,0),
VLOOKUP(B59,'Lista Profissionais'!$C$11:$H$348,4,0)), 0))</f>
        <v>0</v>
      </c>
      <c r="H59" s="66">
        <f t="shared" si="24"/>
        <v>0</v>
      </c>
      <c r="I59" s="66">
        <f t="shared" si="25"/>
        <v>0</v>
      </c>
      <c r="J59" s="66">
        <f t="shared" si="26"/>
        <v>0</v>
      </c>
      <c r="K59" s="93">
        <f t="shared" si="27"/>
        <v>0</v>
      </c>
      <c r="L59" s="151"/>
      <c r="M59" s="152">
        <v>0</v>
      </c>
      <c r="N59" s="69">
        <f t="shared" si="28"/>
        <v>0</v>
      </c>
      <c r="O59" s="69">
        <f t="shared" si="29"/>
        <v>0</v>
      </c>
      <c r="P59" s="70">
        <f t="shared" si="6"/>
        <v>0</v>
      </c>
      <c r="Q59" s="153">
        <f t="shared" si="30"/>
        <v>0</v>
      </c>
      <c r="R59" s="70">
        <v>0</v>
      </c>
      <c r="S59" s="165">
        <f t="shared" si="31"/>
        <v>0</v>
      </c>
      <c r="T59" s="163">
        <f t="shared" si="32"/>
        <v>0</v>
      </c>
      <c r="U59" s="164">
        <f t="shared" si="33"/>
        <v>0</v>
      </c>
      <c r="V59" s="164">
        <f t="shared" si="34"/>
        <v>0</v>
      </c>
      <c r="W59" s="144">
        <f t="shared" si="35"/>
        <v>0</v>
      </c>
      <c r="X59" s="150">
        <f t="shared" si="36"/>
        <v>0</v>
      </c>
      <c r="Y59" s="150">
        <f t="shared" si="37"/>
        <v>0</v>
      </c>
      <c r="Z59" s="150">
        <f t="shared" si="38"/>
        <v>0</v>
      </c>
      <c r="AA59" s="150">
        <f t="shared" si="39"/>
        <v>0</v>
      </c>
      <c r="AB59" s="150">
        <f t="shared" si="40"/>
        <v>0</v>
      </c>
      <c r="AC59" s="150">
        <f t="shared" si="41"/>
        <v>0</v>
      </c>
      <c r="AD59" s="150">
        <f t="shared" si="19"/>
        <v>0</v>
      </c>
      <c r="AE59" s="154">
        <f t="shared" si="42"/>
        <v>0</v>
      </c>
      <c r="AF59" s="70">
        <f t="shared" si="43"/>
        <v>0</v>
      </c>
      <c r="AG59" s="155">
        <f t="shared" si="22"/>
        <v>0</v>
      </c>
    </row>
    <row r="60" spans="2:33" ht="14.25" customHeight="1" x14ac:dyDescent="0.25">
      <c r="B60" s="142"/>
      <c r="C60" s="141"/>
      <c r="D60" s="103"/>
      <c r="E60" s="104"/>
      <c r="F60" s="92">
        <v>0</v>
      </c>
      <c r="G60" s="150">
        <f>IF(F60&gt;0,F60,
IF(B60&lt;&gt;"",
IF(C60="CLT",VLOOKUP(B60,'Lista Profissionais'!$C$11:$H$348,3,0),
VLOOKUP(B60,'Lista Profissionais'!$C$11:$H$348,4,0)), 0))</f>
        <v>0</v>
      </c>
      <c r="H60" s="66">
        <f t="shared" si="24"/>
        <v>0</v>
      </c>
      <c r="I60" s="66">
        <f t="shared" si="25"/>
        <v>0</v>
      </c>
      <c r="J60" s="66">
        <f t="shared" si="26"/>
        <v>0</v>
      </c>
      <c r="K60" s="93">
        <f t="shared" si="27"/>
        <v>0</v>
      </c>
      <c r="L60" s="151"/>
      <c r="M60" s="152">
        <v>0</v>
      </c>
      <c r="N60" s="69">
        <f t="shared" si="28"/>
        <v>0</v>
      </c>
      <c r="O60" s="69">
        <f t="shared" si="29"/>
        <v>0</v>
      </c>
      <c r="P60" s="70">
        <f t="shared" si="6"/>
        <v>0</v>
      </c>
      <c r="Q60" s="153">
        <f t="shared" si="30"/>
        <v>0</v>
      </c>
      <c r="R60" s="70">
        <v>0</v>
      </c>
      <c r="S60" s="165">
        <f t="shared" si="31"/>
        <v>0</v>
      </c>
      <c r="T60" s="163">
        <f t="shared" si="32"/>
        <v>0</v>
      </c>
      <c r="U60" s="164">
        <f t="shared" si="33"/>
        <v>0</v>
      </c>
      <c r="V60" s="164">
        <f t="shared" si="34"/>
        <v>0</v>
      </c>
      <c r="W60" s="144">
        <f t="shared" si="35"/>
        <v>0</v>
      </c>
      <c r="X60" s="150">
        <f t="shared" si="36"/>
        <v>0</v>
      </c>
      <c r="Y60" s="150">
        <f t="shared" si="37"/>
        <v>0</v>
      </c>
      <c r="Z60" s="150">
        <f t="shared" si="38"/>
        <v>0</v>
      </c>
      <c r="AA60" s="150">
        <f t="shared" si="39"/>
        <v>0</v>
      </c>
      <c r="AB60" s="150">
        <f t="shared" si="40"/>
        <v>0</v>
      </c>
      <c r="AC60" s="150">
        <f t="shared" si="41"/>
        <v>0</v>
      </c>
      <c r="AD60" s="150">
        <f t="shared" si="19"/>
        <v>0</v>
      </c>
      <c r="AE60" s="154">
        <f t="shared" si="42"/>
        <v>0</v>
      </c>
      <c r="AF60" s="70">
        <f t="shared" si="43"/>
        <v>0</v>
      </c>
      <c r="AG60" s="155">
        <f t="shared" si="22"/>
        <v>0</v>
      </c>
    </row>
    <row r="61" spans="2:33" ht="14.25" customHeight="1" x14ac:dyDescent="0.25">
      <c r="B61" s="142"/>
      <c r="C61" s="141"/>
      <c r="D61" s="103"/>
      <c r="E61" s="104"/>
      <c r="F61" s="92">
        <v>0</v>
      </c>
      <c r="G61" s="150">
        <f>IF(F61&gt;0,F61,
IF(B61&lt;&gt;"",
IF(C61="CLT",VLOOKUP(B61,'Lista Profissionais'!$C$11:$H$348,3,0),
VLOOKUP(B61,'Lista Profissionais'!$C$11:$H$348,4,0)), 0))</f>
        <v>0</v>
      </c>
      <c r="H61" s="66">
        <f t="shared" si="24"/>
        <v>0</v>
      </c>
      <c r="I61" s="66">
        <f t="shared" si="25"/>
        <v>0</v>
      </c>
      <c r="J61" s="66">
        <f t="shared" si="26"/>
        <v>0</v>
      </c>
      <c r="K61" s="93">
        <f t="shared" si="27"/>
        <v>0</v>
      </c>
      <c r="L61" s="151"/>
      <c r="M61" s="152">
        <v>0</v>
      </c>
      <c r="N61" s="69">
        <f t="shared" si="28"/>
        <v>0</v>
      </c>
      <c r="O61" s="69">
        <f t="shared" si="29"/>
        <v>0</v>
      </c>
      <c r="P61" s="70">
        <f t="shared" si="6"/>
        <v>0</v>
      </c>
      <c r="Q61" s="153">
        <f t="shared" si="30"/>
        <v>0</v>
      </c>
      <c r="R61" s="70">
        <v>0</v>
      </c>
      <c r="S61" s="165">
        <f t="shared" si="31"/>
        <v>0</v>
      </c>
      <c r="T61" s="163">
        <f t="shared" si="32"/>
        <v>0</v>
      </c>
      <c r="U61" s="164">
        <f t="shared" si="33"/>
        <v>0</v>
      </c>
      <c r="V61" s="164">
        <f t="shared" si="34"/>
        <v>0</v>
      </c>
      <c r="W61" s="144">
        <f t="shared" si="35"/>
        <v>0</v>
      </c>
      <c r="X61" s="150">
        <f t="shared" si="36"/>
        <v>0</v>
      </c>
      <c r="Y61" s="150">
        <f t="shared" si="37"/>
        <v>0</v>
      </c>
      <c r="Z61" s="150">
        <f t="shared" si="38"/>
        <v>0</v>
      </c>
      <c r="AA61" s="150">
        <f t="shared" si="39"/>
        <v>0</v>
      </c>
      <c r="AB61" s="150">
        <f t="shared" si="40"/>
        <v>0</v>
      </c>
      <c r="AC61" s="150">
        <f t="shared" si="41"/>
        <v>0</v>
      </c>
      <c r="AD61" s="150">
        <f t="shared" si="19"/>
        <v>0</v>
      </c>
      <c r="AE61" s="154">
        <f t="shared" si="42"/>
        <v>0</v>
      </c>
      <c r="AF61" s="70">
        <f t="shared" si="43"/>
        <v>0</v>
      </c>
      <c r="AG61" s="155">
        <f t="shared" si="22"/>
        <v>0</v>
      </c>
    </row>
    <row r="62" spans="2:33" ht="14.25" customHeight="1" x14ac:dyDescent="0.25">
      <c r="B62" s="142"/>
      <c r="C62" s="141"/>
      <c r="D62" s="103"/>
      <c r="E62" s="104"/>
      <c r="F62" s="92">
        <v>0</v>
      </c>
      <c r="G62" s="150">
        <f>IF(F62&gt;0,F62,
IF(B62&lt;&gt;"",
IF(C62="CLT",VLOOKUP(B62,'Lista Profissionais'!$C$11:$H$348,3,0),
VLOOKUP(B62,'Lista Profissionais'!$C$11:$H$348,4,0)), 0))</f>
        <v>0</v>
      </c>
      <c r="H62" s="66">
        <f t="shared" si="24"/>
        <v>0</v>
      </c>
      <c r="I62" s="66">
        <f t="shared" si="25"/>
        <v>0</v>
      </c>
      <c r="J62" s="66">
        <f t="shared" si="26"/>
        <v>0</v>
      </c>
      <c r="K62" s="93">
        <f t="shared" si="27"/>
        <v>0</v>
      </c>
      <c r="L62" s="151"/>
      <c r="M62" s="152">
        <v>0</v>
      </c>
      <c r="N62" s="69">
        <f t="shared" si="28"/>
        <v>0</v>
      </c>
      <c r="O62" s="69">
        <f t="shared" si="29"/>
        <v>0</v>
      </c>
      <c r="P62" s="70">
        <f t="shared" si="6"/>
        <v>0</v>
      </c>
      <c r="Q62" s="153">
        <f t="shared" si="30"/>
        <v>0</v>
      </c>
      <c r="R62" s="70">
        <v>0</v>
      </c>
      <c r="S62" s="165">
        <f t="shared" si="31"/>
        <v>0</v>
      </c>
      <c r="T62" s="163">
        <f t="shared" si="32"/>
        <v>0</v>
      </c>
      <c r="U62" s="164">
        <f t="shared" si="33"/>
        <v>0</v>
      </c>
      <c r="V62" s="164">
        <f t="shared" si="34"/>
        <v>0</v>
      </c>
      <c r="W62" s="144">
        <f t="shared" si="35"/>
        <v>0</v>
      </c>
      <c r="X62" s="150">
        <f t="shared" si="36"/>
        <v>0</v>
      </c>
      <c r="Y62" s="150">
        <f t="shared" si="37"/>
        <v>0</v>
      </c>
      <c r="Z62" s="150">
        <f t="shared" si="38"/>
        <v>0</v>
      </c>
      <c r="AA62" s="150">
        <f t="shared" si="39"/>
        <v>0</v>
      </c>
      <c r="AB62" s="150">
        <f t="shared" si="40"/>
        <v>0</v>
      </c>
      <c r="AC62" s="150">
        <f t="shared" si="41"/>
        <v>0</v>
      </c>
      <c r="AD62" s="150">
        <f t="shared" si="19"/>
        <v>0</v>
      </c>
      <c r="AE62" s="154">
        <f t="shared" si="42"/>
        <v>0</v>
      </c>
      <c r="AF62" s="70">
        <f t="shared" si="43"/>
        <v>0</v>
      </c>
      <c r="AG62" s="155">
        <f t="shared" si="22"/>
        <v>0</v>
      </c>
    </row>
    <row r="63" spans="2:33" ht="14.25" customHeight="1" x14ac:dyDescent="0.25">
      <c r="B63" s="142"/>
      <c r="C63" s="141"/>
      <c r="D63" s="103"/>
      <c r="E63" s="104"/>
      <c r="F63" s="92">
        <v>0</v>
      </c>
      <c r="G63" s="150">
        <f>IF(F63&gt;0,F63,
IF(B63&lt;&gt;"",
IF(C63="CLT",VLOOKUP(B63,'Lista Profissionais'!$C$11:$H$348,3,0),
VLOOKUP(B63,'Lista Profissionais'!$C$11:$H$348,4,0)), 0))</f>
        <v>0</v>
      </c>
      <c r="H63" s="66">
        <f t="shared" si="24"/>
        <v>0</v>
      </c>
      <c r="I63" s="66">
        <f t="shared" si="25"/>
        <v>0</v>
      </c>
      <c r="J63" s="66">
        <f t="shared" si="26"/>
        <v>0</v>
      </c>
      <c r="K63" s="93">
        <f t="shared" si="27"/>
        <v>0</v>
      </c>
      <c r="L63" s="151"/>
      <c r="M63" s="152">
        <v>0</v>
      </c>
      <c r="N63" s="69">
        <f t="shared" si="28"/>
        <v>0</v>
      </c>
      <c r="O63" s="69">
        <f t="shared" si="29"/>
        <v>0</v>
      </c>
      <c r="P63" s="70">
        <f t="shared" si="6"/>
        <v>0</v>
      </c>
      <c r="Q63" s="153">
        <f t="shared" si="30"/>
        <v>0</v>
      </c>
      <c r="R63" s="70">
        <v>0</v>
      </c>
      <c r="S63" s="165">
        <f t="shared" si="31"/>
        <v>0</v>
      </c>
      <c r="T63" s="163">
        <f t="shared" si="32"/>
        <v>0</v>
      </c>
      <c r="U63" s="164">
        <f t="shared" si="33"/>
        <v>0</v>
      </c>
      <c r="V63" s="164">
        <f t="shared" si="34"/>
        <v>0</v>
      </c>
      <c r="W63" s="144">
        <f t="shared" si="35"/>
        <v>0</v>
      </c>
      <c r="X63" s="150">
        <f t="shared" si="36"/>
        <v>0</v>
      </c>
      <c r="Y63" s="150">
        <f t="shared" si="37"/>
        <v>0</v>
      </c>
      <c r="Z63" s="150">
        <f t="shared" si="38"/>
        <v>0</v>
      </c>
      <c r="AA63" s="150">
        <f t="shared" si="39"/>
        <v>0</v>
      </c>
      <c r="AB63" s="150">
        <f t="shared" si="40"/>
        <v>0</v>
      </c>
      <c r="AC63" s="150">
        <f t="shared" si="41"/>
        <v>0</v>
      </c>
      <c r="AD63" s="150">
        <f t="shared" si="19"/>
        <v>0</v>
      </c>
      <c r="AE63" s="154">
        <f t="shared" si="42"/>
        <v>0</v>
      </c>
      <c r="AF63" s="70">
        <f t="shared" si="43"/>
        <v>0</v>
      </c>
      <c r="AG63" s="155">
        <f t="shared" si="22"/>
        <v>0</v>
      </c>
    </row>
    <row r="64" spans="2:33" ht="14.25" customHeight="1" x14ac:dyDescent="0.25">
      <c r="B64" s="142"/>
      <c r="C64" s="141"/>
      <c r="D64" s="103"/>
      <c r="E64" s="104"/>
      <c r="F64" s="92">
        <v>0</v>
      </c>
      <c r="G64" s="150">
        <f>IF(F64&gt;0,F64,
IF(B64&lt;&gt;"",
IF(C64="CLT",VLOOKUP(B64,'Lista Profissionais'!$C$11:$H$348,3,0),
VLOOKUP(B64,'Lista Profissionais'!$C$11:$H$348,4,0)), 0))</f>
        <v>0</v>
      </c>
      <c r="H64" s="66">
        <f t="shared" si="24"/>
        <v>0</v>
      </c>
      <c r="I64" s="66">
        <f t="shared" si="25"/>
        <v>0</v>
      </c>
      <c r="J64" s="66">
        <f t="shared" si="26"/>
        <v>0</v>
      </c>
      <c r="K64" s="93">
        <f t="shared" si="27"/>
        <v>0</v>
      </c>
      <c r="L64" s="151"/>
      <c r="M64" s="152">
        <v>0</v>
      </c>
      <c r="N64" s="69">
        <f t="shared" si="28"/>
        <v>0</v>
      </c>
      <c r="O64" s="69">
        <f t="shared" si="29"/>
        <v>0</v>
      </c>
      <c r="P64" s="70">
        <f t="shared" si="6"/>
        <v>0</v>
      </c>
      <c r="Q64" s="153">
        <f t="shared" si="30"/>
        <v>0</v>
      </c>
      <c r="R64" s="70">
        <v>0</v>
      </c>
      <c r="S64" s="165">
        <f t="shared" si="31"/>
        <v>0</v>
      </c>
      <c r="T64" s="163">
        <f t="shared" si="32"/>
        <v>0</v>
      </c>
      <c r="U64" s="164">
        <f t="shared" si="33"/>
        <v>0</v>
      </c>
      <c r="V64" s="164">
        <f t="shared" si="34"/>
        <v>0</v>
      </c>
      <c r="W64" s="144">
        <f t="shared" si="35"/>
        <v>0</v>
      </c>
      <c r="X64" s="150">
        <f t="shared" si="36"/>
        <v>0</v>
      </c>
      <c r="Y64" s="150">
        <f t="shared" si="37"/>
        <v>0</v>
      </c>
      <c r="Z64" s="150">
        <f t="shared" si="38"/>
        <v>0</v>
      </c>
      <c r="AA64" s="150">
        <f t="shared" si="39"/>
        <v>0</v>
      </c>
      <c r="AB64" s="150">
        <f t="shared" si="40"/>
        <v>0</v>
      </c>
      <c r="AC64" s="150">
        <f t="shared" si="41"/>
        <v>0</v>
      </c>
      <c r="AD64" s="150">
        <f t="shared" si="19"/>
        <v>0</v>
      </c>
      <c r="AE64" s="154">
        <f t="shared" si="42"/>
        <v>0</v>
      </c>
      <c r="AF64" s="70">
        <f t="shared" si="43"/>
        <v>0</v>
      </c>
      <c r="AG64" s="155">
        <f t="shared" si="22"/>
        <v>0</v>
      </c>
    </row>
    <row r="65" spans="2:33" ht="14.25" customHeight="1" x14ac:dyDescent="0.25">
      <c r="B65" s="142"/>
      <c r="C65" s="141"/>
      <c r="D65" s="103"/>
      <c r="E65" s="104"/>
      <c r="F65" s="92">
        <v>0</v>
      </c>
      <c r="G65" s="150">
        <f>IF(F65&gt;0,F65,
IF(B65&lt;&gt;"",
IF(C65="CLT",VLOOKUP(B65,'Lista Profissionais'!$C$11:$H$348,3,0),
VLOOKUP(B65,'Lista Profissionais'!$C$11:$H$348,4,0)), 0))</f>
        <v>0</v>
      </c>
      <c r="H65" s="66">
        <f t="shared" si="24"/>
        <v>0</v>
      </c>
      <c r="I65" s="66">
        <f t="shared" si="25"/>
        <v>0</v>
      </c>
      <c r="J65" s="66">
        <f t="shared" si="26"/>
        <v>0</v>
      </c>
      <c r="K65" s="93">
        <f t="shared" si="27"/>
        <v>0</v>
      </c>
      <c r="L65" s="151"/>
      <c r="M65" s="152">
        <v>0</v>
      </c>
      <c r="N65" s="69">
        <f t="shared" si="28"/>
        <v>0</v>
      </c>
      <c r="O65" s="69">
        <f t="shared" si="29"/>
        <v>0</v>
      </c>
      <c r="P65" s="70">
        <f t="shared" si="6"/>
        <v>0</v>
      </c>
      <c r="Q65" s="153">
        <f t="shared" si="30"/>
        <v>0</v>
      </c>
      <c r="R65" s="70">
        <v>0</v>
      </c>
      <c r="S65" s="165">
        <f t="shared" si="31"/>
        <v>0</v>
      </c>
      <c r="T65" s="163">
        <f t="shared" si="32"/>
        <v>0</v>
      </c>
      <c r="U65" s="164">
        <f t="shared" si="33"/>
        <v>0</v>
      </c>
      <c r="V65" s="164">
        <f t="shared" si="34"/>
        <v>0</v>
      </c>
      <c r="W65" s="144">
        <f t="shared" si="35"/>
        <v>0</v>
      </c>
      <c r="X65" s="150">
        <f t="shared" si="36"/>
        <v>0</v>
      </c>
      <c r="Y65" s="150">
        <f t="shared" si="37"/>
        <v>0</v>
      </c>
      <c r="Z65" s="150">
        <f t="shared" si="38"/>
        <v>0</v>
      </c>
      <c r="AA65" s="150">
        <f t="shared" si="39"/>
        <v>0</v>
      </c>
      <c r="AB65" s="150">
        <f t="shared" si="40"/>
        <v>0</v>
      </c>
      <c r="AC65" s="150">
        <f t="shared" si="41"/>
        <v>0</v>
      </c>
      <c r="AD65" s="150">
        <f t="shared" si="19"/>
        <v>0</v>
      </c>
      <c r="AE65" s="154">
        <f t="shared" si="42"/>
        <v>0</v>
      </c>
      <c r="AF65" s="70">
        <f t="shared" si="43"/>
        <v>0</v>
      </c>
      <c r="AG65" s="155">
        <f t="shared" si="22"/>
        <v>0</v>
      </c>
    </row>
    <row r="66" spans="2:33" ht="14.25" customHeight="1" x14ac:dyDescent="0.25">
      <c r="B66" s="143"/>
      <c r="C66" s="141"/>
      <c r="D66" s="103"/>
      <c r="E66" s="104"/>
      <c r="F66" s="92">
        <v>0</v>
      </c>
      <c r="G66" s="150">
        <f>IF(F66&gt;0,F66,
IF(B66&lt;&gt;"",
IF(C66="CLT",VLOOKUP(B66,'Lista Profissionais'!$C$11:$H$348,3,0),
VLOOKUP(B66,'Lista Profissionais'!$C$11:$H$348,4,0)), 0))</f>
        <v>0</v>
      </c>
      <c r="H66" s="66">
        <f t="shared" si="24"/>
        <v>0</v>
      </c>
      <c r="I66" s="66">
        <f t="shared" si="25"/>
        <v>0</v>
      </c>
      <c r="J66" s="66">
        <f t="shared" si="26"/>
        <v>0</v>
      </c>
      <c r="K66" s="93">
        <f t="shared" si="27"/>
        <v>0</v>
      </c>
      <c r="L66" s="151"/>
      <c r="M66" s="152">
        <v>0</v>
      </c>
      <c r="N66" s="69">
        <f t="shared" si="28"/>
        <v>0</v>
      </c>
      <c r="O66" s="69">
        <f t="shared" si="29"/>
        <v>0</v>
      </c>
      <c r="P66" s="70">
        <f t="shared" si="6"/>
        <v>0</v>
      </c>
      <c r="Q66" s="153">
        <f t="shared" si="30"/>
        <v>0</v>
      </c>
      <c r="R66" s="70">
        <v>0</v>
      </c>
      <c r="S66" s="165">
        <f t="shared" si="31"/>
        <v>0</v>
      </c>
      <c r="T66" s="163">
        <f t="shared" si="32"/>
        <v>0</v>
      </c>
      <c r="U66" s="164">
        <f t="shared" si="33"/>
        <v>0</v>
      </c>
      <c r="V66" s="164">
        <f t="shared" si="34"/>
        <v>0</v>
      </c>
      <c r="W66" s="144">
        <f t="shared" si="35"/>
        <v>0</v>
      </c>
      <c r="X66" s="150">
        <f t="shared" si="36"/>
        <v>0</v>
      </c>
      <c r="Y66" s="150">
        <f t="shared" si="37"/>
        <v>0</v>
      </c>
      <c r="Z66" s="150">
        <f t="shared" si="38"/>
        <v>0</v>
      </c>
      <c r="AA66" s="150">
        <f t="shared" si="39"/>
        <v>0</v>
      </c>
      <c r="AB66" s="150">
        <f t="shared" si="40"/>
        <v>0</v>
      </c>
      <c r="AC66" s="150">
        <f t="shared" si="41"/>
        <v>0</v>
      </c>
      <c r="AD66" s="150">
        <f t="shared" si="19"/>
        <v>0</v>
      </c>
      <c r="AE66" s="154">
        <f t="shared" si="42"/>
        <v>0</v>
      </c>
      <c r="AF66" s="70">
        <f t="shared" si="43"/>
        <v>0</v>
      </c>
      <c r="AG66" s="155">
        <f t="shared" si="22"/>
        <v>0</v>
      </c>
    </row>
    <row r="67" spans="2:33" ht="14.25" customHeight="1" x14ac:dyDescent="0.25">
      <c r="B67" s="143"/>
      <c r="C67" s="141"/>
      <c r="D67" s="103"/>
      <c r="E67" s="104"/>
      <c r="F67" s="92">
        <v>0</v>
      </c>
      <c r="G67" s="150">
        <f>IF(F67&gt;0,F67,
IF(B67&lt;&gt;"",
IF(C67="CLT",VLOOKUP(B67,'Lista Profissionais'!$C$11:$H$348,3,0),
VLOOKUP(B67,'Lista Profissionais'!$C$11:$H$348,4,0)), 0))</f>
        <v>0</v>
      </c>
      <c r="H67" s="66">
        <f t="shared" si="24"/>
        <v>0</v>
      </c>
      <c r="I67" s="66">
        <f t="shared" si="25"/>
        <v>0</v>
      </c>
      <c r="J67" s="66">
        <f t="shared" si="26"/>
        <v>0</v>
      </c>
      <c r="K67" s="93">
        <f t="shared" si="27"/>
        <v>0</v>
      </c>
      <c r="L67" s="151"/>
      <c r="M67" s="152">
        <v>0</v>
      </c>
      <c r="N67" s="69">
        <f t="shared" si="28"/>
        <v>0</v>
      </c>
      <c r="O67" s="69">
        <f t="shared" si="29"/>
        <v>0</v>
      </c>
      <c r="P67" s="70">
        <f t="shared" si="6"/>
        <v>0</v>
      </c>
      <c r="Q67" s="153">
        <f t="shared" si="30"/>
        <v>0</v>
      </c>
      <c r="R67" s="70">
        <v>0</v>
      </c>
      <c r="S67" s="165">
        <f t="shared" si="31"/>
        <v>0</v>
      </c>
      <c r="T67" s="163">
        <f t="shared" si="32"/>
        <v>0</v>
      </c>
      <c r="U67" s="164">
        <f t="shared" si="33"/>
        <v>0</v>
      </c>
      <c r="V67" s="164">
        <f t="shared" si="34"/>
        <v>0</v>
      </c>
      <c r="W67" s="144">
        <f t="shared" si="35"/>
        <v>0</v>
      </c>
      <c r="X67" s="150">
        <f t="shared" si="36"/>
        <v>0</v>
      </c>
      <c r="Y67" s="150">
        <f t="shared" si="37"/>
        <v>0</v>
      </c>
      <c r="Z67" s="150">
        <f t="shared" si="38"/>
        <v>0</v>
      </c>
      <c r="AA67" s="150">
        <f t="shared" si="39"/>
        <v>0</v>
      </c>
      <c r="AB67" s="150">
        <f t="shared" si="40"/>
        <v>0</v>
      </c>
      <c r="AC67" s="150">
        <f t="shared" si="41"/>
        <v>0</v>
      </c>
      <c r="AD67" s="150">
        <f t="shared" si="19"/>
        <v>0</v>
      </c>
      <c r="AE67" s="154">
        <f t="shared" si="42"/>
        <v>0</v>
      </c>
      <c r="AF67" s="70">
        <f t="shared" si="43"/>
        <v>0</v>
      </c>
      <c r="AG67" s="155">
        <f t="shared" si="22"/>
        <v>0</v>
      </c>
    </row>
    <row r="68" spans="2:33" ht="14.25" customHeight="1" x14ac:dyDescent="0.25">
      <c r="B68" s="143"/>
      <c r="C68" s="141"/>
      <c r="D68" s="103"/>
      <c r="E68" s="104"/>
      <c r="F68" s="92">
        <v>0</v>
      </c>
      <c r="G68" s="150">
        <f>IF(F68&gt;0,F68,
IF(B68&lt;&gt;"",
IF(C68="CLT",VLOOKUP(B68,'Lista Profissionais'!$C$11:$H$348,3,0),
VLOOKUP(B68,'Lista Profissionais'!$C$11:$H$348,4,0)), 0))</f>
        <v>0</v>
      </c>
      <c r="H68" s="66">
        <f t="shared" si="24"/>
        <v>0</v>
      </c>
      <c r="I68" s="66">
        <f t="shared" si="25"/>
        <v>0</v>
      </c>
      <c r="J68" s="66">
        <f t="shared" si="26"/>
        <v>0</v>
      </c>
      <c r="K68" s="93">
        <f t="shared" si="27"/>
        <v>0</v>
      </c>
      <c r="L68" s="151"/>
      <c r="M68" s="152">
        <v>0</v>
      </c>
      <c r="N68" s="69">
        <f t="shared" si="28"/>
        <v>0</v>
      </c>
      <c r="O68" s="69">
        <f t="shared" si="29"/>
        <v>0</v>
      </c>
      <c r="P68" s="70">
        <f t="shared" si="6"/>
        <v>0</v>
      </c>
      <c r="Q68" s="153">
        <f t="shared" si="30"/>
        <v>0</v>
      </c>
      <c r="R68" s="70">
        <v>0</v>
      </c>
      <c r="S68" s="165">
        <f t="shared" si="31"/>
        <v>0</v>
      </c>
      <c r="T68" s="163">
        <f t="shared" si="32"/>
        <v>0</v>
      </c>
      <c r="U68" s="164">
        <f t="shared" si="33"/>
        <v>0</v>
      </c>
      <c r="V68" s="164">
        <f t="shared" si="34"/>
        <v>0</v>
      </c>
      <c r="W68" s="144">
        <f t="shared" si="35"/>
        <v>0</v>
      </c>
      <c r="X68" s="150">
        <f t="shared" si="36"/>
        <v>0</v>
      </c>
      <c r="Y68" s="150">
        <f t="shared" si="37"/>
        <v>0</v>
      </c>
      <c r="Z68" s="150">
        <f t="shared" si="38"/>
        <v>0</v>
      </c>
      <c r="AA68" s="150">
        <f t="shared" si="39"/>
        <v>0</v>
      </c>
      <c r="AB68" s="150">
        <f t="shared" si="40"/>
        <v>0</v>
      </c>
      <c r="AC68" s="150">
        <f t="shared" si="41"/>
        <v>0</v>
      </c>
      <c r="AD68" s="150">
        <f t="shared" si="19"/>
        <v>0</v>
      </c>
      <c r="AE68" s="154">
        <f t="shared" si="42"/>
        <v>0</v>
      </c>
      <c r="AF68" s="70">
        <f t="shared" si="43"/>
        <v>0</v>
      </c>
      <c r="AG68" s="155">
        <f t="shared" si="22"/>
        <v>0</v>
      </c>
    </row>
    <row r="69" spans="2:33" ht="14.25" customHeight="1" x14ac:dyDescent="0.25">
      <c r="B69" s="143"/>
      <c r="C69" s="141"/>
      <c r="D69" s="103"/>
      <c r="E69" s="104"/>
      <c r="F69" s="92">
        <v>0</v>
      </c>
      <c r="G69" s="150">
        <f>IF(F69&gt;0,F69,
IF(B69&lt;&gt;"",
IF(C69="CLT",VLOOKUP(B69,'Lista Profissionais'!$C$11:$H$348,3,0),
VLOOKUP(B69,'Lista Profissionais'!$C$11:$H$348,4,0)), 0))</f>
        <v>0</v>
      </c>
      <c r="H69" s="66">
        <f t="shared" si="24"/>
        <v>0</v>
      </c>
      <c r="I69" s="66">
        <f t="shared" si="25"/>
        <v>0</v>
      </c>
      <c r="J69" s="66">
        <f t="shared" si="26"/>
        <v>0</v>
      </c>
      <c r="K69" s="93">
        <f t="shared" si="27"/>
        <v>0</v>
      </c>
      <c r="L69" s="151"/>
      <c r="M69" s="152">
        <v>0</v>
      </c>
      <c r="N69" s="69">
        <f t="shared" si="28"/>
        <v>0</v>
      </c>
      <c r="O69" s="69">
        <f t="shared" si="29"/>
        <v>0</v>
      </c>
      <c r="P69" s="70">
        <f t="shared" si="6"/>
        <v>0</v>
      </c>
      <c r="Q69" s="153">
        <f t="shared" si="30"/>
        <v>0</v>
      </c>
      <c r="R69" s="70">
        <v>0</v>
      </c>
      <c r="S69" s="165">
        <f t="shared" si="31"/>
        <v>0</v>
      </c>
      <c r="T69" s="163">
        <f t="shared" si="32"/>
        <v>0</v>
      </c>
      <c r="U69" s="164">
        <f t="shared" si="33"/>
        <v>0</v>
      </c>
      <c r="V69" s="164">
        <f t="shared" si="34"/>
        <v>0</v>
      </c>
      <c r="W69" s="144">
        <f t="shared" si="35"/>
        <v>0</v>
      </c>
      <c r="X69" s="150">
        <f t="shared" si="36"/>
        <v>0</v>
      </c>
      <c r="Y69" s="150">
        <f t="shared" si="37"/>
        <v>0</v>
      </c>
      <c r="Z69" s="150">
        <f t="shared" si="38"/>
        <v>0</v>
      </c>
      <c r="AA69" s="150">
        <f t="shared" si="39"/>
        <v>0</v>
      </c>
      <c r="AB69" s="150">
        <f t="shared" si="40"/>
        <v>0</v>
      </c>
      <c r="AC69" s="150">
        <f t="shared" si="41"/>
        <v>0</v>
      </c>
      <c r="AD69" s="150">
        <f t="shared" si="19"/>
        <v>0</v>
      </c>
      <c r="AE69" s="154">
        <f t="shared" si="42"/>
        <v>0</v>
      </c>
      <c r="AF69" s="70">
        <f t="shared" si="43"/>
        <v>0</v>
      </c>
      <c r="AG69" s="155">
        <f t="shared" si="22"/>
        <v>0</v>
      </c>
    </row>
    <row r="70" spans="2:33" ht="14.25" customHeight="1" x14ac:dyDescent="0.25">
      <c r="B70" s="142"/>
      <c r="C70" s="141"/>
      <c r="D70" s="103"/>
      <c r="E70" s="104"/>
      <c r="F70" s="92">
        <v>0</v>
      </c>
      <c r="G70" s="150">
        <f>IF(F70&gt;0,F70,
IF(B70&lt;&gt;"",
IF(C70="CLT",VLOOKUP(B70,'Lista Profissionais'!$C$11:$H$348,3,0),
VLOOKUP(B70,'Lista Profissionais'!$C$11:$H$348,4,0)), 0))</f>
        <v>0</v>
      </c>
      <c r="H70" s="66">
        <f t="shared" si="24"/>
        <v>0</v>
      </c>
      <c r="I70" s="66">
        <f t="shared" si="25"/>
        <v>0</v>
      </c>
      <c r="J70" s="66">
        <f t="shared" si="26"/>
        <v>0</v>
      </c>
      <c r="K70" s="93">
        <f t="shared" si="27"/>
        <v>0</v>
      </c>
      <c r="L70" s="151"/>
      <c r="M70" s="152">
        <v>0</v>
      </c>
      <c r="N70" s="69">
        <f t="shared" si="28"/>
        <v>0</v>
      </c>
      <c r="O70" s="69">
        <f t="shared" si="29"/>
        <v>0</v>
      </c>
      <c r="P70" s="70">
        <f t="shared" si="6"/>
        <v>0</v>
      </c>
      <c r="Q70" s="153">
        <f t="shared" si="30"/>
        <v>0</v>
      </c>
      <c r="R70" s="70">
        <v>0</v>
      </c>
      <c r="S70" s="165">
        <f t="shared" si="31"/>
        <v>0</v>
      </c>
      <c r="T70" s="163">
        <f t="shared" si="32"/>
        <v>0</v>
      </c>
      <c r="U70" s="164">
        <f t="shared" si="33"/>
        <v>0</v>
      </c>
      <c r="V70" s="164">
        <f t="shared" si="34"/>
        <v>0</v>
      </c>
      <c r="W70" s="144">
        <f t="shared" si="35"/>
        <v>0</v>
      </c>
      <c r="X70" s="150">
        <f t="shared" si="36"/>
        <v>0</v>
      </c>
      <c r="Y70" s="150">
        <f t="shared" si="37"/>
        <v>0</v>
      </c>
      <c r="Z70" s="150">
        <f t="shared" si="38"/>
        <v>0</v>
      </c>
      <c r="AA70" s="150">
        <f t="shared" si="39"/>
        <v>0</v>
      </c>
      <c r="AB70" s="150">
        <f t="shared" si="40"/>
        <v>0</v>
      </c>
      <c r="AC70" s="150">
        <f t="shared" si="41"/>
        <v>0</v>
      </c>
      <c r="AD70" s="150">
        <f t="shared" si="19"/>
        <v>0</v>
      </c>
      <c r="AE70" s="154">
        <f t="shared" si="42"/>
        <v>0</v>
      </c>
      <c r="AF70" s="70">
        <f t="shared" si="43"/>
        <v>0</v>
      </c>
      <c r="AG70" s="155">
        <f t="shared" si="22"/>
        <v>0</v>
      </c>
    </row>
    <row r="71" spans="2:33" ht="14.25" customHeight="1" x14ac:dyDescent="0.25">
      <c r="B71" s="142"/>
      <c r="C71" s="141"/>
      <c r="D71" s="103"/>
      <c r="E71" s="104"/>
      <c r="F71" s="92">
        <v>0</v>
      </c>
      <c r="G71" s="150">
        <f>IF(F71&gt;0,F71,
IF(B71&lt;&gt;"",
IF(C71="CLT",VLOOKUP(B71,'Lista Profissionais'!$C$11:$H$348,3,0),
VLOOKUP(B71,'Lista Profissionais'!$C$11:$H$348,4,0)), 0))</f>
        <v>0</v>
      </c>
      <c r="H71" s="66">
        <f t="shared" si="24"/>
        <v>0</v>
      </c>
      <c r="I71" s="66">
        <f t="shared" si="25"/>
        <v>0</v>
      </c>
      <c r="J71" s="66">
        <f t="shared" si="26"/>
        <v>0</v>
      </c>
      <c r="K71" s="93">
        <f t="shared" si="27"/>
        <v>0</v>
      </c>
      <c r="L71" s="151"/>
      <c r="M71" s="152">
        <v>0</v>
      </c>
      <c r="N71" s="69">
        <f t="shared" si="28"/>
        <v>0</v>
      </c>
      <c r="O71" s="69">
        <f t="shared" si="29"/>
        <v>0</v>
      </c>
      <c r="P71" s="70">
        <f t="shared" si="6"/>
        <v>0</v>
      </c>
      <c r="Q71" s="153">
        <f t="shared" si="30"/>
        <v>0</v>
      </c>
      <c r="R71" s="70">
        <v>0</v>
      </c>
      <c r="S71" s="165">
        <f t="shared" si="31"/>
        <v>0</v>
      </c>
      <c r="T71" s="163">
        <f t="shared" si="32"/>
        <v>0</v>
      </c>
      <c r="U71" s="164">
        <f t="shared" si="33"/>
        <v>0</v>
      </c>
      <c r="V71" s="164">
        <f t="shared" si="34"/>
        <v>0</v>
      </c>
      <c r="W71" s="144">
        <f t="shared" si="35"/>
        <v>0</v>
      </c>
      <c r="X71" s="150">
        <f t="shared" si="36"/>
        <v>0</v>
      </c>
      <c r="Y71" s="150">
        <f t="shared" si="37"/>
        <v>0</v>
      </c>
      <c r="Z71" s="150">
        <f t="shared" si="38"/>
        <v>0</v>
      </c>
      <c r="AA71" s="150">
        <f t="shared" si="39"/>
        <v>0</v>
      </c>
      <c r="AB71" s="150">
        <f t="shared" si="40"/>
        <v>0</v>
      </c>
      <c r="AC71" s="150">
        <f t="shared" si="41"/>
        <v>0</v>
      </c>
      <c r="AD71" s="150">
        <f t="shared" si="19"/>
        <v>0</v>
      </c>
      <c r="AE71" s="154">
        <f t="shared" si="42"/>
        <v>0</v>
      </c>
      <c r="AF71" s="70">
        <f t="shared" si="43"/>
        <v>0</v>
      </c>
      <c r="AG71" s="155">
        <f t="shared" si="22"/>
        <v>0</v>
      </c>
    </row>
    <row r="72" spans="2:33" ht="14.25" customHeight="1" x14ac:dyDescent="0.25">
      <c r="B72" s="142"/>
      <c r="C72" s="141"/>
      <c r="D72" s="103"/>
      <c r="E72" s="104"/>
      <c r="F72" s="92">
        <v>0</v>
      </c>
      <c r="G72" s="150">
        <f>IF(F72&gt;0,F72,
IF(B72&lt;&gt;"",
IF(C72="CLT",VLOOKUP(B72,'Lista Profissionais'!$C$11:$H$348,3,0),
VLOOKUP(B72,'Lista Profissionais'!$C$11:$H$348,4,0)), 0))</f>
        <v>0</v>
      </c>
      <c r="H72" s="66">
        <f t="shared" si="24"/>
        <v>0</v>
      </c>
      <c r="I72" s="66">
        <f t="shared" si="25"/>
        <v>0</v>
      </c>
      <c r="J72" s="66">
        <f t="shared" si="26"/>
        <v>0</v>
      </c>
      <c r="K72" s="93">
        <f t="shared" si="27"/>
        <v>0</v>
      </c>
      <c r="L72" s="151"/>
      <c r="M72" s="152">
        <v>0</v>
      </c>
      <c r="N72" s="69">
        <f t="shared" si="28"/>
        <v>0</v>
      </c>
      <c r="O72" s="69">
        <f t="shared" si="29"/>
        <v>0</v>
      </c>
      <c r="P72" s="70">
        <f t="shared" si="6"/>
        <v>0</v>
      </c>
      <c r="Q72" s="153">
        <f t="shared" si="30"/>
        <v>0</v>
      </c>
      <c r="R72" s="70">
        <v>0</v>
      </c>
      <c r="S72" s="165">
        <f t="shared" si="31"/>
        <v>0</v>
      </c>
      <c r="T72" s="163">
        <f t="shared" si="32"/>
        <v>0</v>
      </c>
      <c r="U72" s="164">
        <f t="shared" si="33"/>
        <v>0</v>
      </c>
      <c r="V72" s="164">
        <f t="shared" si="34"/>
        <v>0</v>
      </c>
      <c r="W72" s="144">
        <f t="shared" si="35"/>
        <v>0</v>
      </c>
      <c r="X72" s="150">
        <f t="shared" si="36"/>
        <v>0</v>
      </c>
      <c r="Y72" s="150">
        <f t="shared" si="37"/>
        <v>0</v>
      </c>
      <c r="Z72" s="150">
        <f t="shared" si="38"/>
        <v>0</v>
      </c>
      <c r="AA72" s="150">
        <f t="shared" si="39"/>
        <v>0</v>
      </c>
      <c r="AB72" s="150">
        <f t="shared" si="40"/>
        <v>0</v>
      </c>
      <c r="AC72" s="150">
        <f t="shared" si="41"/>
        <v>0</v>
      </c>
      <c r="AD72" s="150">
        <f t="shared" si="19"/>
        <v>0</v>
      </c>
      <c r="AE72" s="154">
        <f t="shared" si="42"/>
        <v>0</v>
      </c>
      <c r="AF72" s="70">
        <f t="shared" si="43"/>
        <v>0</v>
      </c>
      <c r="AG72" s="155">
        <f t="shared" si="22"/>
        <v>0</v>
      </c>
    </row>
    <row r="73" spans="2:33" ht="14.25" customHeight="1" x14ac:dyDescent="0.25">
      <c r="B73" s="142"/>
      <c r="C73" s="141"/>
      <c r="D73" s="103"/>
      <c r="E73" s="104"/>
      <c r="F73" s="92">
        <v>0</v>
      </c>
      <c r="G73" s="150">
        <f>IF(F73&gt;0,F73,
IF(B73&lt;&gt;"",
IF(C73="CLT",VLOOKUP(B73,'Lista Profissionais'!$C$11:$H$348,3,0),
VLOOKUP(B73,'Lista Profissionais'!$C$11:$H$348,4,0)), 0))</f>
        <v>0</v>
      </c>
      <c r="H73" s="66">
        <f t="shared" si="24"/>
        <v>0</v>
      </c>
      <c r="I73" s="66">
        <f t="shared" ref="I73:I104" si="44">H73+AD73</f>
        <v>0</v>
      </c>
      <c r="J73" s="66">
        <f t="shared" ref="J73:J104" si="45">I73+R73+AE73</f>
        <v>0</v>
      </c>
      <c r="K73" s="93">
        <f t="shared" ref="K73:K104" si="46">IF(D73&gt;0,I73/D73,0)</f>
        <v>0</v>
      </c>
      <c r="L73" s="151"/>
      <c r="M73" s="152">
        <v>0</v>
      </c>
      <c r="N73" s="69">
        <f t="shared" ref="N73:N104" si="47">I73*$G$6</f>
        <v>0</v>
      </c>
      <c r="O73" s="69">
        <f t="shared" ref="O73:O104" si="48">IF(L73&gt;0,L73,  I73*(1+$G$5))</f>
        <v>0</v>
      </c>
      <c r="P73" s="70">
        <f t="shared" ref="P73:P114" si="49">(O73+N73)</f>
        <v>0</v>
      </c>
      <c r="Q73" s="153">
        <f t="shared" ref="Q73:Q104" si="50">IF(E73="Sim", P73*$G$3,0)</f>
        <v>0</v>
      </c>
      <c r="R73" s="70">
        <v>0</v>
      </c>
      <c r="S73" s="165">
        <f t="shared" ref="S73:S104" si="51">IF($D$4="Sim",(IF(E73="Não",0,(P73+(P73*$N$4)+Q73+R73)*$D$5)+P73),
IF(E73="Não",0,P73+(P73*$N$4)+Q73+R73
))</f>
        <v>0</v>
      </c>
      <c r="T73" s="163">
        <f t="shared" ref="T73:T104" si="52">IF(D73&gt;0,S73/D73,0)</f>
        <v>0</v>
      </c>
      <c r="U73" s="164">
        <f t="shared" ref="U73:U104" si="53">IF(C73="CLT",
       H73*$L$2, 0)</f>
        <v>0</v>
      </c>
      <c r="V73" s="164">
        <f t="shared" ref="V73:V104" si="54">IF(C73="CLT",
       U73*$L$3, 0)</f>
        <v>0</v>
      </c>
      <c r="W73" s="144">
        <f t="shared" ref="W73:W104" si="55">IF(C73="CLT",
       H73/12, 0)</f>
        <v>0</v>
      </c>
      <c r="X73" s="150">
        <f t="shared" ref="X73:X104" si="56">IF(C73="CLT",
       W73/3, 0)</f>
        <v>0</v>
      </c>
      <c r="Y73" s="150">
        <f t="shared" ref="Y73:Y104" si="57">IF(C73="CLT",
       H73/12, 0)</f>
        <v>0</v>
      </c>
      <c r="Z73" s="150">
        <f t="shared" ref="Z73:Z104" si="58">IF(C73="CLT",
       H73/12, 0)</f>
        <v>0</v>
      </c>
      <c r="AA73" s="150">
        <f t="shared" ref="AA73:AA104" si="59">IF(B73&lt;&gt;"",
IF(C73="CLT",
       22*$L$5,0),0)</f>
        <v>0</v>
      </c>
      <c r="AB73" s="150">
        <f t="shared" ref="AB73:AB104" si="60">IF(C73="CLT",
       H73*$L$4, 0)</f>
        <v>0</v>
      </c>
      <c r="AC73" s="150">
        <f t="shared" ref="AC73:AC104" si="61">IF(B73&lt;&gt;"",
IF(C73="CLT",
       $P$2, 0),0)</f>
        <v>0</v>
      </c>
      <c r="AD73" s="150">
        <f t="shared" ref="AD73:AD114" si="62">SUM(U73:AC73)</f>
        <v>0</v>
      </c>
      <c r="AE73" s="154">
        <f t="shared" ref="AE73:AE104" si="63">IF(E73="Sim", S73*$G$4, 0)</f>
        <v>0</v>
      </c>
      <c r="AF73" s="70">
        <f t="shared" ref="AF73:AF104" si="64">S73-AE73-I73-Q73</f>
        <v>0</v>
      </c>
      <c r="AG73" s="155">
        <f t="shared" ref="AG73:AG114" si="65">(IF(AF73&gt;0,AF73/S73,0))</f>
        <v>0</v>
      </c>
    </row>
    <row r="74" spans="2:33" ht="14.25" customHeight="1" x14ac:dyDescent="0.25">
      <c r="B74" s="142"/>
      <c r="C74" s="141"/>
      <c r="D74" s="103"/>
      <c r="E74" s="104"/>
      <c r="F74" s="92">
        <v>0</v>
      </c>
      <c r="G74" s="150">
        <f>IF(F74&gt;0,F74,
IF(B74&lt;&gt;"",
IF(C74="CLT",VLOOKUP(B74,'Lista Profissionais'!$C$11:$H$348,3,0),
VLOOKUP(B74,'Lista Profissionais'!$C$11:$H$348,4,0)), 0))</f>
        <v>0</v>
      </c>
      <c r="H74" s="66">
        <f t="shared" si="24"/>
        <v>0</v>
      </c>
      <c r="I74" s="66">
        <f t="shared" si="44"/>
        <v>0</v>
      </c>
      <c r="J74" s="66">
        <f t="shared" si="45"/>
        <v>0</v>
      </c>
      <c r="K74" s="93">
        <f t="shared" si="46"/>
        <v>0</v>
      </c>
      <c r="L74" s="151"/>
      <c r="M74" s="152">
        <v>0</v>
      </c>
      <c r="N74" s="69">
        <f t="shared" si="47"/>
        <v>0</v>
      </c>
      <c r="O74" s="69">
        <f t="shared" si="48"/>
        <v>0</v>
      </c>
      <c r="P74" s="70">
        <f t="shared" si="49"/>
        <v>0</v>
      </c>
      <c r="Q74" s="153">
        <f t="shared" si="50"/>
        <v>0</v>
      </c>
      <c r="R74" s="70">
        <v>0</v>
      </c>
      <c r="S74" s="165">
        <f t="shared" si="51"/>
        <v>0</v>
      </c>
      <c r="T74" s="163">
        <f t="shared" si="52"/>
        <v>0</v>
      </c>
      <c r="U74" s="164">
        <f t="shared" si="53"/>
        <v>0</v>
      </c>
      <c r="V74" s="164">
        <f t="shared" si="54"/>
        <v>0</v>
      </c>
      <c r="W74" s="144">
        <f t="shared" si="55"/>
        <v>0</v>
      </c>
      <c r="X74" s="150">
        <f t="shared" si="56"/>
        <v>0</v>
      </c>
      <c r="Y74" s="150">
        <f t="shared" si="57"/>
        <v>0</v>
      </c>
      <c r="Z74" s="150">
        <f t="shared" si="58"/>
        <v>0</v>
      </c>
      <c r="AA74" s="150">
        <f t="shared" si="59"/>
        <v>0</v>
      </c>
      <c r="AB74" s="150">
        <f t="shared" si="60"/>
        <v>0</v>
      </c>
      <c r="AC74" s="150">
        <f t="shared" si="61"/>
        <v>0</v>
      </c>
      <c r="AD74" s="150">
        <f t="shared" si="62"/>
        <v>0</v>
      </c>
      <c r="AE74" s="154">
        <f t="shared" si="63"/>
        <v>0</v>
      </c>
      <c r="AF74" s="70">
        <f t="shared" si="64"/>
        <v>0</v>
      </c>
      <c r="AG74" s="155">
        <f t="shared" si="65"/>
        <v>0</v>
      </c>
    </row>
    <row r="75" spans="2:33" ht="14.25" customHeight="1" x14ac:dyDescent="0.25">
      <c r="B75" s="142"/>
      <c r="C75" s="141"/>
      <c r="D75" s="103"/>
      <c r="E75" s="104"/>
      <c r="F75" s="92">
        <v>0</v>
      </c>
      <c r="G75" s="150">
        <f>IF(F75&gt;0,F75,
IF(B75&lt;&gt;"",
IF(C75="CLT",VLOOKUP(B75,'Lista Profissionais'!$C$11:$H$348,3,0),
VLOOKUP(B75,'Lista Profissionais'!$C$11:$H$348,4,0)), 0))</f>
        <v>0</v>
      </c>
      <c r="H75" s="66">
        <f t="shared" si="24"/>
        <v>0</v>
      </c>
      <c r="I75" s="66">
        <f t="shared" si="44"/>
        <v>0</v>
      </c>
      <c r="J75" s="66">
        <f t="shared" si="45"/>
        <v>0</v>
      </c>
      <c r="K75" s="93">
        <f t="shared" si="46"/>
        <v>0</v>
      </c>
      <c r="L75" s="151"/>
      <c r="M75" s="152">
        <v>0</v>
      </c>
      <c r="N75" s="69">
        <f t="shared" si="47"/>
        <v>0</v>
      </c>
      <c r="O75" s="69">
        <f t="shared" si="48"/>
        <v>0</v>
      </c>
      <c r="P75" s="70">
        <f t="shared" si="49"/>
        <v>0</v>
      </c>
      <c r="Q75" s="153">
        <f t="shared" si="50"/>
        <v>0</v>
      </c>
      <c r="R75" s="70">
        <v>0</v>
      </c>
      <c r="S75" s="165">
        <f t="shared" si="51"/>
        <v>0</v>
      </c>
      <c r="T75" s="163">
        <f t="shared" si="52"/>
        <v>0</v>
      </c>
      <c r="U75" s="164">
        <f t="shared" si="53"/>
        <v>0</v>
      </c>
      <c r="V75" s="164">
        <f t="shared" si="54"/>
        <v>0</v>
      </c>
      <c r="W75" s="144">
        <f t="shared" si="55"/>
        <v>0</v>
      </c>
      <c r="X75" s="150">
        <f t="shared" si="56"/>
        <v>0</v>
      </c>
      <c r="Y75" s="150">
        <f t="shared" si="57"/>
        <v>0</v>
      </c>
      <c r="Z75" s="150">
        <f t="shared" si="58"/>
        <v>0</v>
      </c>
      <c r="AA75" s="150">
        <f t="shared" si="59"/>
        <v>0</v>
      </c>
      <c r="AB75" s="150">
        <f t="shared" si="60"/>
        <v>0</v>
      </c>
      <c r="AC75" s="150">
        <f t="shared" si="61"/>
        <v>0</v>
      </c>
      <c r="AD75" s="150">
        <f t="shared" si="62"/>
        <v>0</v>
      </c>
      <c r="AE75" s="154">
        <f t="shared" si="63"/>
        <v>0</v>
      </c>
      <c r="AF75" s="70">
        <f t="shared" si="64"/>
        <v>0</v>
      </c>
      <c r="AG75" s="155">
        <f t="shared" si="65"/>
        <v>0</v>
      </c>
    </row>
    <row r="76" spans="2:33" ht="14.25" customHeight="1" x14ac:dyDescent="0.25">
      <c r="B76" s="142"/>
      <c r="C76" s="141"/>
      <c r="D76" s="103"/>
      <c r="E76" s="104"/>
      <c r="F76" s="92">
        <v>0</v>
      </c>
      <c r="G76" s="150">
        <f>IF(F76&gt;0,F76,
IF(B76&lt;&gt;"",
IF(C76="CLT",VLOOKUP(B76,'Lista Profissionais'!$C$11:$H$348,3,0),
VLOOKUP(B76,'Lista Profissionais'!$C$11:$H$348,4,0)), 0))</f>
        <v>0</v>
      </c>
      <c r="H76" s="66">
        <f t="shared" si="24"/>
        <v>0</v>
      </c>
      <c r="I76" s="66">
        <f t="shared" si="44"/>
        <v>0</v>
      </c>
      <c r="J76" s="66">
        <f t="shared" si="45"/>
        <v>0</v>
      </c>
      <c r="K76" s="93">
        <f t="shared" si="46"/>
        <v>0</v>
      </c>
      <c r="L76" s="151"/>
      <c r="M76" s="152">
        <v>0</v>
      </c>
      <c r="N76" s="69">
        <f t="shared" si="47"/>
        <v>0</v>
      </c>
      <c r="O76" s="69">
        <f t="shared" si="48"/>
        <v>0</v>
      </c>
      <c r="P76" s="70">
        <f t="shared" si="49"/>
        <v>0</v>
      </c>
      <c r="Q76" s="153">
        <f t="shared" si="50"/>
        <v>0</v>
      </c>
      <c r="R76" s="70">
        <v>0</v>
      </c>
      <c r="S76" s="165">
        <f t="shared" si="51"/>
        <v>0</v>
      </c>
      <c r="T76" s="163">
        <f t="shared" si="52"/>
        <v>0</v>
      </c>
      <c r="U76" s="164">
        <f t="shared" si="53"/>
        <v>0</v>
      </c>
      <c r="V76" s="164">
        <f t="shared" si="54"/>
        <v>0</v>
      </c>
      <c r="W76" s="144">
        <f t="shared" si="55"/>
        <v>0</v>
      </c>
      <c r="X76" s="150">
        <f t="shared" si="56"/>
        <v>0</v>
      </c>
      <c r="Y76" s="150">
        <f t="shared" si="57"/>
        <v>0</v>
      </c>
      <c r="Z76" s="150">
        <f t="shared" si="58"/>
        <v>0</v>
      </c>
      <c r="AA76" s="150">
        <f t="shared" si="59"/>
        <v>0</v>
      </c>
      <c r="AB76" s="150">
        <f t="shared" si="60"/>
        <v>0</v>
      </c>
      <c r="AC76" s="150">
        <f t="shared" si="61"/>
        <v>0</v>
      </c>
      <c r="AD76" s="150">
        <f t="shared" si="62"/>
        <v>0</v>
      </c>
      <c r="AE76" s="154">
        <f t="shared" si="63"/>
        <v>0</v>
      </c>
      <c r="AF76" s="70">
        <f t="shared" si="64"/>
        <v>0</v>
      </c>
      <c r="AG76" s="155">
        <f t="shared" si="65"/>
        <v>0</v>
      </c>
    </row>
    <row r="77" spans="2:33" ht="14.25" customHeight="1" x14ac:dyDescent="0.25">
      <c r="B77" s="142"/>
      <c r="C77" s="141"/>
      <c r="D77" s="103"/>
      <c r="E77" s="104"/>
      <c r="F77" s="92">
        <v>0</v>
      </c>
      <c r="G77" s="150">
        <f>IF(F77&gt;0,F77,
IF(B77&lt;&gt;"",
IF(C77="CLT",VLOOKUP(B77,'Lista Profissionais'!$C$11:$H$348,3,0),
VLOOKUP(B77,'Lista Profissionais'!$C$11:$H$348,4,0)), 0))</f>
        <v>0</v>
      </c>
      <c r="H77" s="66">
        <f t="shared" si="24"/>
        <v>0</v>
      </c>
      <c r="I77" s="66">
        <f t="shared" si="44"/>
        <v>0</v>
      </c>
      <c r="J77" s="66">
        <f t="shared" si="45"/>
        <v>0</v>
      </c>
      <c r="K77" s="93">
        <f t="shared" si="46"/>
        <v>0</v>
      </c>
      <c r="L77" s="151"/>
      <c r="M77" s="152">
        <v>0</v>
      </c>
      <c r="N77" s="69">
        <f t="shared" si="47"/>
        <v>0</v>
      </c>
      <c r="O77" s="69">
        <f t="shared" si="48"/>
        <v>0</v>
      </c>
      <c r="P77" s="70">
        <f t="shared" si="49"/>
        <v>0</v>
      </c>
      <c r="Q77" s="153">
        <f t="shared" si="50"/>
        <v>0</v>
      </c>
      <c r="R77" s="70">
        <v>0</v>
      </c>
      <c r="S77" s="165">
        <f t="shared" si="51"/>
        <v>0</v>
      </c>
      <c r="T77" s="163">
        <f t="shared" si="52"/>
        <v>0</v>
      </c>
      <c r="U77" s="164">
        <f t="shared" si="53"/>
        <v>0</v>
      </c>
      <c r="V77" s="164">
        <f t="shared" si="54"/>
        <v>0</v>
      </c>
      <c r="W77" s="144">
        <f t="shared" si="55"/>
        <v>0</v>
      </c>
      <c r="X77" s="150">
        <f t="shared" si="56"/>
        <v>0</v>
      </c>
      <c r="Y77" s="150">
        <f t="shared" si="57"/>
        <v>0</v>
      </c>
      <c r="Z77" s="150">
        <f t="shared" si="58"/>
        <v>0</v>
      </c>
      <c r="AA77" s="150">
        <f t="shared" si="59"/>
        <v>0</v>
      </c>
      <c r="AB77" s="150">
        <f t="shared" si="60"/>
        <v>0</v>
      </c>
      <c r="AC77" s="150">
        <f t="shared" si="61"/>
        <v>0</v>
      </c>
      <c r="AD77" s="150">
        <f t="shared" si="62"/>
        <v>0</v>
      </c>
      <c r="AE77" s="154">
        <f t="shared" si="63"/>
        <v>0</v>
      </c>
      <c r="AF77" s="70">
        <f t="shared" si="64"/>
        <v>0</v>
      </c>
      <c r="AG77" s="155">
        <f t="shared" si="65"/>
        <v>0</v>
      </c>
    </row>
    <row r="78" spans="2:33" ht="14.25" customHeight="1" x14ac:dyDescent="0.25">
      <c r="B78" s="143"/>
      <c r="C78" s="141"/>
      <c r="D78" s="103"/>
      <c r="E78" s="104"/>
      <c r="F78" s="92">
        <v>0</v>
      </c>
      <c r="G78" s="150">
        <f>IF(F78&gt;0,F78,
IF(B78&lt;&gt;"",
IF(C78="CLT",VLOOKUP(B78,'Lista Profissionais'!$C$11:$H$348,3,0),
VLOOKUP(B78,'Lista Profissionais'!$C$11:$H$348,4,0)), 0))</f>
        <v>0</v>
      </c>
      <c r="H78" s="66">
        <f t="shared" si="24"/>
        <v>0</v>
      </c>
      <c r="I78" s="66">
        <f t="shared" si="44"/>
        <v>0</v>
      </c>
      <c r="J78" s="66">
        <f t="shared" si="45"/>
        <v>0</v>
      </c>
      <c r="K78" s="93">
        <f t="shared" si="46"/>
        <v>0</v>
      </c>
      <c r="L78" s="151"/>
      <c r="M78" s="152">
        <v>0</v>
      </c>
      <c r="N78" s="69">
        <f t="shared" si="47"/>
        <v>0</v>
      </c>
      <c r="O78" s="69">
        <f t="shared" si="48"/>
        <v>0</v>
      </c>
      <c r="P78" s="70">
        <f t="shared" si="49"/>
        <v>0</v>
      </c>
      <c r="Q78" s="153">
        <f t="shared" si="50"/>
        <v>0</v>
      </c>
      <c r="R78" s="70">
        <v>0</v>
      </c>
      <c r="S78" s="165">
        <f t="shared" si="51"/>
        <v>0</v>
      </c>
      <c r="T78" s="163">
        <f t="shared" si="52"/>
        <v>0</v>
      </c>
      <c r="U78" s="164">
        <f t="shared" si="53"/>
        <v>0</v>
      </c>
      <c r="V78" s="164">
        <f t="shared" si="54"/>
        <v>0</v>
      </c>
      <c r="W78" s="144">
        <f t="shared" si="55"/>
        <v>0</v>
      </c>
      <c r="X78" s="150">
        <f t="shared" si="56"/>
        <v>0</v>
      </c>
      <c r="Y78" s="150">
        <f t="shared" si="57"/>
        <v>0</v>
      </c>
      <c r="Z78" s="150">
        <f t="shared" si="58"/>
        <v>0</v>
      </c>
      <c r="AA78" s="150">
        <f t="shared" si="59"/>
        <v>0</v>
      </c>
      <c r="AB78" s="150">
        <f t="shared" si="60"/>
        <v>0</v>
      </c>
      <c r="AC78" s="150">
        <f t="shared" si="61"/>
        <v>0</v>
      </c>
      <c r="AD78" s="150">
        <f t="shared" si="62"/>
        <v>0</v>
      </c>
      <c r="AE78" s="154">
        <f t="shared" si="63"/>
        <v>0</v>
      </c>
      <c r="AF78" s="70">
        <f t="shared" si="64"/>
        <v>0</v>
      </c>
      <c r="AG78" s="155">
        <f t="shared" si="65"/>
        <v>0</v>
      </c>
    </row>
    <row r="79" spans="2:33" ht="14.25" customHeight="1" x14ac:dyDescent="0.25">
      <c r="B79" s="143"/>
      <c r="C79" s="141"/>
      <c r="D79" s="103"/>
      <c r="E79" s="104"/>
      <c r="F79" s="92">
        <v>0</v>
      </c>
      <c r="G79" s="150">
        <f>IF(F79&gt;0,F79,
IF(B79&lt;&gt;"",
IF(C79="CLT",VLOOKUP(B79,'Lista Profissionais'!$C$11:$H$348,3,0),
VLOOKUP(B79,'Lista Profissionais'!$C$11:$H$348,4,0)), 0))</f>
        <v>0</v>
      </c>
      <c r="H79" s="66">
        <f t="shared" si="24"/>
        <v>0</v>
      </c>
      <c r="I79" s="66">
        <f t="shared" si="44"/>
        <v>0</v>
      </c>
      <c r="J79" s="66">
        <f t="shared" si="45"/>
        <v>0</v>
      </c>
      <c r="K79" s="93">
        <f t="shared" si="46"/>
        <v>0</v>
      </c>
      <c r="L79" s="151"/>
      <c r="M79" s="152">
        <v>0</v>
      </c>
      <c r="N79" s="69">
        <f t="shared" si="47"/>
        <v>0</v>
      </c>
      <c r="O79" s="69">
        <f t="shared" si="48"/>
        <v>0</v>
      </c>
      <c r="P79" s="70">
        <f t="shared" si="49"/>
        <v>0</v>
      </c>
      <c r="Q79" s="153">
        <f t="shared" si="50"/>
        <v>0</v>
      </c>
      <c r="R79" s="70">
        <v>0</v>
      </c>
      <c r="S79" s="165">
        <f t="shared" si="51"/>
        <v>0</v>
      </c>
      <c r="T79" s="163">
        <f t="shared" si="52"/>
        <v>0</v>
      </c>
      <c r="U79" s="164">
        <f t="shared" si="53"/>
        <v>0</v>
      </c>
      <c r="V79" s="164">
        <f t="shared" si="54"/>
        <v>0</v>
      </c>
      <c r="W79" s="144">
        <f t="shared" si="55"/>
        <v>0</v>
      </c>
      <c r="X79" s="150">
        <f t="shared" si="56"/>
        <v>0</v>
      </c>
      <c r="Y79" s="150">
        <f t="shared" si="57"/>
        <v>0</v>
      </c>
      <c r="Z79" s="150">
        <f t="shared" si="58"/>
        <v>0</v>
      </c>
      <c r="AA79" s="150">
        <f t="shared" si="59"/>
        <v>0</v>
      </c>
      <c r="AB79" s="150">
        <f t="shared" si="60"/>
        <v>0</v>
      </c>
      <c r="AC79" s="150">
        <f t="shared" si="61"/>
        <v>0</v>
      </c>
      <c r="AD79" s="150">
        <f t="shared" si="62"/>
        <v>0</v>
      </c>
      <c r="AE79" s="154">
        <f t="shared" si="63"/>
        <v>0</v>
      </c>
      <c r="AF79" s="70">
        <f t="shared" si="64"/>
        <v>0</v>
      </c>
      <c r="AG79" s="155">
        <f t="shared" si="65"/>
        <v>0</v>
      </c>
    </row>
    <row r="80" spans="2:33" ht="14.25" customHeight="1" x14ac:dyDescent="0.25">
      <c r="B80" s="143"/>
      <c r="C80" s="141"/>
      <c r="D80" s="103"/>
      <c r="E80" s="104"/>
      <c r="F80" s="92">
        <v>0</v>
      </c>
      <c r="G80" s="150">
        <f>IF(F80&gt;0,F80,
IF(B80&lt;&gt;"",
IF(C80="CLT",VLOOKUP(B80,'Lista Profissionais'!$C$11:$H$348,3,0),
VLOOKUP(B80,'Lista Profissionais'!$C$11:$H$348,4,0)), 0))</f>
        <v>0</v>
      </c>
      <c r="H80" s="66">
        <f t="shared" si="24"/>
        <v>0</v>
      </c>
      <c r="I80" s="66">
        <f t="shared" si="44"/>
        <v>0</v>
      </c>
      <c r="J80" s="66">
        <f t="shared" si="45"/>
        <v>0</v>
      </c>
      <c r="K80" s="93">
        <f t="shared" si="46"/>
        <v>0</v>
      </c>
      <c r="L80" s="151"/>
      <c r="M80" s="152">
        <v>0</v>
      </c>
      <c r="N80" s="69">
        <f t="shared" si="47"/>
        <v>0</v>
      </c>
      <c r="O80" s="69">
        <f t="shared" si="48"/>
        <v>0</v>
      </c>
      <c r="P80" s="70">
        <f t="shared" si="49"/>
        <v>0</v>
      </c>
      <c r="Q80" s="153">
        <f t="shared" si="50"/>
        <v>0</v>
      </c>
      <c r="R80" s="70">
        <v>0</v>
      </c>
      <c r="S80" s="165">
        <f t="shared" si="51"/>
        <v>0</v>
      </c>
      <c r="T80" s="163">
        <f t="shared" si="52"/>
        <v>0</v>
      </c>
      <c r="U80" s="164">
        <f t="shared" si="53"/>
        <v>0</v>
      </c>
      <c r="V80" s="164">
        <f t="shared" si="54"/>
        <v>0</v>
      </c>
      <c r="W80" s="144">
        <f t="shared" si="55"/>
        <v>0</v>
      </c>
      <c r="X80" s="150">
        <f t="shared" si="56"/>
        <v>0</v>
      </c>
      <c r="Y80" s="150">
        <f t="shared" si="57"/>
        <v>0</v>
      </c>
      <c r="Z80" s="150">
        <f t="shared" si="58"/>
        <v>0</v>
      </c>
      <c r="AA80" s="150">
        <f t="shared" si="59"/>
        <v>0</v>
      </c>
      <c r="AB80" s="150">
        <f t="shared" si="60"/>
        <v>0</v>
      </c>
      <c r="AC80" s="150">
        <f t="shared" si="61"/>
        <v>0</v>
      </c>
      <c r="AD80" s="150">
        <f t="shared" si="62"/>
        <v>0</v>
      </c>
      <c r="AE80" s="154">
        <f t="shared" si="63"/>
        <v>0</v>
      </c>
      <c r="AF80" s="70">
        <f t="shared" si="64"/>
        <v>0</v>
      </c>
      <c r="AG80" s="155">
        <f t="shared" si="65"/>
        <v>0</v>
      </c>
    </row>
    <row r="81" spans="2:33" ht="14.25" customHeight="1" x14ac:dyDescent="0.25">
      <c r="B81" s="143"/>
      <c r="C81" s="141"/>
      <c r="D81" s="103"/>
      <c r="E81" s="104"/>
      <c r="F81" s="92">
        <v>0</v>
      </c>
      <c r="G81" s="150">
        <f>IF(F81&gt;0,F81,
IF(B81&lt;&gt;"",
IF(C81="CLT",VLOOKUP(B81,'Lista Profissionais'!$C$11:$H$348,3,0),
VLOOKUP(B81,'Lista Profissionais'!$C$11:$H$348,4,0)), 0))</f>
        <v>0</v>
      </c>
      <c r="H81" s="66">
        <f t="shared" si="24"/>
        <v>0</v>
      </c>
      <c r="I81" s="66">
        <f t="shared" si="44"/>
        <v>0</v>
      </c>
      <c r="J81" s="66">
        <f t="shared" si="45"/>
        <v>0</v>
      </c>
      <c r="K81" s="93">
        <f t="shared" si="46"/>
        <v>0</v>
      </c>
      <c r="L81" s="151"/>
      <c r="M81" s="152">
        <v>0</v>
      </c>
      <c r="N81" s="69">
        <f t="shared" si="47"/>
        <v>0</v>
      </c>
      <c r="O81" s="69">
        <f t="shared" si="48"/>
        <v>0</v>
      </c>
      <c r="P81" s="70">
        <f t="shared" si="49"/>
        <v>0</v>
      </c>
      <c r="Q81" s="153">
        <f t="shared" si="50"/>
        <v>0</v>
      </c>
      <c r="R81" s="70">
        <v>0</v>
      </c>
      <c r="S81" s="165">
        <f t="shared" si="51"/>
        <v>0</v>
      </c>
      <c r="T81" s="163">
        <f t="shared" si="52"/>
        <v>0</v>
      </c>
      <c r="U81" s="164">
        <f t="shared" si="53"/>
        <v>0</v>
      </c>
      <c r="V81" s="164">
        <f t="shared" si="54"/>
        <v>0</v>
      </c>
      <c r="W81" s="144">
        <f t="shared" si="55"/>
        <v>0</v>
      </c>
      <c r="X81" s="150">
        <f t="shared" si="56"/>
        <v>0</v>
      </c>
      <c r="Y81" s="150">
        <f t="shared" si="57"/>
        <v>0</v>
      </c>
      <c r="Z81" s="150">
        <f t="shared" si="58"/>
        <v>0</v>
      </c>
      <c r="AA81" s="150">
        <f t="shared" si="59"/>
        <v>0</v>
      </c>
      <c r="AB81" s="150">
        <f t="shared" si="60"/>
        <v>0</v>
      </c>
      <c r="AC81" s="150">
        <f t="shared" si="61"/>
        <v>0</v>
      </c>
      <c r="AD81" s="150">
        <f t="shared" si="62"/>
        <v>0</v>
      </c>
      <c r="AE81" s="154">
        <f t="shared" si="63"/>
        <v>0</v>
      </c>
      <c r="AF81" s="70">
        <f t="shared" si="64"/>
        <v>0</v>
      </c>
      <c r="AG81" s="155">
        <f t="shared" si="65"/>
        <v>0</v>
      </c>
    </row>
    <row r="82" spans="2:33" ht="14.25" customHeight="1" x14ac:dyDescent="0.25">
      <c r="B82" s="142"/>
      <c r="C82" s="141"/>
      <c r="D82" s="103"/>
      <c r="E82" s="104"/>
      <c r="F82" s="92">
        <v>0</v>
      </c>
      <c r="G82" s="150">
        <f>IF(F82&gt;0,F82,
IF(B82&lt;&gt;"",
IF(C82="CLT",VLOOKUP(B82,'Lista Profissionais'!$C$11:$H$348,3,0),
VLOOKUP(B82,'Lista Profissionais'!$C$11:$H$348,4,0)), 0))</f>
        <v>0</v>
      </c>
      <c r="H82" s="66">
        <f t="shared" si="24"/>
        <v>0</v>
      </c>
      <c r="I82" s="66">
        <f t="shared" si="44"/>
        <v>0</v>
      </c>
      <c r="J82" s="66">
        <f t="shared" si="45"/>
        <v>0</v>
      </c>
      <c r="K82" s="93">
        <f t="shared" si="46"/>
        <v>0</v>
      </c>
      <c r="L82" s="151"/>
      <c r="M82" s="152">
        <v>0</v>
      </c>
      <c r="N82" s="69">
        <f t="shared" si="47"/>
        <v>0</v>
      </c>
      <c r="O82" s="69">
        <f t="shared" si="48"/>
        <v>0</v>
      </c>
      <c r="P82" s="70">
        <f t="shared" si="49"/>
        <v>0</v>
      </c>
      <c r="Q82" s="153">
        <f t="shared" si="50"/>
        <v>0</v>
      </c>
      <c r="R82" s="70">
        <v>0</v>
      </c>
      <c r="S82" s="165">
        <f t="shared" si="51"/>
        <v>0</v>
      </c>
      <c r="T82" s="163">
        <f t="shared" si="52"/>
        <v>0</v>
      </c>
      <c r="U82" s="164">
        <f t="shared" si="53"/>
        <v>0</v>
      </c>
      <c r="V82" s="164">
        <f t="shared" si="54"/>
        <v>0</v>
      </c>
      <c r="W82" s="144">
        <f t="shared" si="55"/>
        <v>0</v>
      </c>
      <c r="X82" s="150">
        <f t="shared" si="56"/>
        <v>0</v>
      </c>
      <c r="Y82" s="150">
        <f t="shared" si="57"/>
        <v>0</v>
      </c>
      <c r="Z82" s="150">
        <f t="shared" si="58"/>
        <v>0</v>
      </c>
      <c r="AA82" s="150">
        <f t="shared" si="59"/>
        <v>0</v>
      </c>
      <c r="AB82" s="150">
        <f t="shared" si="60"/>
        <v>0</v>
      </c>
      <c r="AC82" s="150">
        <f t="shared" si="61"/>
        <v>0</v>
      </c>
      <c r="AD82" s="150">
        <f t="shared" si="62"/>
        <v>0</v>
      </c>
      <c r="AE82" s="154">
        <f t="shared" si="63"/>
        <v>0</v>
      </c>
      <c r="AF82" s="70">
        <f t="shared" si="64"/>
        <v>0</v>
      </c>
      <c r="AG82" s="155">
        <f t="shared" si="65"/>
        <v>0</v>
      </c>
    </row>
    <row r="83" spans="2:33" ht="14.25" customHeight="1" x14ac:dyDescent="0.25">
      <c r="B83" s="143"/>
      <c r="C83" s="141"/>
      <c r="D83" s="103"/>
      <c r="E83" s="104"/>
      <c r="F83" s="92">
        <v>0</v>
      </c>
      <c r="G83" s="150">
        <f>IF(F83&gt;0,F83,
IF(B83&lt;&gt;"",
IF(C83="CLT",VLOOKUP(B83,'Lista Profissionais'!$C$11:$H$348,3,0),
VLOOKUP(B83,'Lista Profissionais'!$C$11:$H$348,4,0)), 0))</f>
        <v>0</v>
      </c>
      <c r="H83" s="66">
        <f t="shared" si="24"/>
        <v>0</v>
      </c>
      <c r="I83" s="66">
        <f t="shared" si="44"/>
        <v>0</v>
      </c>
      <c r="J83" s="66">
        <f t="shared" si="45"/>
        <v>0</v>
      </c>
      <c r="K83" s="93">
        <f t="shared" si="46"/>
        <v>0</v>
      </c>
      <c r="L83" s="151"/>
      <c r="M83" s="152">
        <v>0</v>
      </c>
      <c r="N83" s="69">
        <f t="shared" si="47"/>
        <v>0</v>
      </c>
      <c r="O83" s="69">
        <f t="shared" si="48"/>
        <v>0</v>
      </c>
      <c r="P83" s="70">
        <f t="shared" si="49"/>
        <v>0</v>
      </c>
      <c r="Q83" s="153">
        <f t="shared" si="50"/>
        <v>0</v>
      </c>
      <c r="R83" s="70">
        <v>0</v>
      </c>
      <c r="S83" s="165">
        <f t="shared" si="51"/>
        <v>0</v>
      </c>
      <c r="T83" s="163">
        <f t="shared" si="52"/>
        <v>0</v>
      </c>
      <c r="U83" s="164">
        <f t="shared" si="53"/>
        <v>0</v>
      </c>
      <c r="V83" s="164">
        <f t="shared" si="54"/>
        <v>0</v>
      </c>
      <c r="W83" s="144">
        <f t="shared" si="55"/>
        <v>0</v>
      </c>
      <c r="X83" s="150">
        <f t="shared" si="56"/>
        <v>0</v>
      </c>
      <c r="Y83" s="150">
        <f t="shared" si="57"/>
        <v>0</v>
      </c>
      <c r="Z83" s="150">
        <f t="shared" si="58"/>
        <v>0</v>
      </c>
      <c r="AA83" s="150">
        <f t="shared" si="59"/>
        <v>0</v>
      </c>
      <c r="AB83" s="150">
        <f t="shared" si="60"/>
        <v>0</v>
      </c>
      <c r="AC83" s="150">
        <f t="shared" si="61"/>
        <v>0</v>
      </c>
      <c r="AD83" s="150">
        <f t="shared" si="62"/>
        <v>0</v>
      </c>
      <c r="AE83" s="154">
        <f t="shared" si="63"/>
        <v>0</v>
      </c>
      <c r="AF83" s="70">
        <f t="shared" si="64"/>
        <v>0</v>
      </c>
      <c r="AG83" s="155">
        <f t="shared" si="65"/>
        <v>0</v>
      </c>
    </row>
    <row r="84" spans="2:33" ht="14.25" customHeight="1" x14ac:dyDescent="0.25">
      <c r="B84" s="143"/>
      <c r="C84" s="141"/>
      <c r="D84" s="103"/>
      <c r="E84" s="104"/>
      <c r="F84" s="92">
        <v>0</v>
      </c>
      <c r="G84" s="150">
        <f>IF(F84&gt;0,F84,
IF(B84&lt;&gt;"",
IF(C84="CLT",VLOOKUP(B84,'Lista Profissionais'!$C$11:$H$348,3,0),
VLOOKUP(B84,'Lista Profissionais'!$C$11:$H$348,4,0)), 0))</f>
        <v>0</v>
      </c>
      <c r="H84" s="66">
        <f t="shared" ref="H84:H114" si="66">(G84/$G$2)*D84</f>
        <v>0</v>
      </c>
      <c r="I84" s="66">
        <f t="shared" si="44"/>
        <v>0</v>
      </c>
      <c r="J84" s="66">
        <f t="shared" si="45"/>
        <v>0</v>
      </c>
      <c r="K84" s="93">
        <f t="shared" si="46"/>
        <v>0</v>
      </c>
      <c r="L84" s="151"/>
      <c r="M84" s="152">
        <v>0</v>
      </c>
      <c r="N84" s="69">
        <f t="shared" si="47"/>
        <v>0</v>
      </c>
      <c r="O84" s="69">
        <f t="shared" si="48"/>
        <v>0</v>
      </c>
      <c r="P84" s="70">
        <f t="shared" si="49"/>
        <v>0</v>
      </c>
      <c r="Q84" s="153">
        <f t="shared" si="50"/>
        <v>0</v>
      </c>
      <c r="R84" s="70">
        <v>0</v>
      </c>
      <c r="S84" s="165">
        <f t="shared" si="51"/>
        <v>0</v>
      </c>
      <c r="T84" s="163">
        <f t="shared" si="52"/>
        <v>0</v>
      </c>
      <c r="U84" s="164">
        <f t="shared" si="53"/>
        <v>0</v>
      </c>
      <c r="V84" s="164">
        <f t="shared" si="54"/>
        <v>0</v>
      </c>
      <c r="W84" s="144">
        <f t="shared" si="55"/>
        <v>0</v>
      </c>
      <c r="X84" s="150">
        <f t="shared" si="56"/>
        <v>0</v>
      </c>
      <c r="Y84" s="150">
        <f t="shared" si="57"/>
        <v>0</v>
      </c>
      <c r="Z84" s="150">
        <f t="shared" si="58"/>
        <v>0</v>
      </c>
      <c r="AA84" s="150">
        <f t="shared" si="59"/>
        <v>0</v>
      </c>
      <c r="AB84" s="150">
        <f t="shared" si="60"/>
        <v>0</v>
      </c>
      <c r="AC84" s="150">
        <f t="shared" si="61"/>
        <v>0</v>
      </c>
      <c r="AD84" s="150">
        <f t="shared" si="62"/>
        <v>0</v>
      </c>
      <c r="AE84" s="154">
        <f t="shared" si="63"/>
        <v>0</v>
      </c>
      <c r="AF84" s="70">
        <f t="shared" si="64"/>
        <v>0</v>
      </c>
      <c r="AG84" s="155">
        <f t="shared" si="65"/>
        <v>0</v>
      </c>
    </row>
    <row r="85" spans="2:33" ht="14.25" customHeight="1" x14ac:dyDescent="0.25">
      <c r="B85" s="143"/>
      <c r="C85" s="141"/>
      <c r="D85" s="103"/>
      <c r="E85" s="104"/>
      <c r="F85" s="92">
        <v>0</v>
      </c>
      <c r="G85" s="150">
        <f>IF(F85&gt;0,F85,
IF(B85&lt;&gt;"",
IF(C85="CLT",VLOOKUP(B85,'Lista Profissionais'!$C$11:$H$348,3,0),
VLOOKUP(B85,'Lista Profissionais'!$C$11:$H$348,4,0)), 0))</f>
        <v>0</v>
      </c>
      <c r="H85" s="66">
        <f t="shared" si="66"/>
        <v>0</v>
      </c>
      <c r="I85" s="66">
        <f t="shared" si="44"/>
        <v>0</v>
      </c>
      <c r="J85" s="66">
        <f t="shared" si="45"/>
        <v>0</v>
      </c>
      <c r="K85" s="93">
        <f t="shared" si="46"/>
        <v>0</v>
      </c>
      <c r="L85" s="151"/>
      <c r="M85" s="152">
        <v>0</v>
      </c>
      <c r="N85" s="69">
        <f t="shared" si="47"/>
        <v>0</v>
      </c>
      <c r="O85" s="69">
        <f t="shared" si="48"/>
        <v>0</v>
      </c>
      <c r="P85" s="70">
        <f t="shared" si="49"/>
        <v>0</v>
      </c>
      <c r="Q85" s="153">
        <f t="shared" si="50"/>
        <v>0</v>
      </c>
      <c r="R85" s="70">
        <v>0</v>
      </c>
      <c r="S85" s="165">
        <f t="shared" si="51"/>
        <v>0</v>
      </c>
      <c r="T85" s="163">
        <f t="shared" si="52"/>
        <v>0</v>
      </c>
      <c r="U85" s="164">
        <f t="shared" si="53"/>
        <v>0</v>
      </c>
      <c r="V85" s="164">
        <f t="shared" si="54"/>
        <v>0</v>
      </c>
      <c r="W85" s="144">
        <f t="shared" si="55"/>
        <v>0</v>
      </c>
      <c r="X85" s="150">
        <f t="shared" si="56"/>
        <v>0</v>
      </c>
      <c r="Y85" s="150">
        <f t="shared" si="57"/>
        <v>0</v>
      </c>
      <c r="Z85" s="150">
        <f t="shared" si="58"/>
        <v>0</v>
      </c>
      <c r="AA85" s="150">
        <f t="shared" si="59"/>
        <v>0</v>
      </c>
      <c r="AB85" s="150">
        <f t="shared" si="60"/>
        <v>0</v>
      </c>
      <c r="AC85" s="150">
        <f t="shared" si="61"/>
        <v>0</v>
      </c>
      <c r="AD85" s="150">
        <f t="shared" si="62"/>
        <v>0</v>
      </c>
      <c r="AE85" s="154">
        <f t="shared" si="63"/>
        <v>0</v>
      </c>
      <c r="AF85" s="70">
        <f t="shared" si="64"/>
        <v>0</v>
      </c>
      <c r="AG85" s="155">
        <f t="shared" si="65"/>
        <v>0</v>
      </c>
    </row>
    <row r="86" spans="2:33" ht="14.25" customHeight="1" x14ac:dyDescent="0.25">
      <c r="B86" s="143"/>
      <c r="C86" s="141"/>
      <c r="D86" s="103"/>
      <c r="E86" s="104"/>
      <c r="F86" s="92">
        <v>0</v>
      </c>
      <c r="G86" s="150">
        <f>IF(F86&gt;0,F86,
IF(B86&lt;&gt;"",
IF(C86="CLT",VLOOKUP(B86,'Lista Profissionais'!$C$11:$H$348,3,0),
VLOOKUP(B86,'Lista Profissionais'!$C$11:$H$348,4,0)), 0))</f>
        <v>0</v>
      </c>
      <c r="H86" s="66">
        <f t="shared" si="66"/>
        <v>0</v>
      </c>
      <c r="I86" s="66">
        <f t="shared" si="44"/>
        <v>0</v>
      </c>
      <c r="J86" s="66">
        <f t="shared" si="45"/>
        <v>0</v>
      </c>
      <c r="K86" s="93">
        <f t="shared" si="46"/>
        <v>0</v>
      </c>
      <c r="L86" s="151"/>
      <c r="M86" s="152">
        <v>0</v>
      </c>
      <c r="N86" s="69">
        <f t="shared" si="47"/>
        <v>0</v>
      </c>
      <c r="O86" s="69">
        <f t="shared" si="48"/>
        <v>0</v>
      </c>
      <c r="P86" s="70">
        <f t="shared" si="49"/>
        <v>0</v>
      </c>
      <c r="Q86" s="153">
        <f t="shared" si="50"/>
        <v>0</v>
      </c>
      <c r="R86" s="70">
        <v>0</v>
      </c>
      <c r="S86" s="165">
        <f t="shared" si="51"/>
        <v>0</v>
      </c>
      <c r="T86" s="163">
        <f t="shared" si="52"/>
        <v>0</v>
      </c>
      <c r="U86" s="164">
        <f t="shared" si="53"/>
        <v>0</v>
      </c>
      <c r="V86" s="164">
        <f t="shared" si="54"/>
        <v>0</v>
      </c>
      <c r="W86" s="144">
        <f t="shared" si="55"/>
        <v>0</v>
      </c>
      <c r="X86" s="150">
        <f t="shared" si="56"/>
        <v>0</v>
      </c>
      <c r="Y86" s="150">
        <f t="shared" si="57"/>
        <v>0</v>
      </c>
      <c r="Z86" s="150">
        <f t="shared" si="58"/>
        <v>0</v>
      </c>
      <c r="AA86" s="150">
        <f t="shared" si="59"/>
        <v>0</v>
      </c>
      <c r="AB86" s="150">
        <f t="shared" si="60"/>
        <v>0</v>
      </c>
      <c r="AC86" s="150">
        <f t="shared" si="61"/>
        <v>0</v>
      </c>
      <c r="AD86" s="150">
        <f t="shared" si="62"/>
        <v>0</v>
      </c>
      <c r="AE86" s="154">
        <f t="shared" si="63"/>
        <v>0</v>
      </c>
      <c r="AF86" s="70">
        <f t="shared" si="64"/>
        <v>0</v>
      </c>
      <c r="AG86" s="155">
        <f t="shared" si="65"/>
        <v>0</v>
      </c>
    </row>
    <row r="87" spans="2:33" ht="14.25" customHeight="1" x14ac:dyDescent="0.25">
      <c r="B87" s="142"/>
      <c r="C87" s="141"/>
      <c r="D87" s="103"/>
      <c r="E87" s="104"/>
      <c r="F87" s="92">
        <v>0</v>
      </c>
      <c r="G87" s="150">
        <f>IF(F87&gt;0,F87,
IF(B87&lt;&gt;"",
IF(C87="CLT",VLOOKUP(B87,'Lista Profissionais'!$C$11:$H$348,3,0),
VLOOKUP(B87,'Lista Profissionais'!$C$11:$H$348,4,0)), 0))</f>
        <v>0</v>
      </c>
      <c r="H87" s="66">
        <f t="shared" si="66"/>
        <v>0</v>
      </c>
      <c r="I87" s="66">
        <f t="shared" si="44"/>
        <v>0</v>
      </c>
      <c r="J87" s="66">
        <f t="shared" si="45"/>
        <v>0</v>
      </c>
      <c r="K87" s="93">
        <f t="shared" si="46"/>
        <v>0</v>
      </c>
      <c r="L87" s="151"/>
      <c r="M87" s="152">
        <v>0</v>
      </c>
      <c r="N87" s="69">
        <f t="shared" si="47"/>
        <v>0</v>
      </c>
      <c r="O87" s="69">
        <f t="shared" si="48"/>
        <v>0</v>
      </c>
      <c r="P87" s="70">
        <f t="shared" si="49"/>
        <v>0</v>
      </c>
      <c r="Q87" s="153">
        <f t="shared" si="50"/>
        <v>0</v>
      </c>
      <c r="R87" s="70">
        <v>0</v>
      </c>
      <c r="S87" s="165">
        <f t="shared" si="51"/>
        <v>0</v>
      </c>
      <c r="T87" s="163">
        <f t="shared" si="52"/>
        <v>0</v>
      </c>
      <c r="U87" s="164">
        <f t="shared" si="53"/>
        <v>0</v>
      </c>
      <c r="V87" s="164">
        <f t="shared" si="54"/>
        <v>0</v>
      </c>
      <c r="W87" s="144">
        <f t="shared" si="55"/>
        <v>0</v>
      </c>
      <c r="X87" s="150">
        <f t="shared" si="56"/>
        <v>0</v>
      </c>
      <c r="Y87" s="150">
        <f t="shared" si="57"/>
        <v>0</v>
      </c>
      <c r="Z87" s="150">
        <f t="shared" si="58"/>
        <v>0</v>
      </c>
      <c r="AA87" s="150">
        <f t="shared" si="59"/>
        <v>0</v>
      </c>
      <c r="AB87" s="150">
        <f t="shared" si="60"/>
        <v>0</v>
      </c>
      <c r="AC87" s="150">
        <f t="shared" si="61"/>
        <v>0</v>
      </c>
      <c r="AD87" s="150">
        <f t="shared" si="62"/>
        <v>0</v>
      </c>
      <c r="AE87" s="154">
        <f t="shared" si="63"/>
        <v>0</v>
      </c>
      <c r="AF87" s="70">
        <f t="shared" si="64"/>
        <v>0</v>
      </c>
      <c r="AG87" s="155">
        <f t="shared" si="65"/>
        <v>0</v>
      </c>
    </row>
    <row r="88" spans="2:33" ht="14.25" customHeight="1" x14ac:dyDescent="0.25">
      <c r="B88" s="143"/>
      <c r="C88" s="141"/>
      <c r="D88" s="103"/>
      <c r="E88" s="104"/>
      <c r="F88" s="92">
        <v>0</v>
      </c>
      <c r="G88" s="150">
        <f>IF(F88&gt;0,F88,
IF(B88&lt;&gt;"",
IF(C88="CLT",VLOOKUP(B88,'Lista Profissionais'!$C$11:$H$348,3,0),
VLOOKUP(B88,'Lista Profissionais'!$C$11:$H$348,4,0)), 0))</f>
        <v>0</v>
      </c>
      <c r="H88" s="66">
        <f t="shared" si="66"/>
        <v>0</v>
      </c>
      <c r="I88" s="66">
        <f t="shared" si="44"/>
        <v>0</v>
      </c>
      <c r="J88" s="66">
        <f t="shared" si="45"/>
        <v>0</v>
      </c>
      <c r="K88" s="93">
        <f t="shared" si="46"/>
        <v>0</v>
      </c>
      <c r="L88" s="151"/>
      <c r="M88" s="152">
        <v>0</v>
      </c>
      <c r="N88" s="69">
        <f t="shared" si="47"/>
        <v>0</v>
      </c>
      <c r="O88" s="69">
        <f t="shared" si="48"/>
        <v>0</v>
      </c>
      <c r="P88" s="70">
        <f t="shared" si="49"/>
        <v>0</v>
      </c>
      <c r="Q88" s="153">
        <f t="shared" si="50"/>
        <v>0</v>
      </c>
      <c r="R88" s="70">
        <v>0</v>
      </c>
      <c r="S88" s="165">
        <f t="shared" si="51"/>
        <v>0</v>
      </c>
      <c r="T88" s="163">
        <f t="shared" si="52"/>
        <v>0</v>
      </c>
      <c r="U88" s="164">
        <f t="shared" si="53"/>
        <v>0</v>
      </c>
      <c r="V88" s="164">
        <f t="shared" si="54"/>
        <v>0</v>
      </c>
      <c r="W88" s="144">
        <f t="shared" si="55"/>
        <v>0</v>
      </c>
      <c r="X88" s="150">
        <f t="shared" si="56"/>
        <v>0</v>
      </c>
      <c r="Y88" s="150">
        <f t="shared" si="57"/>
        <v>0</v>
      </c>
      <c r="Z88" s="150">
        <f t="shared" si="58"/>
        <v>0</v>
      </c>
      <c r="AA88" s="150">
        <f t="shared" si="59"/>
        <v>0</v>
      </c>
      <c r="AB88" s="150">
        <f t="shared" si="60"/>
        <v>0</v>
      </c>
      <c r="AC88" s="150">
        <f t="shared" si="61"/>
        <v>0</v>
      </c>
      <c r="AD88" s="150">
        <f t="shared" si="62"/>
        <v>0</v>
      </c>
      <c r="AE88" s="154">
        <f t="shared" si="63"/>
        <v>0</v>
      </c>
      <c r="AF88" s="70">
        <f t="shared" si="64"/>
        <v>0</v>
      </c>
      <c r="AG88" s="155">
        <f t="shared" si="65"/>
        <v>0</v>
      </c>
    </row>
    <row r="89" spans="2:33" ht="14.25" customHeight="1" x14ac:dyDescent="0.25">
      <c r="B89" s="143"/>
      <c r="C89" s="141"/>
      <c r="D89" s="103"/>
      <c r="E89" s="104"/>
      <c r="F89" s="92">
        <v>0</v>
      </c>
      <c r="G89" s="150">
        <f>IF(F89&gt;0,F89,
IF(B89&lt;&gt;"",
IF(C89="CLT",VLOOKUP(B89,'Lista Profissionais'!$C$11:$H$348,3,0),
VLOOKUP(B89,'Lista Profissionais'!$C$11:$H$348,4,0)), 0))</f>
        <v>0</v>
      </c>
      <c r="H89" s="66">
        <f t="shared" si="66"/>
        <v>0</v>
      </c>
      <c r="I89" s="66">
        <f t="shared" si="44"/>
        <v>0</v>
      </c>
      <c r="J89" s="66">
        <f t="shared" si="45"/>
        <v>0</v>
      </c>
      <c r="K89" s="93">
        <f t="shared" si="46"/>
        <v>0</v>
      </c>
      <c r="L89" s="151"/>
      <c r="M89" s="152">
        <v>0</v>
      </c>
      <c r="N89" s="69">
        <f t="shared" si="47"/>
        <v>0</v>
      </c>
      <c r="O89" s="69">
        <f t="shared" si="48"/>
        <v>0</v>
      </c>
      <c r="P89" s="70">
        <f t="shared" si="49"/>
        <v>0</v>
      </c>
      <c r="Q89" s="153">
        <f t="shared" si="50"/>
        <v>0</v>
      </c>
      <c r="R89" s="70">
        <v>0</v>
      </c>
      <c r="S89" s="165">
        <f t="shared" si="51"/>
        <v>0</v>
      </c>
      <c r="T89" s="163">
        <f t="shared" si="52"/>
        <v>0</v>
      </c>
      <c r="U89" s="164">
        <f t="shared" si="53"/>
        <v>0</v>
      </c>
      <c r="V89" s="164">
        <f t="shared" si="54"/>
        <v>0</v>
      </c>
      <c r="W89" s="144">
        <f t="shared" si="55"/>
        <v>0</v>
      </c>
      <c r="X89" s="150">
        <f t="shared" si="56"/>
        <v>0</v>
      </c>
      <c r="Y89" s="150">
        <f t="shared" si="57"/>
        <v>0</v>
      </c>
      <c r="Z89" s="150">
        <f t="shared" si="58"/>
        <v>0</v>
      </c>
      <c r="AA89" s="150">
        <f t="shared" si="59"/>
        <v>0</v>
      </c>
      <c r="AB89" s="150">
        <f t="shared" si="60"/>
        <v>0</v>
      </c>
      <c r="AC89" s="150">
        <f t="shared" si="61"/>
        <v>0</v>
      </c>
      <c r="AD89" s="150">
        <f t="shared" si="62"/>
        <v>0</v>
      </c>
      <c r="AE89" s="154">
        <f t="shared" si="63"/>
        <v>0</v>
      </c>
      <c r="AF89" s="70">
        <f t="shared" si="64"/>
        <v>0</v>
      </c>
      <c r="AG89" s="155">
        <f t="shared" si="65"/>
        <v>0</v>
      </c>
    </row>
    <row r="90" spans="2:33" ht="14.25" customHeight="1" x14ac:dyDescent="0.25">
      <c r="B90" s="142"/>
      <c r="C90" s="141"/>
      <c r="D90" s="103"/>
      <c r="E90" s="104"/>
      <c r="F90" s="92">
        <v>0</v>
      </c>
      <c r="G90" s="150">
        <f>IF(F90&gt;0,F90,
IF(B90&lt;&gt;"",
IF(C90="CLT",VLOOKUP(B90,'Lista Profissionais'!$C$11:$H$348,3,0),
VLOOKUP(B90,'Lista Profissionais'!$C$11:$H$348,4,0)), 0))</f>
        <v>0</v>
      </c>
      <c r="H90" s="66">
        <f t="shared" si="66"/>
        <v>0</v>
      </c>
      <c r="I90" s="66">
        <f t="shared" si="44"/>
        <v>0</v>
      </c>
      <c r="J90" s="66">
        <f t="shared" si="45"/>
        <v>0</v>
      </c>
      <c r="K90" s="93">
        <f t="shared" si="46"/>
        <v>0</v>
      </c>
      <c r="L90" s="151"/>
      <c r="M90" s="152">
        <v>0</v>
      </c>
      <c r="N90" s="69">
        <f t="shared" si="47"/>
        <v>0</v>
      </c>
      <c r="O90" s="69">
        <f t="shared" si="48"/>
        <v>0</v>
      </c>
      <c r="P90" s="70">
        <f t="shared" si="49"/>
        <v>0</v>
      </c>
      <c r="Q90" s="153">
        <f t="shared" si="50"/>
        <v>0</v>
      </c>
      <c r="R90" s="70">
        <v>0</v>
      </c>
      <c r="S90" s="165">
        <f t="shared" si="51"/>
        <v>0</v>
      </c>
      <c r="T90" s="163">
        <f t="shared" si="52"/>
        <v>0</v>
      </c>
      <c r="U90" s="164">
        <f t="shared" si="53"/>
        <v>0</v>
      </c>
      <c r="V90" s="164">
        <f t="shared" si="54"/>
        <v>0</v>
      </c>
      <c r="W90" s="144">
        <f t="shared" si="55"/>
        <v>0</v>
      </c>
      <c r="X90" s="150">
        <f t="shared" si="56"/>
        <v>0</v>
      </c>
      <c r="Y90" s="150">
        <f t="shared" si="57"/>
        <v>0</v>
      </c>
      <c r="Z90" s="150">
        <f t="shared" si="58"/>
        <v>0</v>
      </c>
      <c r="AA90" s="150">
        <f t="shared" si="59"/>
        <v>0</v>
      </c>
      <c r="AB90" s="150">
        <f t="shared" si="60"/>
        <v>0</v>
      </c>
      <c r="AC90" s="150">
        <f t="shared" si="61"/>
        <v>0</v>
      </c>
      <c r="AD90" s="150">
        <f t="shared" si="62"/>
        <v>0</v>
      </c>
      <c r="AE90" s="154">
        <f t="shared" si="63"/>
        <v>0</v>
      </c>
      <c r="AF90" s="70">
        <f t="shared" si="64"/>
        <v>0</v>
      </c>
      <c r="AG90" s="155">
        <f t="shared" si="65"/>
        <v>0</v>
      </c>
    </row>
    <row r="91" spans="2:33" ht="14.25" customHeight="1" x14ac:dyDescent="0.25">
      <c r="B91" s="143"/>
      <c r="C91" s="141"/>
      <c r="D91" s="103"/>
      <c r="E91" s="104"/>
      <c r="F91" s="92">
        <v>0</v>
      </c>
      <c r="G91" s="150">
        <f>IF(F91&gt;0,F91,
IF(B91&lt;&gt;"",
IF(C91="CLT",VLOOKUP(B91,'Lista Profissionais'!$C$11:$H$348,3,0),
VLOOKUP(B91,'Lista Profissionais'!$C$11:$H$348,4,0)), 0))</f>
        <v>0</v>
      </c>
      <c r="H91" s="66">
        <f t="shared" si="66"/>
        <v>0</v>
      </c>
      <c r="I91" s="66">
        <f t="shared" si="44"/>
        <v>0</v>
      </c>
      <c r="J91" s="66">
        <f t="shared" si="45"/>
        <v>0</v>
      </c>
      <c r="K91" s="93">
        <f t="shared" si="46"/>
        <v>0</v>
      </c>
      <c r="L91" s="151"/>
      <c r="M91" s="152">
        <v>0</v>
      </c>
      <c r="N91" s="69">
        <f t="shared" si="47"/>
        <v>0</v>
      </c>
      <c r="O91" s="69">
        <f t="shared" si="48"/>
        <v>0</v>
      </c>
      <c r="P91" s="70">
        <f t="shared" si="49"/>
        <v>0</v>
      </c>
      <c r="Q91" s="153">
        <f t="shared" si="50"/>
        <v>0</v>
      </c>
      <c r="R91" s="70">
        <v>0</v>
      </c>
      <c r="S91" s="165">
        <f t="shared" si="51"/>
        <v>0</v>
      </c>
      <c r="T91" s="163">
        <f t="shared" si="52"/>
        <v>0</v>
      </c>
      <c r="U91" s="164">
        <f t="shared" si="53"/>
        <v>0</v>
      </c>
      <c r="V91" s="164">
        <f t="shared" si="54"/>
        <v>0</v>
      </c>
      <c r="W91" s="144">
        <f t="shared" si="55"/>
        <v>0</v>
      </c>
      <c r="X91" s="150">
        <f t="shared" si="56"/>
        <v>0</v>
      </c>
      <c r="Y91" s="150">
        <f t="shared" si="57"/>
        <v>0</v>
      </c>
      <c r="Z91" s="150">
        <f t="shared" si="58"/>
        <v>0</v>
      </c>
      <c r="AA91" s="150">
        <f t="shared" si="59"/>
        <v>0</v>
      </c>
      <c r="AB91" s="150">
        <f t="shared" si="60"/>
        <v>0</v>
      </c>
      <c r="AC91" s="150">
        <f t="shared" si="61"/>
        <v>0</v>
      </c>
      <c r="AD91" s="150">
        <f t="shared" si="62"/>
        <v>0</v>
      </c>
      <c r="AE91" s="154">
        <f t="shared" si="63"/>
        <v>0</v>
      </c>
      <c r="AF91" s="70">
        <f t="shared" si="64"/>
        <v>0</v>
      </c>
      <c r="AG91" s="155">
        <f t="shared" si="65"/>
        <v>0</v>
      </c>
    </row>
    <row r="92" spans="2:33" ht="14.25" customHeight="1" x14ac:dyDescent="0.25">
      <c r="B92" s="143"/>
      <c r="C92" s="141"/>
      <c r="D92" s="103"/>
      <c r="E92" s="104"/>
      <c r="F92" s="92">
        <v>0</v>
      </c>
      <c r="G92" s="150">
        <f>IF(F92&gt;0,F92,
IF(B92&lt;&gt;"",
IF(C92="CLT",VLOOKUP(B92,'Lista Profissionais'!$C$11:$H$348,3,0),
VLOOKUP(B92,'Lista Profissionais'!$C$11:$H$348,4,0)), 0))</f>
        <v>0</v>
      </c>
      <c r="H92" s="66">
        <f t="shared" si="66"/>
        <v>0</v>
      </c>
      <c r="I92" s="66">
        <f t="shared" si="44"/>
        <v>0</v>
      </c>
      <c r="J92" s="66">
        <f t="shared" si="45"/>
        <v>0</v>
      </c>
      <c r="K92" s="93">
        <f t="shared" si="46"/>
        <v>0</v>
      </c>
      <c r="L92" s="151"/>
      <c r="M92" s="152">
        <v>0</v>
      </c>
      <c r="N92" s="69">
        <f t="shared" si="47"/>
        <v>0</v>
      </c>
      <c r="O92" s="69">
        <f t="shared" si="48"/>
        <v>0</v>
      </c>
      <c r="P92" s="70">
        <f t="shared" si="49"/>
        <v>0</v>
      </c>
      <c r="Q92" s="153">
        <f t="shared" si="50"/>
        <v>0</v>
      </c>
      <c r="R92" s="70">
        <v>0</v>
      </c>
      <c r="S92" s="165">
        <f t="shared" si="51"/>
        <v>0</v>
      </c>
      <c r="T92" s="163">
        <f t="shared" si="52"/>
        <v>0</v>
      </c>
      <c r="U92" s="164">
        <f t="shared" si="53"/>
        <v>0</v>
      </c>
      <c r="V92" s="164">
        <f t="shared" si="54"/>
        <v>0</v>
      </c>
      <c r="W92" s="144">
        <f t="shared" si="55"/>
        <v>0</v>
      </c>
      <c r="X92" s="150">
        <f t="shared" si="56"/>
        <v>0</v>
      </c>
      <c r="Y92" s="150">
        <f t="shared" si="57"/>
        <v>0</v>
      </c>
      <c r="Z92" s="150">
        <f t="shared" si="58"/>
        <v>0</v>
      </c>
      <c r="AA92" s="150">
        <f t="shared" si="59"/>
        <v>0</v>
      </c>
      <c r="AB92" s="150">
        <f t="shared" si="60"/>
        <v>0</v>
      </c>
      <c r="AC92" s="150">
        <f t="shared" si="61"/>
        <v>0</v>
      </c>
      <c r="AD92" s="150">
        <f t="shared" si="62"/>
        <v>0</v>
      </c>
      <c r="AE92" s="154">
        <f t="shared" si="63"/>
        <v>0</v>
      </c>
      <c r="AF92" s="70">
        <f t="shared" si="64"/>
        <v>0</v>
      </c>
      <c r="AG92" s="155">
        <f t="shared" si="65"/>
        <v>0</v>
      </c>
    </row>
    <row r="93" spans="2:33" ht="14.25" customHeight="1" x14ac:dyDescent="0.25">
      <c r="B93" s="143"/>
      <c r="C93" s="141"/>
      <c r="D93" s="103"/>
      <c r="E93" s="104"/>
      <c r="F93" s="92">
        <v>0</v>
      </c>
      <c r="G93" s="150">
        <f>IF(F93&gt;0,F93,
IF(B93&lt;&gt;"",
IF(C93="CLT",VLOOKUP(B93,'Lista Profissionais'!$C$11:$H$348,3,0),
VLOOKUP(B93,'Lista Profissionais'!$C$11:$H$348,4,0)), 0))</f>
        <v>0</v>
      </c>
      <c r="H93" s="66">
        <f t="shared" si="66"/>
        <v>0</v>
      </c>
      <c r="I93" s="66">
        <f t="shared" si="44"/>
        <v>0</v>
      </c>
      <c r="J93" s="66">
        <f t="shared" si="45"/>
        <v>0</v>
      </c>
      <c r="K93" s="93">
        <f t="shared" si="46"/>
        <v>0</v>
      </c>
      <c r="L93" s="151"/>
      <c r="M93" s="152">
        <v>0</v>
      </c>
      <c r="N93" s="69">
        <f t="shared" si="47"/>
        <v>0</v>
      </c>
      <c r="O93" s="69">
        <f t="shared" si="48"/>
        <v>0</v>
      </c>
      <c r="P93" s="70">
        <f t="shared" si="49"/>
        <v>0</v>
      </c>
      <c r="Q93" s="153">
        <f t="shared" si="50"/>
        <v>0</v>
      </c>
      <c r="R93" s="70">
        <v>0</v>
      </c>
      <c r="S93" s="165">
        <f t="shared" si="51"/>
        <v>0</v>
      </c>
      <c r="T93" s="163">
        <f t="shared" si="52"/>
        <v>0</v>
      </c>
      <c r="U93" s="164">
        <f t="shared" si="53"/>
        <v>0</v>
      </c>
      <c r="V93" s="164">
        <f t="shared" si="54"/>
        <v>0</v>
      </c>
      <c r="W93" s="144">
        <f t="shared" si="55"/>
        <v>0</v>
      </c>
      <c r="X93" s="150">
        <f t="shared" si="56"/>
        <v>0</v>
      </c>
      <c r="Y93" s="150">
        <f t="shared" si="57"/>
        <v>0</v>
      </c>
      <c r="Z93" s="150">
        <f t="shared" si="58"/>
        <v>0</v>
      </c>
      <c r="AA93" s="150">
        <f t="shared" si="59"/>
        <v>0</v>
      </c>
      <c r="AB93" s="150">
        <f t="shared" si="60"/>
        <v>0</v>
      </c>
      <c r="AC93" s="150">
        <f t="shared" si="61"/>
        <v>0</v>
      </c>
      <c r="AD93" s="150">
        <f t="shared" si="62"/>
        <v>0</v>
      </c>
      <c r="AE93" s="154">
        <f t="shared" si="63"/>
        <v>0</v>
      </c>
      <c r="AF93" s="70">
        <f t="shared" si="64"/>
        <v>0</v>
      </c>
      <c r="AG93" s="155">
        <f t="shared" si="65"/>
        <v>0</v>
      </c>
    </row>
    <row r="94" spans="2:33" ht="14.25" customHeight="1" x14ac:dyDescent="0.25">
      <c r="B94" s="143"/>
      <c r="C94" s="141"/>
      <c r="D94" s="103"/>
      <c r="E94" s="104"/>
      <c r="F94" s="92">
        <v>0</v>
      </c>
      <c r="G94" s="150">
        <f>IF(F94&gt;0,F94,
IF(B94&lt;&gt;"",
IF(C94="CLT",VLOOKUP(B94,'Lista Profissionais'!$C$11:$H$348,3,0),
VLOOKUP(B94,'Lista Profissionais'!$C$11:$H$348,4,0)), 0))</f>
        <v>0</v>
      </c>
      <c r="H94" s="66">
        <f t="shared" si="66"/>
        <v>0</v>
      </c>
      <c r="I94" s="66">
        <f t="shared" si="44"/>
        <v>0</v>
      </c>
      <c r="J94" s="66">
        <f t="shared" si="45"/>
        <v>0</v>
      </c>
      <c r="K94" s="93">
        <f t="shared" si="46"/>
        <v>0</v>
      </c>
      <c r="L94" s="151"/>
      <c r="M94" s="152">
        <v>0</v>
      </c>
      <c r="N94" s="69">
        <f t="shared" si="47"/>
        <v>0</v>
      </c>
      <c r="O94" s="69">
        <f t="shared" si="48"/>
        <v>0</v>
      </c>
      <c r="P94" s="70">
        <f t="shared" si="49"/>
        <v>0</v>
      </c>
      <c r="Q94" s="153">
        <f t="shared" si="50"/>
        <v>0</v>
      </c>
      <c r="R94" s="70">
        <v>0</v>
      </c>
      <c r="S94" s="165">
        <f t="shared" si="51"/>
        <v>0</v>
      </c>
      <c r="T94" s="163">
        <f t="shared" si="52"/>
        <v>0</v>
      </c>
      <c r="U94" s="164">
        <f t="shared" si="53"/>
        <v>0</v>
      </c>
      <c r="V94" s="164">
        <f t="shared" si="54"/>
        <v>0</v>
      </c>
      <c r="W94" s="144">
        <f t="shared" si="55"/>
        <v>0</v>
      </c>
      <c r="X94" s="150">
        <f t="shared" si="56"/>
        <v>0</v>
      </c>
      <c r="Y94" s="150">
        <f t="shared" si="57"/>
        <v>0</v>
      </c>
      <c r="Z94" s="150">
        <f t="shared" si="58"/>
        <v>0</v>
      </c>
      <c r="AA94" s="150">
        <f t="shared" si="59"/>
        <v>0</v>
      </c>
      <c r="AB94" s="150">
        <f t="shared" si="60"/>
        <v>0</v>
      </c>
      <c r="AC94" s="150">
        <f t="shared" si="61"/>
        <v>0</v>
      </c>
      <c r="AD94" s="150">
        <f t="shared" si="62"/>
        <v>0</v>
      </c>
      <c r="AE94" s="154">
        <f t="shared" si="63"/>
        <v>0</v>
      </c>
      <c r="AF94" s="70">
        <f t="shared" si="64"/>
        <v>0</v>
      </c>
      <c r="AG94" s="155">
        <f t="shared" si="65"/>
        <v>0</v>
      </c>
    </row>
    <row r="95" spans="2:33" ht="14.25" customHeight="1" x14ac:dyDescent="0.25">
      <c r="B95" s="143"/>
      <c r="C95" s="141"/>
      <c r="D95" s="103"/>
      <c r="E95" s="104"/>
      <c r="F95" s="92">
        <v>0</v>
      </c>
      <c r="G95" s="150">
        <f>IF(F95&gt;0,F95,
IF(B95&lt;&gt;"",
IF(C95="CLT",VLOOKUP(B95,'Lista Profissionais'!$C$11:$H$348,3,0),
VLOOKUP(B95,'Lista Profissionais'!$C$11:$H$348,4,0)), 0))</f>
        <v>0</v>
      </c>
      <c r="H95" s="66">
        <f t="shared" si="66"/>
        <v>0</v>
      </c>
      <c r="I95" s="66">
        <f t="shared" si="44"/>
        <v>0</v>
      </c>
      <c r="J95" s="66">
        <f t="shared" si="45"/>
        <v>0</v>
      </c>
      <c r="K95" s="93">
        <f t="shared" si="46"/>
        <v>0</v>
      </c>
      <c r="L95" s="151"/>
      <c r="M95" s="152">
        <v>0</v>
      </c>
      <c r="N95" s="69">
        <f t="shared" si="47"/>
        <v>0</v>
      </c>
      <c r="O95" s="69">
        <f t="shared" si="48"/>
        <v>0</v>
      </c>
      <c r="P95" s="70">
        <f t="shared" si="49"/>
        <v>0</v>
      </c>
      <c r="Q95" s="153">
        <f t="shared" si="50"/>
        <v>0</v>
      </c>
      <c r="R95" s="70">
        <v>0</v>
      </c>
      <c r="S95" s="165">
        <f t="shared" si="51"/>
        <v>0</v>
      </c>
      <c r="T95" s="163">
        <f t="shared" si="52"/>
        <v>0</v>
      </c>
      <c r="U95" s="164">
        <f t="shared" si="53"/>
        <v>0</v>
      </c>
      <c r="V95" s="164">
        <f t="shared" si="54"/>
        <v>0</v>
      </c>
      <c r="W95" s="144">
        <f t="shared" si="55"/>
        <v>0</v>
      </c>
      <c r="X95" s="150">
        <f t="shared" si="56"/>
        <v>0</v>
      </c>
      <c r="Y95" s="150">
        <f t="shared" si="57"/>
        <v>0</v>
      </c>
      <c r="Z95" s="150">
        <f t="shared" si="58"/>
        <v>0</v>
      </c>
      <c r="AA95" s="150">
        <f t="shared" si="59"/>
        <v>0</v>
      </c>
      <c r="AB95" s="150">
        <f t="shared" si="60"/>
        <v>0</v>
      </c>
      <c r="AC95" s="150">
        <f t="shared" si="61"/>
        <v>0</v>
      </c>
      <c r="AD95" s="150">
        <f t="shared" si="62"/>
        <v>0</v>
      </c>
      <c r="AE95" s="154">
        <f t="shared" si="63"/>
        <v>0</v>
      </c>
      <c r="AF95" s="70">
        <f t="shared" si="64"/>
        <v>0</v>
      </c>
      <c r="AG95" s="155">
        <f t="shared" si="65"/>
        <v>0</v>
      </c>
    </row>
    <row r="96" spans="2:33" ht="14.25" customHeight="1" x14ac:dyDescent="0.25">
      <c r="B96" s="143"/>
      <c r="C96" s="141"/>
      <c r="D96" s="103"/>
      <c r="E96" s="104"/>
      <c r="F96" s="92">
        <v>0</v>
      </c>
      <c r="G96" s="150">
        <f>IF(F96&gt;0,F96,
IF(B96&lt;&gt;"",
IF(C96="CLT",VLOOKUP(B96,'Lista Profissionais'!$C$11:$H$348,3,0),
VLOOKUP(B96,'Lista Profissionais'!$C$11:$H$348,4,0)), 0))</f>
        <v>0</v>
      </c>
      <c r="H96" s="66">
        <f t="shared" si="66"/>
        <v>0</v>
      </c>
      <c r="I96" s="66">
        <f t="shared" si="44"/>
        <v>0</v>
      </c>
      <c r="J96" s="66">
        <f t="shared" si="45"/>
        <v>0</v>
      </c>
      <c r="K96" s="93">
        <f t="shared" si="46"/>
        <v>0</v>
      </c>
      <c r="L96" s="151"/>
      <c r="M96" s="152">
        <v>0</v>
      </c>
      <c r="N96" s="69">
        <f t="shared" si="47"/>
        <v>0</v>
      </c>
      <c r="O96" s="69">
        <f t="shared" si="48"/>
        <v>0</v>
      </c>
      <c r="P96" s="70">
        <f t="shared" si="49"/>
        <v>0</v>
      </c>
      <c r="Q96" s="153">
        <f t="shared" si="50"/>
        <v>0</v>
      </c>
      <c r="R96" s="70">
        <v>0</v>
      </c>
      <c r="S96" s="165">
        <f t="shared" si="51"/>
        <v>0</v>
      </c>
      <c r="T96" s="163">
        <f t="shared" si="52"/>
        <v>0</v>
      </c>
      <c r="U96" s="164">
        <f t="shared" si="53"/>
        <v>0</v>
      </c>
      <c r="V96" s="164">
        <f t="shared" si="54"/>
        <v>0</v>
      </c>
      <c r="W96" s="144">
        <f t="shared" si="55"/>
        <v>0</v>
      </c>
      <c r="X96" s="150">
        <f t="shared" si="56"/>
        <v>0</v>
      </c>
      <c r="Y96" s="150">
        <f t="shared" si="57"/>
        <v>0</v>
      </c>
      <c r="Z96" s="150">
        <f t="shared" si="58"/>
        <v>0</v>
      </c>
      <c r="AA96" s="150">
        <f t="shared" si="59"/>
        <v>0</v>
      </c>
      <c r="AB96" s="150">
        <f t="shared" si="60"/>
        <v>0</v>
      </c>
      <c r="AC96" s="150">
        <f t="shared" si="61"/>
        <v>0</v>
      </c>
      <c r="AD96" s="150">
        <f t="shared" si="62"/>
        <v>0</v>
      </c>
      <c r="AE96" s="154">
        <f t="shared" si="63"/>
        <v>0</v>
      </c>
      <c r="AF96" s="70">
        <f t="shared" si="64"/>
        <v>0</v>
      </c>
      <c r="AG96" s="155">
        <f t="shared" si="65"/>
        <v>0</v>
      </c>
    </row>
    <row r="97" spans="2:33" ht="14.25" customHeight="1" x14ac:dyDescent="0.25">
      <c r="B97" s="143"/>
      <c r="C97" s="141"/>
      <c r="D97" s="103"/>
      <c r="E97" s="104"/>
      <c r="F97" s="92">
        <v>0</v>
      </c>
      <c r="G97" s="150">
        <f>IF(F97&gt;0,F97,
IF(B97&lt;&gt;"",
IF(C97="CLT",VLOOKUP(B97,'Lista Profissionais'!$C$11:$H$348,3,0),
VLOOKUP(B97,'Lista Profissionais'!$C$11:$H$348,4,0)), 0))</f>
        <v>0</v>
      </c>
      <c r="H97" s="66">
        <f t="shared" si="66"/>
        <v>0</v>
      </c>
      <c r="I97" s="66">
        <f t="shared" si="44"/>
        <v>0</v>
      </c>
      <c r="J97" s="66">
        <f t="shared" si="45"/>
        <v>0</v>
      </c>
      <c r="K97" s="93">
        <f t="shared" si="46"/>
        <v>0</v>
      </c>
      <c r="L97" s="151"/>
      <c r="M97" s="152">
        <v>0</v>
      </c>
      <c r="N97" s="69">
        <f t="shared" si="47"/>
        <v>0</v>
      </c>
      <c r="O97" s="69">
        <f t="shared" si="48"/>
        <v>0</v>
      </c>
      <c r="P97" s="70">
        <f t="shared" si="49"/>
        <v>0</v>
      </c>
      <c r="Q97" s="153">
        <f t="shared" si="50"/>
        <v>0</v>
      </c>
      <c r="R97" s="70">
        <v>0</v>
      </c>
      <c r="S97" s="165">
        <f t="shared" si="51"/>
        <v>0</v>
      </c>
      <c r="T97" s="163">
        <f t="shared" si="52"/>
        <v>0</v>
      </c>
      <c r="U97" s="164">
        <f t="shared" si="53"/>
        <v>0</v>
      </c>
      <c r="V97" s="164">
        <f t="shared" si="54"/>
        <v>0</v>
      </c>
      <c r="W97" s="144">
        <f t="shared" si="55"/>
        <v>0</v>
      </c>
      <c r="X97" s="150">
        <f t="shared" si="56"/>
        <v>0</v>
      </c>
      <c r="Y97" s="150">
        <f t="shared" si="57"/>
        <v>0</v>
      </c>
      <c r="Z97" s="150">
        <f t="shared" si="58"/>
        <v>0</v>
      </c>
      <c r="AA97" s="150">
        <f t="shared" si="59"/>
        <v>0</v>
      </c>
      <c r="AB97" s="150">
        <f t="shared" si="60"/>
        <v>0</v>
      </c>
      <c r="AC97" s="150">
        <f t="shared" si="61"/>
        <v>0</v>
      </c>
      <c r="AD97" s="150">
        <f t="shared" si="62"/>
        <v>0</v>
      </c>
      <c r="AE97" s="154">
        <f t="shared" si="63"/>
        <v>0</v>
      </c>
      <c r="AF97" s="70">
        <f t="shared" si="64"/>
        <v>0</v>
      </c>
      <c r="AG97" s="155">
        <f t="shared" si="65"/>
        <v>0</v>
      </c>
    </row>
    <row r="98" spans="2:33" ht="14.25" customHeight="1" x14ac:dyDescent="0.25">
      <c r="B98" s="143"/>
      <c r="C98" s="141"/>
      <c r="D98" s="103"/>
      <c r="E98" s="104"/>
      <c r="F98" s="92">
        <v>0</v>
      </c>
      <c r="G98" s="150">
        <f>IF(F98&gt;0,F98,
IF(B98&lt;&gt;"",
IF(C98="CLT",VLOOKUP(B98,'Lista Profissionais'!$C$11:$H$348,3,0),
VLOOKUP(B98,'Lista Profissionais'!$C$11:$H$348,4,0)), 0))</f>
        <v>0</v>
      </c>
      <c r="H98" s="66">
        <f t="shared" si="66"/>
        <v>0</v>
      </c>
      <c r="I98" s="66">
        <f t="shared" si="44"/>
        <v>0</v>
      </c>
      <c r="J98" s="66">
        <f t="shared" si="45"/>
        <v>0</v>
      </c>
      <c r="K98" s="93">
        <f t="shared" si="46"/>
        <v>0</v>
      </c>
      <c r="L98" s="151"/>
      <c r="M98" s="152">
        <v>0</v>
      </c>
      <c r="N98" s="69">
        <f t="shared" si="47"/>
        <v>0</v>
      </c>
      <c r="O98" s="69">
        <f t="shared" si="48"/>
        <v>0</v>
      </c>
      <c r="P98" s="70">
        <f t="shared" si="49"/>
        <v>0</v>
      </c>
      <c r="Q98" s="153">
        <f t="shared" si="50"/>
        <v>0</v>
      </c>
      <c r="R98" s="70">
        <v>0</v>
      </c>
      <c r="S98" s="165">
        <f t="shared" si="51"/>
        <v>0</v>
      </c>
      <c r="T98" s="163">
        <f t="shared" si="52"/>
        <v>0</v>
      </c>
      <c r="U98" s="164">
        <f t="shared" si="53"/>
        <v>0</v>
      </c>
      <c r="V98" s="164">
        <f t="shared" si="54"/>
        <v>0</v>
      </c>
      <c r="W98" s="144">
        <f t="shared" si="55"/>
        <v>0</v>
      </c>
      <c r="X98" s="150">
        <f t="shared" si="56"/>
        <v>0</v>
      </c>
      <c r="Y98" s="150">
        <f t="shared" si="57"/>
        <v>0</v>
      </c>
      <c r="Z98" s="150">
        <f t="shared" si="58"/>
        <v>0</v>
      </c>
      <c r="AA98" s="150">
        <f t="shared" si="59"/>
        <v>0</v>
      </c>
      <c r="AB98" s="150">
        <f t="shared" si="60"/>
        <v>0</v>
      </c>
      <c r="AC98" s="150">
        <f t="shared" si="61"/>
        <v>0</v>
      </c>
      <c r="AD98" s="150">
        <f t="shared" si="62"/>
        <v>0</v>
      </c>
      <c r="AE98" s="154">
        <f t="shared" si="63"/>
        <v>0</v>
      </c>
      <c r="AF98" s="70">
        <f t="shared" si="64"/>
        <v>0</v>
      </c>
      <c r="AG98" s="155">
        <f t="shared" si="65"/>
        <v>0</v>
      </c>
    </row>
    <row r="99" spans="2:33" ht="14.25" customHeight="1" x14ac:dyDescent="0.25">
      <c r="B99" s="143"/>
      <c r="C99" s="141"/>
      <c r="D99" s="103"/>
      <c r="E99" s="104"/>
      <c r="F99" s="92">
        <v>0</v>
      </c>
      <c r="G99" s="150">
        <f>IF(F99&gt;0,F99,
IF(B99&lt;&gt;"",
IF(C99="CLT",VLOOKUP(B99,'Lista Profissionais'!$C$11:$H$348,3,0),
VLOOKUP(B99,'Lista Profissionais'!$C$11:$H$348,4,0)), 0))</f>
        <v>0</v>
      </c>
      <c r="H99" s="66">
        <f t="shared" si="66"/>
        <v>0</v>
      </c>
      <c r="I99" s="66">
        <f t="shared" si="44"/>
        <v>0</v>
      </c>
      <c r="J99" s="66">
        <f t="shared" si="45"/>
        <v>0</v>
      </c>
      <c r="K99" s="93">
        <f t="shared" si="46"/>
        <v>0</v>
      </c>
      <c r="L99" s="151"/>
      <c r="M99" s="152">
        <v>0</v>
      </c>
      <c r="N99" s="69">
        <f t="shared" si="47"/>
        <v>0</v>
      </c>
      <c r="O99" s="69">
        <f t="shared" si="48"/>
        <v>0</v>
      </c>
      <c r="P99" s="70">
        <f t="shared" si="49"/>
        <v>0</v>
      </c>
      <c r="Q99" s="153">
        <f t="shared" si="50"/>
        <v>0</v>
      </c>
      <c r="R99" s="70">
        <v>0</v>
      </c>
      <c r="S99" s="165">
        <f t="shared" si="51"/>
        <v>0</v>
      </c>
      <c r="T99" s="163">
        <f t="shared" si="52"/>
        <v>0</v>
      </c>
      <c r="U99" s="164">
        <f t="shared" si="53"/>
        <v>0</v>
      </c>
      <c r="V99" s="164">
        <f t="shared" si="54"/>
        <v>0</v>
      </c>
      <c r="W99" s="144">
        <f t="shared" si="55"/>
        <v>0</v>
      </c>
      <c r="X99" s="150">
        <f t="shared" si="56"/>
        <v>0</v>
      </c>
      <c r="Y99" s="150">
        <f t="shared" si="57"/>
        <v>0</v>
      </c>
      <c r="Z99" s="150">
        <f t="shared" si="58"/>
        <v>0</v>
      </c>
      <c r="AA99" s="150">
        <f t="shared" si="59"/>
        <v>0</v>
      </c>
      <c r="AB99" s="150">
        <f t="shared" si="60"/>
        <v>0</v>
      </c>
      <c r="AC99" s="150">
        <f t="shared" si="61"/>
        <v>0</v>
      </c>
      <c r="AD99" s="150">
        <f t="shared" si="62"/>
        <v>0</v>
      </c>
      <c r="AE99" s="154">
        <f t="shared" si="63"/>
        <v>0</v>
      </c>
      <c r="AF99" s="70">
        <f t="shared" si="64"/>
        <v>0</v>
      </c>
      <c r="AG99" s="155">
        <f t="shared" si="65"/>
        <v>0</v>
      </c>
    </row>
    <row r="100" spans="2:33" ht="14.25" customHeight="1" x14ac:dyDescent="0.25">
      <c r="B100" s="143"/>
      <c r="C100" s="141"/>
      <c r="D100" s="103"/>
      <c r="E100" s="104"/>
      <c r="F100" s="92">
        <v>0</v>
      </c>
      <c r="G100" s="150">
        <f>IF(F100&gt;0,F100,
IF(B100&lt;&gt;"",
IF(C100="CLT",VLOOKUP(B100,'Lista Profissionais'!$C$11:$H$348,3,0),
VLOOKUP(B100,'Lista Profissionais'!$C$11:$H$348,4,0)), 0))</f>
        <v>0</v>
      </c>
      <c r="H100" s="66">
        <f t="shared" si="66"/>
        <v>0</v>
      </c>
      <c r="I100" s="66">
        <f t="shared" si="44"/>
        <v>0</v>
      </c>
      <c r="J100" s="66">
        <f t="shared" si="45"/>
        <v>0</v>
      </c>
      <c r="K100" s="93">
        <f t="shared" si="46"/>
        <v>0</v>
      </c>
      <c r="L100" s="151"/>
      <c r="M100" s="152">
        <v>0</v>
      </c>
      <c r="N100" s="69">
        <f t="shared" si="47"/>
        <v>0</v>
      </c>
      <c r="O100" s="69">
        <f t="shared" si="48"/>
        <v>0</v>
      </c>
      <c r="P100" s="70">
        <f t="shared" si="49"/>
        <v>0</v>
      </c>
      <c r="Q100" s="153">
        <f t="shared" si="50"/>
        <v>0</v>
      </c>
      <c r="R100" s="70">
        <v>0</v>
      </c>
      <c r="S100" s="165">
        <f t="shared" si="51"/>
        <v>0</v>
      </c>
      <c r="T100" s="163">
        <f t="shared" si="52"/>
        <v>0</v>
      </c>
      <c r="U100" s="164">
        <f t="shared" si="53"/>
        <v>0</v>
      </c>
      <c r="V100" s="164">
        <f t="shared" si="54"/>
        <v>0</v>
      </c>
      <c r="W100" s="144">
        <f t="shared" si="55"/>
        <v>0</v>
      </c>
      <c r="X100" s="150">
        <f t="shared" si="56"/>
        <v>0</v>
      </c>
      <c r="Y100" s="150">
        <f t="shared" si="57"/>
        <v>0</v>
      </c>
      <c r="Z100" s="150">
        <f t="shared" si="58"/>
        <v>0</v>
      </c>
      <c r="AA100" s="150">
        <f t="shared" si="59"/>
        <v>0</v>
      </c>
      <c r="AB100" s="150">
        <f t="shared" si="60"/>
        <v>0</v>
      </c>
      <c r="AC100" s="150">
        <f t="shared" si="61"/>
        <v>0</v>
      </c>
      <c r="AD100" s="150">
        <f t="shared" si="62"/>
        <v>0</v>
      </c>
      <c r="AE100" s="154">
        <f t="shared" si="63"/>
        <v>0</v>
      </c>
      <c r="AF100" s="70">
        <f t="shared" si="64"/>
        <v>0</v>
      </c>
      <c r="AG100" s="155">
        <f t="shared" si="65"/>
        <v>0</v>
      </c>
    </row>
    <row r="101" spans="2:33" ht="14.25" customHeight="1" x14ac:dyDescent="0.25">
      <c r="B101" s="143"/>
      <c r="C101" s="141"/>
      <c r="D101" s="103"/>
      <c r="E101" s="104"/>
      <c r="F101" s="92">
        <v>0</v>
      </c>
      <c r="G101" s="150">
        <f>IF(F101&gt;0,F101,
IF(B101&lt;&gt;"",
IF(C101="CLT",VLOOKUP(B101,'Lista Profissionais'!$C$11:$H$348,3,0),
VLOOKUP(B101,'Lista Profissionais'!$C$11:$H$348,4,0)), 0))</f>
        <v>0</v>
      </c>
      <c r="H101" s="66">
        <f t="shared" si="66"/>
        <v>0</v>
      </c>
      <c r="I101" s="66">
        <f t="shared" si="44"/>
        <v>0</v>
      </c>
      <c r="J101" s="66">
        <f t="shared" si="45"/>
        <v>0</v>
      </c>
      <c r="K101" s="93">
        <f t="shared" si="46"/>
        <v>0</v>
      </c>
      <c r="L101" s="151"/>
      <c r="M101" s="152">
        <v>0</v>
      </c>
      <c r="N101" s="69">
        <f t="shared" si="47"/>
        <v>0</v>
      </c>
      <c r="O101" s="69">
        <f t="shared" si="48"/>
        <v>0</v>
      </c>
      <c r="P101" s="70">
        <f t="shared" si="49"/>
        <v>0</v>
      </c>
      <c r="Q101" s="153">
        <f t="shared" si="50"/>
        <v>0</v>
      </c>
      <c r="R101" s="70">
        <v>0</v>
      </c>
      <c r="S101" s="165">
        <f t="shared" si="51"/>
        <v>0</v>
      </c>
      <c r="T101" s="163">
        <f t="shared" si="52"/>
        <v>0</v>
      </c>
      <c r="U101" s="164">
        <f t="shared" si="53"/>
        <v>0</v>
      </c>
      <c r="V101" s="164">
        <f t="shared" si="54"/>
        <v>0</v>
      </c>
      <c r="W101" s="144">
        <f t="shared" si="55"/>
        <v>0</v>
      </c>
      <c r="X101" s="150">
        <f t="shared" si="56"/>
        <v>0</v>
      </c>
      <c r="Y101" s="150">
        <f t="shared" si="57"/>
        <v>0</v>
      </c>
      <c r="Z101" s="150">
        <f t="shared" si="58"/>
        <v>0</v>
      </c>
      <c r="AA101" s="150">
        <f t="shared" si="59"/>
        <v>0</v>
      </c>
      <c r="AB101" s="150">
        <f t="shared" si="60"/>
        <v>0</v>
      </c>
      <c r="AC101" s="150">
        <f t="shared" si="61"/>
        <v>0</v>
      </c>
      <c r="AD101" s="150">
        <f t="shared" si="62"/>
        <v>0</v>
      </c>
      <c r="AE101" s="154">
        <f t="shared" si="63"/>
        <v>0</v>
      </c>
      <c r="AF101" s="70">
        <f t="shared" si="64"/>
        <v>0</v>
      </c>
      <c r="AG101" s="155">
        <f t="shared" si="65"/>
        <v>0</v>
      </c>
    </row>
    <row r="102" spans="2:33" ht="14.25" customHeight="1" x14ac:dyDescent="0.25">
      <c r="B102" s="143"/>
      <c r="C102" s="141"/>
      <c r="D102" s="103"/>
      <c r="E102" s="104"/>
      <c r="F102" s="92">
        <v>0</v>
      </c>
      <c r="G102" s="150">
        <f>IF(F102&gt;0,F102,
IF(B102&lt;&gt;"",
IF(C102="CLT",VLOOKUP(B102,'Lista Profissionais'!$C$11:$H$348,3,0),
VLOOKUP(B102,'Lista Profissionais'!$C$11:$H$348,4,0)), 0))</f>
        <v>0</v>
      </c>
      <c r="H102" s="66">
        <f t="shared" si="66"/>
        <v>0</v>
      </c>
      <c r="I102" s="66">
        <f t="shared" si="44"/>
        <v>0</v>
      </c>
      <c r="J102" s="66">
        <f t="shared" si="45"/>
        <v>0</v>
      </c>
      <c r="K102" s="93">
        <f t="shared" si="46"/>
        <v>0</v>
      </c>
      <c r="L102" s="151"/>
      <c r="M102" s="152">
        <v>0</v>
      </c>
      <c r="N102" s="69">
        <f t="shared" si="47"/>
        <v>0</v>
      </c>
      <c r="O102" s="69">
        <f t="shared" si="48"/>
        <v>0</v>
      </c>
      <c r="P102" s="70">
        <f t="shared" si="49"/>
        <v>0</v>
      </c>
      <c r="Q102" s="153">
        <f t="shared" si="50"/>
        <v>0</v>
      </c>
      <c r="R102" s="70">
        <v>0</v>
      </c>
      <c r="S102" s="165">
        <f t="shared" si="51"/>
        <v>0</v>
      </c>
      <c r="T102" s="163">
        <f t="shared" si="52"/>
        <v>0</v>
      </c>
      <c r="U102" s="164">
        <f t="shared" si="53"/>
        <v>0</v>
      </c>
      <c r="V102" s="164">
        <f t="shared" si="54"/>
        <v>0</v>
      </c>
      <c r="W102" s="144">
        <f t="shared" si="55"/>
        <v>0</v>
      </c>
      <c r="X102" s="150">
        <f t="shared" si="56"/>
        <v>0</v>
      </c>
      <c r="Y102" s="150">
        <f t="shared" si="57"/>
        <v>0</v>
      </c>
      <c r="Z102" s="150">
        <f t="shared" si="58"/>
        <v>0</v>
      </c>
      <c r="AA102" s="150">
        <f t="shared" si="59"/>
        <v>0</v>
      </c>
      <c r="AB102" s="150">
        <f t="shared" si="60"/>
        <v>0</v>
      </c>
      <c r="AC102" s="150">
        <f t="shared" si="61"/>
        <v>0</v>
      </c>
      <c r="AD102" s="150">
        <f t="shared" si="62"/>
        <v>0</v>
      </c>
      <c r="AE102" s="154">
        <f t="shared" si="63"/>
        <v>0</v>
      </c>
      <c r="AF102" s="70">
        <f t="shared" si="64"/>
        <v>0</v>
      </c>
      <c r="AG102" s="155">
        <f t="shared" si="65"/>
        <v>0</v>
      </c>
    </row>
    <row r="103" spans="2:33" ht="14.25" customHeight="1" x14ac:dyDescent="0.25">
      <c r="B103" s="143"/>
      <c r="C103" s="141"/>
      <c r="D103" s="103"/>
      <c r="E103" s="104"/>
      <c r="F103" s="92">
        <v>0</v>
      </c>
      <c r="G103" s="150">
        <f>IF(F103&gt;0,F103,
IF(B103&lt;&gt;"",
IF(C103="CLT",VLOOKUP(B103,'Lista Profissionais'!$C$11:$H$348,3,0),
VLOOKUP(B103,'Lista Profissionais'!$C$11:$H$348,4,0)), 0))</f>
        <v>0</v>
      </c>
      <c r="H103" s="66">
        <f t="shared" si="66"/>
        <v>0</v>
      </c>
      <c r="I103" s="66">
        <f t="shared" si="44"/>
        <v>0</v>
      </c>
      <c r="J103" s="66">
        <f t="shared" si="45"/>
        <v>0</v>
      </c>
      <c r="K103" s="93">
        <f t="shared" si="46"/>
        <v>0</v>
      </c>
      <c r="L103" s="151"/>
      <c r="M103" s="152">
        <v>0</v>
      </c>
      <c r="N103" s="69">
        <f t="shared" si="47"/>
        <v>0</v>
      </c>
      <c r="O103" s="69">
        <f t="shared" si="48"/>
        <v>0</v>
      </c>
      <c r="P103" s="70">
        <f t="shared" si="49"/>
        <v>0</v>
      </c>
      <c r="Q103" s="153">
        <f t="shared" si="50"/>
        <v>0</v>
      </c>
      <c r="R103" s="70">
        <v>0</v>
      </c>
      <c r="S103" s="165">
        <f t="shared" si="51"/>
        <v>0</v>
      </c>
      <c r="T103" s="163">
        <f t="shared" si="52"/>
        <v>0</v>
      </c>
      <c r="U103" s="164">
        <f t="shared" si="53"/>
        <v>0</v>
      </c>
      <c r="V103" s="164">
        <f t="shared" si="54"/>
        <v>0</v>
      </c>
      <c r="W103" s="144">
        <f t="shared" si="55"/>
        <v>0</v>
      </c>
      <c r="X103" s="150">
        <f t="shared" si="56"/>
        <v>0</v>
      </c>
      <c r="Y103" s="150">
        <f t="shared" si="57"/>
        <v>0</v>
      </c>
      <c r="Z103" s="150">
        <f t="shared" si="58"/>
        <v>0</v>
      </c>
      <c r="AA103" s="150">
        <f t="shared" si="59"/>
        <v>0</v>
      </c>
      <c r="AB103" s="150">
        <f t="shared" si="60"/>
        <v>0</v>
      </c>
      <c r="AC103" s="150">
        <f t="shared" si="61"/>
        <v>0</v>
      </c>
      <c r="AD103" s="150">
        <f t="shared" si="62"/>
        <v>0</v>
      </c>
      <c r="AE103" s="154">
        <f t="shared" si="63"/>
        <v>0</v>
      </c>
      <c r="AF103" s="70">
        <f t="shared" si="64"/>
        <v>0</v>
      </c>
      <c r="AG103" s="155">
        <f t="shared" si="65"/>
        <v>0</v>
      </c>
    </row>
    <row r="104" spans="2:33" ht="14.25" customHeight="1" x14ac:dyDescent="0.25">
      <c r="B104" s="143"/>
      <c r="C104" s="141"/>
      <c r="D104" s="103"/>
      <c r="E104" s="104"/>
      <c r="F104" s="92">
        <v>0</v>
      </c>
      <c r="G104" s="150">
        <f>IF(F104&gt;0,F104,
IF(B104&lt;&gt;"",
IF(C104="CLT",VLOOKUP(B104,'Lista Profissionais'!$C$11:$H$348,3,0),
VLOOKUP(B104,'Lista Profissionais'!$C$11:$H$348,4,0)), 0))</f>
        <v>0</v>
      </c>
      <c r="H104" s="66">
        <f t="shared" si="66"/>
        <v>0</v>
      </c>
      <c r="I104" s="66">
        <f t="shared" si="44"/>
        <v>0</v>
      </c>
      <c r="J104" s="66">
        <f t="shared" si="45"/>
        <v>0</v>
      </c>
      <c r="K104" s="93">
        <f t="shared" si="46"/>
        <v>0</v>
      </c>
      <c r="L104" s="151"/>
      <c r="M104" s="152">
        <v>0</v>
      </c>
      <c r="N104" s="69">
        <f t="shared" si="47"/>
        <v>0</v>
      </c>
      <c r="O104" s="69">
        <f t="shared" si="48"/>
        <v>0</v>
      </c>
      <c r="P104" s="70">
        <f t="shared" si="49"/>
        <v>0</v>
      </c>
      <c r="Q104" s="153">
        <f t="shared" si="50"/>
        <v>0</v>
      </c>
      <c r="R104" s="70">
        <v>0</v>
      </c>
      <c r="S104" s="165">
        <f t="shared" si="51"/>
        <v>0</v>
      </c>
      <c r="T104" s="163">
        <f t="shared" si="52"/>
        <v>0</v>
      </c>
      <c r="U104" s="164">
        <f t="shared" si="53"/>
        <v>0</v>
      </c>
      <c r="V104" s="164">
        <f t="shared" si="54"/>
        <v>0</v>
      </c>
      <c r="W104" s="144">
        <f t="shared" si="55"/>
        <v>0</v>
      </c>
      <c r="X104" s="150">
        <f t="shared" si="56"/>
        <v>0</v>
      </c>
      <c r="Y104" s="150">
        <f t="shared" si="57"/>
        <v>0</v>
      </c>
      <c r="Z104" s="150">
        <f t="shared" si="58"/>
        <v>0</v>
      </c>
      <c r="AA104" s="150">
        <f t="shared" si="59"/>
        <v>0</v>
      </c>
      <c r="AB104" s="150">
        <f t="shared" si="60"/>
        <v>0</v>
      </c>
      <c r="AC104" s="150">
        <f t="shared" si="61"/>
        <v>0</v>
      </c>
      <c r="AD104" s="150">
        <f t="shared" si="62"/>
        <v>0</v>
      </c>
      <c r="AE104" s="154">
        <f t="shared" si="63"/>
        <v>0</v>
      </c>
      <c r="AF104" s="70">
        <f t="shared" si="64"/>
        <v>0</v>
      </c>
      <c r="AG104" s="155">
        <f t="shared" si="65"/>
        <v>0</v>
      </c>
    </row>
    <row r="105" spans="2:33" ht="14.25" customHeight="1" x14ac:dyDescent="0.25">
      <c r="B105" s="143"/>
      <c r="C105" s="141"/>
      <c r="D105" s="103"/>
      <c r="E105" s="104"/>
      <c r="F105" s="92">
        <v>0</v>
      </c>
      <c r="G105" s="150">
        <f>IF(F105&gt;0,F105,
IF(B105&lt;&gt;"",
IF(C105="CLT",VLOOKUP(B105,'Lista Profissionais'!$C$11:$H$348,3,0),
VLOOKUP(B105,'Lista Profissionais'!$C$11:$H$348,4,0)), 0))</f>
        <v>0</v>
      </c>
      <c r="H105" s="66">
        <f t="shared" si="66"/>
        <v>0</v>
      </c>
      <c r="I105" s="66">
        <f t="shared" ref="I105:I114" si="67">H105+AD105</f>
        <v>0</v>
      </c>
      <c r="J105" s="66">
        <f t="shared" ref="J105:J114" si="68">I105+R105+AE105</f>
        <v>0</v>
      </c>
      <c r="K105" s="93">
        <f t="shared" ref="K105:K114" si="69">IF(D105&gt;0,I105/D105,0)</f>
        <v>0</v>
      </c>
      <c r="L105" s="151"/>
      <c r="M105" s="152">
        <v>0</v>
      </c>
      <c r="N105" s="69">
        <f t="shared" ref="N105:N114" si="70">I105*$G$6</f>
        <v>0</v>
      </c>
      <c r="O105" s="69">
        <f t="shared" ref="O105:O114" si="71">IF(L105&gt;0,L105,  I105*(1+$G$5))</f>
        <v>0</v>
      </c>
      <c r="P105" s="70">
        <f t="shared" si="49"/>
        <v>0</v>
      </c>
      <c r="Q105" s="153">
        <f t="shared" ref="Q105:Q114" si="72">IF(E105="Sim", P105*$G$3,0)</f>
        <v>0</v>
      </c>
      <c r="R105" s="70">
        <v>0</v>
      </c>
      <c r="S105" s="165">
        <f t="shared" ref="S105:S114" si="73">IF($D$4="Sim",(IF(E105="Não",0,(P105+(P105*$N$4)+Q105+R105)*$D$5)+P105),
IF(E105="Não",0,P105+(P105*$N$4)+Q105+R105
))</f>
        <v>0</v>
      </c>
      <c r="T105" s="163">
        <f t="shared" ref="T105:T114" si="74">IF(D105&gt;0,S105/D105,0)</f>
        <v>0</v>
      </c>
      <c r="U105" s="164">
        <f t="shared" ref="U105:U114" si="75">IF(C105="CLT",
       H105*$L$2, 0)</f>
        <v>0</v>
      </c>
      <c r="V105" s="164">
        <f t="shared" ref="V105:V114" si="76">IF(C105="CLT",
       U105*$L$3, 0)</f>
        <v>0</v>
      </c>
      <c r="W105" s="144">
        <f t="shared" ref="W105:W114" si="77">IF(C105="CLT",
       H105/12, 0)</f>
        <v>0</v>
      </c>
      <c r="X105" s="150">
        <f t="shared" ref="X105:X114" si="78">IF(C105="CLT",
       W105/3, 0)</f>
        <v>0</v>
      </c>
      <c r="Y105" s="150">
        <f t="shared" ref="Y105:Y114" si="79">IF(C105="CLT",
       H105/12, 0)</f>
        <v>0</v>
      </c>
      <c r="Z105" s="150">
        <f t="shared" ref="Z105:Z114" si="80">IF(C105="CLT",
       H105/12, 0)</f>
        <v>0</v>
      </c>
      <c r="AA105" s="150">
        <f t="shared" ref="AA105:AA114" si="81">IF(B105&lt;&gt;"",
IF(C105="CLT",
       22*$L$5,0),0)</f>
        <v>0</v>
      </c>
      <c r="AB105" s="150">
        <f t="shared" ref="AB105:AB114" si="82">IF(C105="CLT",
       H105*$L$4, 0)</f>
        <v>0</v>
      </c>
      <c r="AC105" s="150">
        <f t="shared" ref="AC105:AC114" si="83">IF(B105&lt;&gt;"",
IF(C105="CLT",
       $P$2, 0),0)</f>
        <v>0</v>
      </c>
      <c r="AD105" s="150">
        <f t="shared" si="62"/>
        <v>0</v>
      </c>
      <c r="AE105" s="154">
        <f t="shared" ref="AE105:AE114" si="84">IF(E105="Sim", S105*$G$4, 0)</f>
        <v>0</v>
      </c>
      <c r="AF105" s="70">
        <f t="shared" ref="AF105:AF114" si="85">S105-AE105-I105-Q105</f>
        <v>0</v>
      </c>
      <c r="AG105" s="155">
        <f t="shared" si="65"/>
        <v>0</v>
      </c>
    </row>
    <row r="106" spans="2:33" ht="14.25" customHeight="1" x14ac:dyDescent="0.25">
      <c r="B106" s="143"/>
      <c r="C106" s="141"/>
      <c r="D106" s="103"/>
      <c r="E106" s="104"/>
      <c r="F106" s="92">
        <v>0</v>
      </c>
      <c r="G106" s="150">
        <f>IF(F106&gt;0,F106,
IF(B106&lt;&gt;"",
IF(C106="CLT",VLOOKUP(B106,'Lista Profissionais'!$C$11:$H$348,3,0),
VLOOKUP(B106,'Lista Profissionais'!$C$11:$H$348,4,0)), 0))</f>
        <v>0</v>
      </c>
      <c r="H106" s="66">
        <f t="shared" si="66"/>
        <v>0</v>
      </c>
      <c r="I106" s="66">
        <f t="shared" si="67"/>
        <v>0</v>
      </c>
      <c r="J106" s="66">
        <f t="shared" si="68"/>
        <v>0</v>
      </c>
      <c r="K106" s="93">
        <f t="shared" si="69"/>
        <v>0</v>
      </c>
      <c r="L106" s="151"/>
      <c r="M106" s="152">
        <v>0</v>
      </c>
      <c r="N106" s="69">
        <f t="shared" si="70"/>
        <v>0</v>
      </c>
      <c r="O106" s="69">
        <f t="shared" si="71"/>
        <v>0</v>
      </c>
      <c r="P106" s="70">
        <f t="shared" si="49"/>
        <v>0</v>
      </c>
      <c r="Q106" s="153">
        <f t="shared" si="72"/>
        <v>0</v>
      </c>
      <c r="R106" s="70">
        <v>0</v>
      </c>
      <c r="S106" s="165">
        <f t="shared" si="73"/>
        <v>0</v>
      </c>
      <c r="T106" s="163">
        <f t="shared" si="74"/>
        <v>0</v>
      </c>
      <c r="U106" s="164">
        <f t="shared" si="75"/>
        <v>0</v>
      </c>
      <c r="V106" s="164">
        <f t="shared" si="76"/>
        <v>0</v>
      </c>
      <c r="W106" s="144">
        <f t="shared" si="77"/>
        <v>0</v>
      </c>
      <c r="X106" s="150">
        <f t="shared" si="78"/>
        <v>0</v>
      </c>
      <c r="Y106" s="150">
        <f t="shared" si="79"/>
        <v>0</v>
      </c>
      <c r="Z106" s="150">
        <f t="shared" si="80"/>
        <v>0</v>
      </c>
      <c r="AA106" s="150">
        <f t="shared" si="81"/>
        <v>0</v>
      </c>
      <c r="AB106" s="150">
        <f t="shared" si="82"/>
        <v>0</v>
      </c>
      <c r="AC106" s="150">
        <f t="shared" si="83"/>
        <v>0</v>
      </c>
      <c r="AD106" s="150">
        <f t="shared" si="62"/>
        <v>0</v>
      </c>
      <c r="AE106" s="154">
        <f t="shared" si="84"/>
        <v>0</v>
      </c>
      <c r="AF106" s="70">
        <f t="shared" si="85"/>
        <v>0</v>
      </c>
      <c r="AG106" s="155">
        <f t="shared" si="65"/>
        <v>0</v>
      </c>
    </row>
    <row r="107" spans="2:33" ht="14.25" customHeight="1" x14ac:dyDescent="0.25">
      <c r="B107" s="143"/>
      <c r="C107" s="141"/>
      <c r="D107" s="103"/>
      <c r="E107" s="104"/>
      <c r="F107" s="92">
        <v>0</v>
      </c>
      <c r="G107" s="150">
        <f>IF(F107&gt;0,F107,
IF(B107&lt;&gt;"",
IF(C107="CLT",VLOOKUP(B107,'Lista Profissionais'!$C$11:$H$348,3,0),
VLOOKUP(B107,'Lista Profissionais'!$C$11:$H$348,4,0)), 0))</f>
        <v>0</v>
      </c>
      <c r="H107" s="66">
        <f t="shared" si="66"/>
        <v>0</v>
      </c>
      <c r="I107" s="66">
        <f t="shared" si="67"/>
        <v>0</v>
      </c>
      <c r="J107" s="66">
        <f t="shared" si="68"/>
        <v>0</v>
      </c>
      <c r="K107" s="93">
        <f t="shared" si="69"/>
        <v>0</v>
      </c>
      <c r="L107" s="151"/>
      <c r="M107" s="152">
        <v>0</v>
      </c>
      <c r="N107" s="69">
        <f t="shared" si="70"/>
        <v>0</v>
      </c>
      <c r="O107" s="69">
        <f t="shared" si="71"/>
        <v>0</v>
      </c>
      <c r="P107" s="70">
        <f t="shared" si="49"/>
        <v>0</v>
      </c>
      <c r="Q107" s="153">
        <f t="shared" si="72"/>
        <v>0</v>
      </c>
      <c r="R107" s="70">
        <v>0</v>
      </c>
      <c r="S107" s="165">
        <f t="shared" si="73"/>
        <v>0</v>
      </c>
      <c r="T107" s="163">
        <f t="shared" si="74"/>
        <v>0</v>
      </c>
      <c r="U107" s="164">
        <f t="shared" si="75"/>
        <v>0</v>
      </c>
      <c r="V107" s="164">
        <f t="shared" si="76"/>
        <v>0</v>
      </c>
      <c r="W107" s="144">
        <f t="shared" si="77"/>
        <v>0</v>
      </c>
      <c r="X107" s="150">
        <f t="shared" si="78"/>
        <v>0</v>
      </c>
      <c r="Y107" s="150">
        <f t="shared" si="79"/>
        <v>0</v>
      </c>
      <c r="Z107" s="150">
        <f t="shared" si="80"/>
        <v>0</v>
      </c>
      <c r="AA107" s="150">
        <f t="shared" si="81"/>
        <v>0</v>
      </c>
      <c r="AB107" s="150">
        <f t="shared" si="82"/>
        <v>0</v>
      </c>
      <c r="AC107" s="150">
        <f t="shared" si="83"/>
        <v>0</v>
      </c>
      <c r="AD107" s="150">
        <f t="shared" si="62"/>
        <v>0</v>
      </c>
      <c r="AE107" s="154">
        <f t="shared" si="84"/>
        <v>0</v>
      </c>
      <c r="AF107" s="70">
        <f t="shared" si="85"/>
        <v>0</v>
      </c>
      <c r="AG107" s="155">
        <f t="shared" si="65"/>
        <v>0</v>
      </c>
    </row>
    <row r="108" spans="2:33" ht="14.25" customHeight="1" x14ac:dyDescent="0.25">
      <c r="B108" s="143"/>
      <c r="C108" s="141"/>
      <c r="D108" s="103"/>
      <c r="E108" s="104"/>
      <c r="F108" s="92">
        <v>0</v>
      </c>
      <c r="G108" s="150">
        <f>IF(F108&gt;0,F108,
IF(B108&lt;&gt;"",
IF(C108="CLT",VLOOKUP(B108,'Lista Profissionais'!$C$11:$H$348,3,0),
VLOOKUP(B108,'Lista Profissionais'!$C$11:$H$348,4,0)), 0))</f>
        <v>0</v>
      </c>
      <c r="H108" s="66">
        <f t="shared" si="66"/>
        <v>0</v>
      </c>
      <c r="I108" s="66">
        <f t="shared" si="67"/>
        <v>0</v>
      </c>
      <c r="J108" s="66">
        <f t="shared" si="68"/>
        <v>0</v>
      </c>
      <c r="K108" s="93">
        <f t="shared" si="69"/>
        <v>0</v>
      </c>
      <c r="L108" s="151"/>
      <c r="M108" s="152">
        <v>0</v>
      </c>
      <c r="N108" s="69">
        <f t="shared" si="70"/>
        <v>0</v>
      </c>
      <c r="O108" s="69">
        <f t="shared" si="71"/>
        <v>0</v>
      </c>
      <c r="P108" s="70">
        <f t="shared" si="49"/>
        <v>0</v>
      </c>
      <c r="Q108" s="153">
        <f t="shared" si="72"/>
        <v>0</v>
      </c>
      <c r="R108" s="70">
        <v>0</v>
      </c>
      <c r="S108" s="165">
        <f t="shared" si="73"/>
        <v>0</v>
      </c>
      <c r="T108" s="163">
        <f t="shared" si="74"/>
        <v>0</v>
      </c>
      <c r="U108" s="164">
        <f t="shared" si="75"/>
        <v>0</v>
      </c>
      <c r="V108" s="164">
        <f t="shared" si="76"/>
        <v>0</v>
      </c>
      <c r="W108" s="144">
        <f t="shared" si="77"/>
        <v>0</v>
      </c>
      <c r="X108" s="150">
        <f t="shared" si="78"/>
        <v>0</v>
      </c>
      <c r="Y108" s="150">
        <f t="shared" si="79"/>
        <v>0</v>
      </c>
      <c r="Z108" s="150">
        <f t="shared" si="80"/>
        <v>0</v>
      </c>
      <c r="AA108" s="150">
        <f t="shared" si="81"/>
        <v>0</v>
      </c>
      <c r="AB108" s="150">
        <f t="shared" si="82"/>
        <v>0</v>
      </c>
      <c r="AC108" s="150">
        <f t="shared" si="83"/>
        <v>0</v>
      </c>
      <c r="AD108" s="150">
        <f t="shared" si="62"/>
        <v>0</v>
      </c>
      <c r="AE108" s="154">
        <f t="shared" si="84"/>
        <v>0</v>
      </c>
      <c r="AF108" s="70">
        <f t="shared" si="85"/>
        <v>0</v>
      </c>
      <c r="AG108" s="155">
        <f t="shared" si="65"/>
        <v>0</v>
      </c>
    </row>
    <row r="109" spans="2:33" ht="14.25" customHeight="1" x14ac:dyDescent="0.25">
      <c r="B109" s="143"/>
      <c r="C109" s="141"/>
      <c r="D109" s="103"/>
      <c r="E109" s="104"/>
      <c r="F109" s="92">
        <v>0</v>
      </c>
      <c r="G109" s="150">
        <f>IF(F109&gt;0,F109,
IF(B109&lt;&gt;"",
IF(C109="CLT",VLOOKUP(B109,'Lista Profissionais'!$C$11:$H$348,3,0),
VLOOKUP(B109,'Lista Profissionais'!$C$11:$H$348,4,0)), 0))</f>
        <v>0</v>
      </c>
      <c r="H109" s="66">
        <f t="shared" si="66"/>
        <v>0</v>
      </c>
      <c r="I109" s="66">
        <f t="shared" si="67"/>
        <v>0</v>
      </c>
      <c r="J109" s="66">
        <f t="shared" si="68"/>
        <v>0</v>
      </c>
      <c r="K109" s="93">
        <f t="shared" si="69"/>
        <v>0</v>
      </c>
      <c r="L109" s="151"/>
      <c r="M109" s="152">
        <v>0</v>
      </c>
      <c r="N109" s="69">
        <f t="shared" si="70"/>
        <v>0</v>
      </c>
      <c r="O109" s="69">
        <f t="shared" si="71"/>
        <v>0</v>
      </c>
      <c r="P109" s="70">
        <f t="shared" si="49"/>
        <v>0</v>
      </c>
      <c r="Q109" s="153">
        <f t="shared" si="72"/>
        <v>0</v>
      </c>
      <c r="R109" s="70">
        <v>0</v>
      </c>
      <c r="S109" s="165">
        <f t="shared" si="73"/>
        <v>0</v>
      </c>
      <c r="T109" s="163">
        <f t="shared" si="74"/>
        <v>0</v>
      </c>
      <c r="U109" s="164">
        <f t="shared" si="75"/>
        <v>0</v>
      </c>
      <c r="V109" s="164">
        <f t="shared" si="76"/>
        <v>0</v>
      </c>
      <c r="W109" s="144">
        <f t="shared" si="77"/>
        <v>0</v>
      </c>
      <c r="X109" s="150">
        <f t="shared" si="78"/>
        <v>0</v>
      </c>
      <c r="Y109" s="150">
        <f t="shared" si="79"/>
        <v>0</v>
      </c>
      <c r="Z109" s="150">
        <f t="shared" si="80"/>
        <v>0</v>
      </c>
      <c r="AA109" s="150">
        <f t="shared" si="81"/>
        <v>0</v>
      </c>
      <c r="AB109" s="150">
        <f t="shared" si="82"/>
        <v>0</v>
      </c>
      <c r="AC109" s="150">
        <f t="shared" si="83"/>
        <v>0</v>
      </c>
      <c r="AD109" s="150">
        <f t="shared" si="62"/>
        <v>0</v>
      </c>
      <c r="AE109" s="154">
        <f t="shared" si="84"/>
        <v>0</v>
      </c>
      <c r="AF109" s="70">
        <f t="shared" si="85"/>
        <v>0</v>
      </c>
      <c r="AG109" s="155">
        <f t="shared" si="65"/>
        <v>0</v>
      </c>
    </row>
    <row r="110" spans="2:33" ht="14.25" customHeight="1" x14ac:dyDescent="0.25">
      <c r="B110" s="143"/>
      <c r="C110" s="141"/>
      <c r="D110" s="103"/>
      <c r="E110" s="104"/>
      <c r="F110" s="92">
        <v>0</v>
      </c>
      <c r="G110" s="150">
        <f>IF(F110&gt;0,F110,
IF(B110&lt;&gt;"",
IF(C110="CLT",VLOOKUP(B110,'Lista Profissionais'!$C$11:$H$348,3,0),
VLOOKUP(B110,'Lista Profissionais'!$C$11:$H$348,4,0)), 0))</f>
        <v>0</v>
      </c>
      <c r="H110" s="66">
        <f t="shared" si="66"/>
        <v>0</v>
      </c>
      <c r="I110" s="66">
        <f t="shared" si="67"/>
        <v>0</v>
      </c>
      <c r="J110" s="66">
        <f t="shared" si="68"/>
        <v>0</v>
      </c>
      <c r="K110" s="93">
        <f t="shared" si="69"/>
        <v>0</v>
      </c>
      <c r="L110" s="151"/>
      <c r="M110" s="152">
        <v>0</v>
      </c>
      <c r="N110" s="69">
        <f t="shared" si="70"/>
        <v>0</v>
      </c>
      <c r="O110" s="69">
        <f t="shared" si="71"/>
        <v>0</v>
      </c>
      <c r="P110" s="70">
        <f t="shared" si="49"/>
        <v>0</v>
      </c>
      <c r="Q110" s="153">
        <f t="shared" si="72"/>
        <v>0</v>
      </c>
      <c r="R110" s="70">
        <v>0</v>
      </c>
      <c r="S110" s="165">
        <f t="shared" si="73"/>
        <v>0</v>
      </c>
      <c r="T110" s="163">
        <f t="shared" si="74"/>
        <v>0</v>
      </c>
      <c r="U110" s="164">
        <f t="shared" si="75"/>
        <v>0</v>
      </c>
      <c r="V110" s="164">
        <f t="shared" si="76"/>
        <v>0</v>
      </c>
      <c r="W110" s="144">
        <f t="shared" si="77"/>
        <v>0</v>
      </c>
      <c r="X110" s="150">
        <f t="shared" si="78"/>
        <v>0</v>
      </c>
      <c r="Y110" s="150">
        <f t="shared" si="79"/>
        <v>0</v>
      </c>
      <c r="Z110" s="150">
        <f t="shared" si="80"/>
        <v>0</v>
      </c>
      <c r="AA110" s="150">
        <f t="shared" si="81"/>
        <v>0</v>
      </c>
      <c r="AB110" s="150">
        <f t="shared" si="82"/>
        <v>0</v>
      </c>
      <c r="AC110" s="150">
        <f t="shared" si="83"/>
        <v>0</v>
      </c>
      <c r="AD110" s="150">
        <f t="shared" si="62"/>
        <v>0</v>
      </c>
      <c r="AE110" s="154">
        <f t="shared" si="84"/>
        <v>0</v>
      </c>
      <c r="AF110" s="70">
        <f t="shared" si="85"/>
        <v>0</v>
      </c>
      <c r="AG110" s="155">
        <f t="shared" si="65"/>
        <v>0</v>
      </c>
    </row>
    <row r="111" spans="2:33" ht="14.25" customHeight="1" x14ac:dyDescent="0.25">
      <c r="B111" s="143"/>
      <c r="C111" s="141"/>
      <c r="D111" s="103"/>
      <c r="E111" s="104"/>
      <c r="F111" s="92">
        <v>0</v>
      </c>
      <c r="G111" s="150">
        <f>IF(F111&gt;0,F111,
IF(B111&lt;&gt;"",
IF(C111="CLT",VLOOKUP(B111,'Lista Profissionais'!$C$11:$H$348,3,0),
VLOOKUP(B111,'Lista Profissionais'!$C$11:$H$348,4,0)), 0))</f>
        <v>0</v>
      </c>
      <c r="H111" s="66">
        <f t="shared" si="66"/>
        <v>0</v>
      </c>
      <c r="I111" s="66">
        <f t="shared" si="67"/>
        <v>0</v>
      </c>
      <c r="J111" s="66">
        <f t="shared" si="68"/>
        <v>0</v>
      </c>
      <c r="K111" s="93">
        <f t="shared" si="69"/>
        <v>0</v>
      </c>
      <c r="L111" s="151"/>
      <c r="M111" s="152">
        <v>0</v>
      </c>
      <c r="N111" s="69">
        <f t="shared" si="70"/>
        <v>0</v>
      </c>
      <c r="O111" s="69">
        <f t="shared" si="71"/>
        <v>0</v>
      </c>
      <c r="P111" s="70">
        <f t="shared" si="49"/>
        <v>0</v>
      </c>
      <c r="Q111" s="153">
        <f t="shared" si="72"/>
        <v>0</v>
      </c>
      <c r="R111" s="70">
        <v>0</v>
      </c>
      <c r="S111" s="165">
        <f t="shared" si="73"/>
        <v>0</v>
      </c>
      <c r="T111" s="163">
        <f t="shared" si="74"/>
        <v>0</v>
      </c>
      <c r="U111" s="164">
        <f t="shared" si="75"/>
        <v>0</v>
      </c>
      <c r="V111" s="164">
        <f t="shared" si="76"/>
        <v>0</v>
      </c>
      <c r="W111" s="144">
        <f t="shared" si="77"/>
        <v>0</v>
      </c>
      <c r="X111" s="150">
        <f t="shared" si="78"/>
        <v>0</v>
      </c>
      <c r="Y111" s="150">
        <f t="shared" si="79"/>
        <v>0</v>
      </c>
      <c r="Z111" s="150">
        <f t="shared" si="80"/>
        <v>0</v>
      </c>
      <c r="AA111" s="150">
        <f t="shared" si="81"/>
        <v>0</v>
      </c>
      <c r="AB111" s="150">
        <f t="shared" si="82"/>
        <v>0</v>
      </c>
      <c r="AC111" s="150">
        <f t="shared" si="83"/>
        <v>0</v>
      </c>
      <c r="AD111" s="150">
        <f t="shared" si="62"/>
        <v>0</v>
      </c>
      <c r="AE111" s="154">
        <f t="shared" si="84"/>
        <v>0</v>
      </c>
      <c r="AF111" s="70">
        <f t="shared" si="85"/>
        <v>0</v>
      </c>
      <c r="AG111" s="155">
        <f t="shared" si="65"/>
        <v>0</v>
      </c>
    </row>
    <row r="112" spans="2:33" ht="14.25" customHeight="1" x14ac:dyDescent="0.25">
      <c r="B112" s="143"/>
      <c r="C112" s="141"/>
      <c r="D112" s="103"/>
      <c r="E112" s="104"/>
      <c r="F112" s="92">
        <v>0</v>
      </c>
      <c r="G112" s="150">
        <f>IF(F112&gt;0,F112,
IF(B112&lt;&gt;"",
IF(C112="CLT",VLOOKUP(B112,'Lista Profissionais'!$C$11:$H$348,3,0),
VLOOKUP(B112,'Lista Profissionais'!$C$11:$H$348,4,0)), 0))</f>
        <v>0</v>
      </c>
      <c r="H112" s="66">
        <f t="shared" si="66"/>
        <v>0</v>
      </c>
      <c r="I112" s="66">
        <f t="shared" si="67"/>
        <v>0</v>
      </c>
      <c r="J112" s="66">
        <f t="shared" si="68"/>
        <v>0</v>
      </c>
      <c r="K112" s="93">
        <f t="shared" si="69"/>
        <v>0</v>
      </c>
      <c r="L112" s="151"/>
      <c r="M112" s="152">
        <v>0</v>
      </c>
      <c r="N112" s="69">
        <f t="shared" si="70"/>
        <v>0</v>
      </c>
      <c r="O112" s="69">
        <f t="shared" si="71"/>
        <v>0</v>
      </c>
      <c r="P112" s="70">
        <f t="shared" si="49"/>
        <v>0</v>
      </c>
      <c r="Q112" s="153">
        <f t="shared" si="72"/>
        <v>0</v>
      </c>
      <c r="R112" s="70">
        <v>0</v>
      </c>
      <c r="S112" s="165">
        <f t="shared" si="73"/>
        <v>0</v>
      </c>
      <c r="T112" s="163">
        <f t="shared" si="74"/>
        <v>0</v>
      </c>
      <c r="U112" s="164">
        <f t="shared" si="75"/>
        <v>0</v>
      </c>
      <c r="V112" s="164">
        <f t="shared" si="76"/>
        <v>0</v>
      </c>
      <c r="W112" s="144">
        <f t="shared" si="77"/>
        <v>0</v>
      </c>
      <c r="X112" s="150">
        <f t="shared" si="78"/>
        <v>0</v>
      </c>
      <c r="Y112" s="150">
        <f t="shared" si="79"/>
        <v>0</v>
      </c>
      <c r="Z112" s="150">
        <f t="shared" si="80"/>
        <v>0</v>
      </c>
      <c r="AA112" s="150">
        <f t="shared" si="81"/>
        <v>0</v>
      </c>
      <c r="AB112" s="150">
        <f t="shared" si="82"/>
        <v>0</v>
      </c>
      <c r="AC112" s="150">
        <f t="shared" si="83"/>
        <v>0</v>
      </c>
      <c r="AD112" s="150">
        <f t="shared" si="62"/>
        <v>0</v>
      </c>
      <c r="AE112" s="154">
        <f t="shared" si="84"/>
        <v>0</v>
      </c>
      <c r="AF112" s="70">
        <f t="shared" si="85"/>
        <v>0</v>
      </c>
      <c r="AG112" s="155">
        <f t="shared" si="65"/>
        <v>0</v>
      </c>
    </row>
    <row r="113" spans="2:33" ht="14.25" customHeight="1" x14ac:dyDescent="0.25">
      <c r="B113" s="143"/>
      <c r="C113" s="141"/>
      <c r="D113" s="103"/>
      <c r="E113" s="104"/>
      <c r="F113" s="92">
        <v>0</v>
      </c>
      <c r="G113" s="150">
        <f>IF(F113&gt;0,F113,
IF(B113&lt;&gt;"",
IF(C113="CLT",VLOOKUP(B113,'Lista Profissionais'!$C$11:$H$348,3,0),
VLOOKUP(B113,'Lista Profissionais'!$C$11:$H$348,4,0)), 0))</f>
        <v>0</v>
      </c>
      <c r="H113" s="66">
        <f t="shared" si="66"/>
        <v>0</v>
      </c>
      <c r="I113" s="66">
        <f t="shared" si="67"/>
        <v>0</v>
      </c>
      <c r="J113" s="66">
        <f t="shared" si="68"/>
        <v>0</v>
      </c>
      <c r="K113" s="93">
        <f t="shared" si="69"/>
        <v>0</v>
      </c>
      <c r="L113" s="151"/>
      <c r="M113" s="152">
        <v>0</v>
      </c>
      <c r="N113" s="69">
        <f t="shared" si="70"/>
        <v>0</v>
      </c>
      <c r="O113" s="69">
        <f t="shared" si="71"/>
        <v>0</v>
      </c>
      <c r="P113" s="70">
        <f t="shared" si="49"/>
        <v>0</v>
      </c>
      <c r="Q113" s="153">
        <f t="shared" si="72"/>
        <v>0</v>
      </c>
      <c r="R113" s="70">
        <v>0</v>
      </c>
      <c r="S113" s="165">
        <f t="shared" si="73"/>
        <v>0</v>
      </c>
      <c r="T113" s="163">
        <f t="shared" si="74"/>
        <v>0</v>
      </c>
      <c r="U113" s="164">
        <f t="shared" si="75"/>
        <v>0</v>
      </c>
      <c r="V113" s="164">
        <f t="shared" si="76"/>
        <v>0</v>
      </c>
      <c r="W113" s="144">
        <f t="shared" si="77"/>
        <v>0</v>
      </c>
      <c r="X113" s="150">
        <f t="shared" si="78"/>
        <v>0</v>
      </c>
      <c r="Y113" s="150">
        <f t="shared" si="79"/>
        <v>0</v>
      </c>
      <c r="Z113" s="150">
        <f t="shared" si="80"/>
        <v>0</v>
      </c>
      <c r="AA113" s="150">
        <f t="shared" si="81"/>
        <v>0</v>
      </c>
      <c r="AB113" s="150">
        <f t="shared" si="82"/>
        <v>0</v>
      </c>
      <c r="AC113" s="150">
        <f t="shared" si="83"/>
        <v>0</v>
      </c>
      <c r="AD113" s="150">
        <f t="shared" si="62"/>
        <v>0</v>
      </c>
      <c r="AE113" s="154">
        <f t="shared" si="84"/>
        <v>0</v>
      </c>
      <c r="AF113" s="70">
        <f t="shared" si="85"/>
        <v>0</v>
      </c>
      <c r="AG113" s="155">
        <f t="shared" si="65"/>
        <v>0</v>
      </c>
    </row>
    <row r="114" spans="2:33" ht="14.25" customHeight="1" x14ac:dyDescent="0.25">
      <c r="B114" s="143"/>
      <c r="C114" s="141"/>
      <c r="D114" s="103"/>
      <c r="E114" s="104"/>
      <c r="F114" s="92">
        <v>0</v>
      </c>
      <c r="G114" s="150">
        <f>IF(F114&gt;0,F114,
IF(B114&lt;&gt;"",
IF(C114="CLT",VLOOKUP(B114,'Lista Profissionais'!$C$11:$H$348,3,0),
VLOOKUP(B114,'Lista Profissionais'!$C$11:$H$348,4,0)), 0))</f>
        <v>0</v>
      </c>
      <c r="H114" s="66">
        <f t="shared" si="66"/>
        <v>0</v>
      </c>
      <c r="I114" s="66">
        <f t="shared" si="67"/>
        <v>0</v>
      </c>
      <c r="J114" s="66">
        <f t="shared" si="68"/>
        <v>0</v>
      </c>
      <c r="K114" s="93">
        <f t="shared" si="69"/>
        <v>0</v>
      </c>
      <c r="L114" s="151"/>
      <c r="M114" s="152">
        <v>0</v>
      </c>
      <c r="N114" s="69">
        <f t="shared" si="70"/>
        <v>0</v>
      </c>
      <c r="O114" s="69">
        <f t="shared" si="71"/>
        <v>0</v>
      </c>
      <c r="P114" s="70">
        <f t="shared" si="49"/>
        <v>0</v>
      </c>
      <c r="Q114" s="153">
        <f t="shared" si="72"/>
        <v>0</v>
      </c>
      <c r="R114" s="70">
        <v>0</v>
      </c>
      <c r="S114" s="165">
        <f t="shared" si="73"/>
        <v>0</v>
      </c>
      <c r="T114" s="163">
        <f t="shared" si="74"/>
        <v>0</v>
      </c>
      <c r="U114" s="164">
        <f t="shared" si="75"/>
        <v>0</v>
      </c>
      <c r="V114" s="164">
        <f t="shared" si="76"/>
        <v>0</v>
      </c>
      <c r="W114" s="144">
        <f t="shared" si="77"/>
        <v>0</v>
      </c>
      <c r="X114" s="150">
        <f t="shared" si="78"/>
        <v>0</v>
      </c>
      <c r="Y114" s="150">
        <f t="shared" si="79"/>
        <v>0</v>
      </c>
      <c r="Z114" s="150">
        <f t="shared" si="80"/>
        <v>0</v>
      </c>
      <c r="AA114" s="150">
        <f t="shared" si="81"/>
        <v>0</v>
      </c>
      <c r="AB114" s="150">
        <f t="shared" si="82"/>
        <v>0</v>
      </c>
      <c r="AC114" s="150">
        <f t="shared" si="83"/>
        <v>0</v>
      </c>
      <c r="AD114" s="150">
        <f t="shared" si="62"/>
        <v>0</v>
      </c>
      <c r="AE114" s="154">
        <f t="shared" si="84"/>
        <v>0</v>
      </c>
      <c r="AF114" s="70">
        <f t="shared" si="85"/>
        <v>0</v>
      </c>
      <c r="AG114" s="155">
        <f t="shared" si="65"/>
        <v>0</v>
      </c>
    </row>
    <row r="115" spans="2:33" ht="14.25" customHeight="1" x14ac:dyDescent="0.25">
      <c r="B115" s="142"/>
      <c r="C115" s="12"/>
      <c r="D115" s="100"/>
      <c r="E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66">
        <v>14968.8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2:33" ht="14.25" customHeight="1" x14ac:dyDescent="0.25">
      <c r="B116" s="88"/>
      <c r="C116" s="12"/>
      <c r="D116" s="100"/>
      <c r="E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2:33" ht="14.25" customHeight="1" x14ac:dyDescent="0.25">
      <c r="B117" s="88"/>
      <c r="C117" s="12"/>
      <c r="D117" s="100"/>
      <c r="E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2:33" ht="14.25" customHeight="1" x14ac:dyDescent="0.25">
      <c r="B118" s="88"/>
      <c r="C118" s="12"/>
      <c r="D118" s="100"/>
      <c r="E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2:33" ht="14.25" customHeight="1" x14ac:dyDescent="0.25">
      <c r="B119" s="88"/>
      <c r="C119" s="12"/>
      <c r="D119" s="100"/>
      <c r="E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 t="s">
        <v>196</v>
      </c>
      <c r="X119" s="14" t="e">
        <f>176*#REF!</f>
        <v>#REF!</v>
      </c>
      <c r="Y119" s="14"/>
      <c r="Z119" s="14"/>
      <c r="AA119" s="14"/>
      <c r="AB119" s="14"/>
      <c r="AC119" s="14"/>
      <c r="AD119" s="14"/>
      <c r="AE119" s="14"/>
    </row>
    <row r="120" spans="2:33" ht="14.25" customHeight="1" x14ac:dyDescent="0.25">
      <c r="B120" s="88"/>
      <c r="C120" s="12"/>
      <c r="D120" s="100"/>
      <c r="E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2:33" ht="14.25" customHeight="1" x14ac:dyDescent="0.25">
      <c r="B121" s="88"/>
      <c r="C121" s="12"/>
      <c r="D121" s="100"/>
      <c r="E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>
        <f>T43*1.5</f>
        <v>0</v>
      </c>
      <c r="U121" s="14"/>
      <c r="V121" s="14"/>
      <c r="W121" s="14" t="s">
        <v>193</v>
      </c>
      <c r="X121" s="14">
        <v>5528.17</v>
      </c>
      <c r="Y121" s="14"/>
      <c r="Z121" s="14"/>
      <c r="AA121" s="14"/>
      <c r="AB121" s="14"/>
      <c r="AC121" s="14"/>
      <c r="AD121" s="14"/>
      <c r="AE121" s="14"/>
    </row>
    <row r="122" spans="2:33" ht="14.25" customHeight="1" x14ac:dyDescent="0.25">
      <c r="B122" s="88"/>
      <c r="C122" s="12"/>
      <c r="D122" s="100"/>
      <c r="E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 t="s">
        <v>194</v>
      </c>
      <c r="X122" s="14">
        <v>4674.99</v>
      </c>
      <c r="Y122" s="14"/>
      <c r="Z122" s="14"/>
      <c r="AA122" s="14"/>
      <c r="AB122" s="14"/>
      <c r="AC122" s="14"/>
      <c r="AD122" s="14"/>
      <c r="AE122" s="14"/>
    </row>
    <row r="123" spans="2:33" ht="14.25" customHeight="1" x14ac:dyDescent="0.25">
      <c r="B123" s="88"/>
      <c r="C123" s="12"/>
      <c r="D123" s="100"/>
      <c r="E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 t="s">
        <v>195</v>
      </c>
      <c r="X123" s="14">
        <v>9313</v>
      </c>
      <c r="Y123" s="14"/>
      <c r="Z123" s="14"/>
      <c r="AA123" s="14"/>
      <c r="AB123" s="14"/>
      <c r="AC123" s="14"/>
      <c r="AD123" s="14"/>
      <c r="AE123" s="14"/>
    </row>
    <row r="124" spans="2:33" ht="14.25" customHeight="1" x14ac:dyDescent="0.25">
      <c r="B124" s="88"/>
      <c r="C124" s="12"/>
      <c r="D124" s="100"/>
      <c r="E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>
        <f>T43/3</f>
        <v>0</v>
      </c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spans="2:33" ht="14.25" customHeight="1" x14ac:dyDescent="0.25">
      <c r="B125" s="88"/>
      <c r="C125" s="12"/>
      <c r="D125" s="100"/>
      <c r="E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2:33" ht="14.25" customHeight="1" x14ac:dyDescent="0.25">
      <c r="B126" s="88"/>
      <c r="C126" s="12"/>
      <c r="D126" s="100"/>
      <c r="E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spans="2:33" ht="14.25" customHeight="1" x14ac:dyDescent="0.25">
      <c r="B127" s="88"/>
      <c r="C127" s="12"/>
      <c r="D127" s="100"/>
      <c r="E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2:33" ht="14.25" customHeight="1" x14ac:dyDescent="0.25">
      <c r="B128" s="88"/>
      <c r="C128" s="12"/>
      <c r="D128" s="100"/>
      <c r="E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spans="2:31" ht="14.25" customHeight="1" x14ac:dyDescent="0.25">
      <c r="B129" s="88"/>
      <c r="C129" s="12"/>
      <c r="D129" s="100"/>
      <c r="E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2:31" ht="14.25" customHeight="1" x14ac:dyDescent="0.25">
      <c r="B130" s="88"/>
      <c r="C130" s="12"/>
      <c r="D130" s="100"/>
      <c r="E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spans="2:31" ht="14.25" customHeight="1" x14ac:dyDescent="0.25">
      <c r="B131" s="88"/>
      <c r="C131" s="12"/>
      <c r="D131" s="100"/>
      <c r="E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spans="2:31" ht="14.25" customHeight="1" x14ac:dyDescent="0.25">
      <c r="B132" s="88"/>
      <c r="C132" s="12"/>
      <c r="D132" s="100"/>
      <c r="E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spans="2:31" ht="14.25" customHeight="1" x14ac:dyDescent="0.25">
      <c r="B133" s="88"/>
      <c r="C133" s="12"/>
      <c r="D133" s="100"/>
      <c r="E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spans="2:31" ht="14.25" customHeight="1" x14ac:dyDescent="0.25">
      <c r="B134" s="88"/>
      <c r="C134" s="12"/>
      <c r="D134" s="100"/>
      <c r="E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spans="2:31" ht="14.25" customHeight="1" x14ac:dyDescent="0.25">
      <c r="B135" s="31"/>
      <c r="C135" s="12"/>
      <c r="D135" s="100"/>
      <c r="E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spans="2:31" ht="14.25" customHeight="1" x14ac:dyDescent="0.25">
      <c r="B136" s="31"/>
      <c r="C136" s="12"/>
      <c r="D136" s="100"/>
      <c r="E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spans="2:31" ht="14.25" customHeight="1" x14ac:dyDescent="0.25">
      <c r="B137" s="31"/>
      <c r="C137" s="12"/>
      <c r="D137" s="100"/>
      <c r="E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spans="2:31" ht="14.25" customHeight="1" x14ac:dyDescent="0.25">
      <c r="B138" s="31"/>
      <c r="C138" s="12"/>
      <c r="D138" s="100"/>
      <c r="E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spans="2:31" ht="14.25" customHeight="1" x14ac:dyDescent="0.25">
      <c r="B139" s="31"/>
      <c r="C139" s="12"/>
      <c r="D139" s="100"/>
      <c r="E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spans="2:31" ht="14.25" customHeight="1" x14ac:dyDescent="0.25">
      <c r="B140" s="31"/>
      <c r="C140" s="12"/>
      <c r="D140" s="100"/>
      <c r="E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spans="2:31" ht="14.25" customHeight="1" x14ac:dyDescent="0.25">
      <c r="B141" s="31"/>
      <c r="C141" s="12"/>
      <c r="D141" s="100"/>
      <c r="E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spans="2:31" ht="14.25" customHeight="1" x14ac:dyDescent="0.25">
      <c r="B142" s="31"/>
      <c r="C142" s="12"/>
      <c r="D142" s="100"/>
      <c r="E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spans="2:31" ht="14.25" customHeight="1" x14ac:dyDescent="0.25">
      <c r="B143" s="31"/>
      <c r="C143" s="12"/>
      <c r="D143" s="100"/>
      <c r="E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spans="2:31" ht="14.25" customHeight="1" x14ac:dyDescent="0.25">
      <c r="B144" s="31"/>
      <c r="C144" s="12"/>
      <c r="D144" s="100"/>
      <c r="E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spans="2:31" ht="14.25" customHeight="1" x14ac:dyDescent="0.25">
      <c r="B145" s="31"/>
      <c r="C145" s="12"/>
      <c r="D145" s="100"/>
      <c r="E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spans="2:31" ht="14.25" customHeight="1" x14ac:dyDescent="0.25">
      <c r="B146" s="31"/>
      <c r="C146" s="12"/>
      <c r="D146" s="100"/>
      <c r="E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spans="2:31" ht="14.25" customHeight="1" x14ac:dyDescent="0.25">
      <c r="B147" s="31"/>
      <c r="C147" s="12"/>
      <c r="D147" s="100"/>
      <c r="E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spans="2:31" ht="14.25" customHeight="1" x14ac:dyDescent="0.25">
      <c r="B148" s="31"/>
      <c r="C148" s="12"/>
      <c r="D148" s="100"/>
      <c r="E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spans="2:31" ht="14.25" customHeight="1" x14ac:dyDescent="0.25">
      <c r="B149" s="31"/>
      <c r="C149" s="12"/>
      <c r="D149" s="100"/>
      <c r="E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spans="2:31" ht="14.25" customHeight="1" x14ac:dyDescent="0.25">
      <c r="B150" s="31"/>
      <c r="C150" s="12"/>
      <c r="D150" s="100"/>
      <c r="E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spans="2:31" ht="15.75" customHeight="1" x14ac:dyDescent="0.25">
      <c r="B151" s="31"/>
      <c r="C151" s="12"/>
      <c r="D151" s="100"/>
      <c r="E151" s="13"/>
    </row>
    <row r="152" spans="2:31" ht="15.75" customHeight="1" x14ac:dyDescent="0.25">
      <c r="B152" s="31"/>
      <c r="C152" s="12"/>
      <c r="D152" s="100"/>
      <c r="E152" s="13"/>
    </row>
    <row r="153" spans="2:31" ht="15.75" customHeight="1" x14ac:dyDescent="0.25">
      <c r="B153" s="31"/>
      <c r="C153" s="12"/>
      <c r="D153" s="100"/>
      <c r="E153" s="13"/>
    </row>
    <row r="154" spans="2:31" ht="15.75" customHeight="1" x14ac:dyDescent="0.25">
      <c r="B154" s="31"/>
      <c r="C154" s="12"/>
      <c r="D154" s="100"/>
      <c r="E154" s="13"/>
    </row>
    <row r="155" spans="2:31" ht="15.75" customHeight="1" x14ac:dyDescent="0.25">
      <c r="B155" s="31"/>
      <c r="C155" s="12"/>
      <c r="D155" s="100"/>
      <c r="E155" s="13"/>
    </row>
    <row r="156" spans="2:31" ht="15.75" customHeight="1" x14ac:dyDescent="0.25">
      <c r="B156" s="31"/>
      <c r="C156" s="12"/>
      <c r="D156" s="100"/>
      <c r="E156" s="13"/>
    </row>
    <row r="157" spans="2:31" ht="15.75" customHeight="1" x14ac:dyDescent="0.25">
      <c r="B157" s="31"/>
      <c r="C157" s="12"/>
      <c r="D157" s="100"/>
      <c r="E157" s="13"/>
    </row>
    <row r="158" spans="2:31" ht="15.75" customHeight="1" x14ac:dyDescent="0.25">
      <c r="B158" s="31"/>
      <c r="C158" s="12"/>
      <c r="D158" s="100"/>
      <c r="E158" s="13"/>
    </row>
    <row r="159" spans="2:31" ht="15.75" customHeight="1" x14ac:dyDescent="0.25">
      <c r="B159" s="31"/>
      <c r="C159" s="12"/>
      <c r="D159" s="100"/>
      <c r="E159" s="13"/>
    </row>
    <row r="160" spans="2:31" ht="15.75" customHeight="1" x14ac:dyDescent="0.25">
      <c r="B160" s="31"/>
      <c r="C160" s="12"/>
      <c r="D160" s="100"/>
      <c r="E160" s="13"/>
    </row>
    <row r="161" spans="2:5" ht="15.75" customHeight="1" x14ac:dyDescent="0.25">
      <c r="B161" s="31"/>
      <c r="C161" s="12"/>
      <c r="D161" s="100"/>
      <c r="E161" s="13"/>
    </row>
    <row r="162" spans="2:5" ht="15.75" customHeight="1" x14ac:dyDescent="0.25">
      <c r="B162" s="31"/>
      <c r="C162" s="12"/>
      <c r="D162" s="100"/>
      <c r="E162" s="13"/>
    </row>
    <row r="163" spans="2:5" ht="15.75" customHeight="1" x14ac:dyDescent="0.25">
      <c r="B163" s="31"/>
      <c r="C163" s="12"/>
      <c r="D163" s="100"/>
      <c r="E163" s="13"/>
    </row>
    <row r="164" spans="2:5" ht="15.75" customHeight="1" x14ac:dyDescent="0.25">
      <c r="B164" s="31"/>
      <c r="C164" s="12"/>
      <c r="D164" s="100"/>
      <c r="E164" s="13"/>
    </row>
    <row r="165" spans="2:5" ht="15.75" customHeight="1" x14ac:dyDescent="0.25">
      <c r="B165" s="31"/>
      <c r="C165" s="31"/>
    </row>
    <row r="166" spans="2:5" ht="15.75" customHeight="1" x14ac:dyDescent="0.25">
      <c r="B166" s="31"/>
      <c r="C166" s="31"/>
    </row>
    <row r="167" spans="2:5" ht="15.75" customHeight="1" x14ac:dyDescent="0.25">
      <c r="B167" s="31"/>
      <c r="C167" s="31"/>
    </row>
    <row r="168" spans="2:5" ht="15.75" customHeight="1" x14ac:dyDescent="0.25">
      <c r="B168" s="31"/>
      <c r="C168" s="31"/>
    </row>
    <row r="169" spans="2:5" ht="15.75" customHeight="1" x14ac:dyDescent="0.25">
      <c r="B169" s="31"/>
      <c r="C169" s="31"/>
    </row>
    <row r="170" spans="2:5" ht="15.75" customHeight="1" x14ac:dyDescent="0.25">
      <c r="B170" s="31"/>
      <c r="C170" s="31"/>
    </row>
    <row r="171" spans="2:5" ht="15.75" customHeight="1" x14ac:dyDescent="0.25">
      <c r="B171" s="31"/>
      <c r="C171" s="31"/>
    </row>
    <row r="172" spans="2:5" ht="15.75" customHeight="1" x14ac:dyDescent="0.25">
      <c r="B172" s="31"/>
      <c r="C172" s="31"/>
    </row>
    <row r="173" spans="2:5" ht="15.75" customHeight="1" x14ac:dyDescent="0.25">
      <c r="B173" s="31"/>
      <c r="C173" s="31"/>
    </row>
    <row r="174" spans="2:5" ht="15.75" customHeight="1" x14ac:dyDescent="0.25">
      <c r="B174" s="31"/>
      <c r="C174" s="31"/>
    </row>
    <row r="175" spans="2:5" ht="15.75" customHeight="1" x14ac:dyDescent="0.25">
      <c r="B175" s="31"/>
      <c r="C175" s="31"/>
    </row>
    <row r="176" spans="2:5" ht="15.75" customHeight="1" x14ac:dyDescent="0.25">
      <c r="B176" s="31"/>
      <c r="C176" s="31"/>
    </row>
    <row r="177" spans="2:33" ht="15.75" customHeight="1" x14ac:dyDescent="0.25">
      <c r="B177" s="31"/>
      <c r="C177" s="31"/>
    </row>
    <row r="178" spans="2:33" ht="15.75" customHeight="1" x14ac:dyDescent="0.25">
      <c r="B178" s="31"/>
      <c r="C178" s="31"/>
    </row>
    <row r="179" spans="2:33" ht="15.75" customHeight="1" x14ac:dyDescent="0.25">
      <c r="B179" s="31"/>
      <c r="C179" s="31"/>
    </row>
    <row r="180" spans="2:33" s="102" customFormat="1" ht="15.75" customHeight="1" x14ac:dyDescent="0.25">
      <c r="B180" s="31"/>
      <c r="C180" s="31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s="102" customFormat="1" ht="15.75" customHeight="1" x14ac:dyDescent="0.25">
      <c r="B181" s="31"/>
      <c r="C181" s="3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2:33" s="102" customFormat="1" ht="15.75" customHeight="1" x14ac:dyDescent="0.25">
      <c r="B182" s="31"/>
      <c r="C182" s="31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 spans="2:33" s="102" customFormat="1" ht="15.75" customHeight="1" x14ac:dyDescent="0.25">
      <c r="B183" s="31"/>
      <c r="C183" s="31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 spans="2:33" s="102" customFormat="1" ht="15.75" customHeight="1" x14ac:dyDescent="0.25">
      <c r="B184" s="31"/>
      <c r="C184" s="31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 spans="2:33" s="102" customFormat="1" ht="15.75" customHeight="1" x14ac:dyDescent="0.25">
      <c r="B185" s="31"/>
      <c r="C185" s="31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 spans="2:33" s="102" customFormat="1" ht="15.75" customHeight="1" x14ac:dyDescent="0.25">
      <c r="B186" s="31"/>
      <c r="C186" s="31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 spans="2:33" s="102" customFormat="1" ht="15.75" customHeight="1" x14ac:dyDescent="0.25">
      <c r="B187" s="31"/>
      <c r="C187" s="31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 spans="2:33" s="102" customFormat="1" ht="15.75" customHeight="1" x14ac:dyDescent="0.25">
      <c r="B188" s="31"/>
      <c r="C188" s="31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 spans="2:33" s="102" customFormat="1" ht="15.75" customHeight="1" x14ac:dyDescent="0.25">
      <c r="B189" s="31"/>
      <c r="C189" s="31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 spans="2:33" s="102" customFormat="1" ht="15.75" customHeight="1" x14ac:dyDescent="0.25">
      <c r="B190" s="31"/>
      <c r="C190" s="31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 spans="2:33" s="102" customFormat="1" ht="15.75" customHeight="1" x14ac:dyDescent="0.25">
      <c r="B191" s="31"/>
      <c r="C191" s="3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 spans="2:33" s="102" customFormat="1" ht="15.75" customHeight="1" x14ac:dyDescent="0.25">
      <c r="B192" s="31"/>
      <c r="C192" s="31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 spans="2:33" s="102" customFormat="1" ht="15.75" customHeight="1" x14ac:dyDescent="0.25">
      <c r="B193" s="31"/>
      <c r="C193" s="31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 spans="2:33" s="102" customFormat="1" ht="15.75" customHeight="1" x14ac:dyDescent="0.25">
      <c r="B194" s="31"/>
      <c r="C194" s="31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 spans="2:33" s="102" customFormat="1" ht="15.75" customHeight="1" x14ac:dyDescent="0.25">
      <c r="B195" s="31"/>
      <c r="C195" s="31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 spans="2:33" s="102" customFormat="1" ht="15.75" customHeight="1" x14ac:dyDescent="0.25">
      <c r="B196" s="31"/>
      <c r="C196" s="31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 spans="2:33" s="102" customFormat="1" ht="15.75" customHeight="1" x14ac:dyDescent="0.25">
      <c r="B197" s="31"/>
      <c r="C197" s="31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 spans="2:33" s="102" customFormat="1" ht="15.75" customHeight="1" x14ac:dyDescent="0.25">
      <c r="B198" s="31"/>
      <c r="C198" s="31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 spans="2:33" s="102" customFormat="1" ht="15.75" customHeight="1" x14ac:dyDescent="0.25">
      <c r="B199" s="31"/>
      <c r="C199" s="31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 spans="2:33" s="102" customFormat="1" ht="15.75" customHeight="1" x14ac:dyDescent="0.25">
      <c r="B200" s="31"/>
      <c r="C200" s="31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 spans="2:33" s="102" customFormat="1" ht="15.75" customHeight="1" x14ac:dyDescent="0.25">
      <c r="B201" s="31"/>
      <c r="C201" s="3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 spans="2:33" s="102" customFormat="1" ht="15.75" customHeight="1" x14ac:dyDescent="0.25">
      <c r="B202" s="31"/>
      <c r="C202" s="31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 spans="2:33" s="102" customFormat="1" ht="15.75" customHeight="1" x14ac:dyDescent="0.25">
      <c r="B203" s="31"/>
      <c r="C203" s="31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 spans="2:33" s="102" customFormat="1" ht="15.75" customHeight="1" x14ac:dyDescent="0.25">
      <c r="B204" s="31"/>
      <c r="C204" s="31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 spans="2:33" s="102" customFormat="1" ht="15.75" customHeight="1" x14ac:dyDescent="0.25">
      <c r="B205" s="31"/>
      <c r="C205" s="31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 spans="2:33" s="102" customFormat="1" ht="15.75" customHeight="1" x14ac:dyDescent="0.25">
      <c r="B206" s="31"/>
      <c r="C206" s="31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 spans="2:33" s="102" customFormat="1" ht="15.75" customHeight="1" x14ac:dyDescent="0.25">
      <c r="B207" s="31"/>
      <c r="C207" s="31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 spans="2:33" s="102" customFormat="1" ht="15.75" customHeight="1" x14ac:dyDescent="0.25">
      <c r="B208" s="31"/>
      <c r="C208" s="31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 spans="2:33" s="102" customFormat="1" ht="15.75" customHeight="1" x14ac:dyDescent="0.25">
      <c r="B209" s="31"/>
      <c r="C209" s="31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 spans="2:33" s="102" customFormat="1" ht="15.75" customHeight="1" x14ac:dyDescent="0.25">
      <c r="B210" s="31"/>
      <c r="C210" s="31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 spans="2:33" s="102" customFormat="1" ht="15.75" customHeight="1" x14ac:dyDescent="0.25">
      <c r="B211" s="31"/>
      <c r="C211" s="3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 spans="2:33" s="102" customFormat="1" ht="15.75" customHeight="1" x14ac:dyDescent="0.25">
      <c r="B212" s="31"/>
      <c r="C212" s="31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 spans="2:33" s="102" customFormat="1" ht="15.75" customHeight="1" x14ac:dyDescent="0.25">
      <c r="B213" s="31"/>
      <c r="C213" s="3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 spans="2:33" s="102" customFormat="1" ht="15.75" customHeight="1" x14ac:dyDescent="0.25">
      <c r="B214" s="31"/>
      <c r="C214" s="3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 spans="2:33" s="102" customFormat="1" ht="15.75" customHeight="1" x14ac:dyDescent="0.25">
      <c r="B215" s="31"/>
      <c r="C215" s="3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 spans="2:33" s="102" customFormat="1" ht="15.75" customHeight="1" x14ac:dyDescent="0.25">
      <c r="B216" s="31"/>
      <c r="C216" s="31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 spans="2:33" s="102" customFormat="1" ht="15.75" customHeight="1" x14ac:dyDescent="0.25">
      <c r="B217" s="31"/>
      <c r="C217" s="31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 spans="2:33" s="102" customFormat="1" ht="15.75" customHeight="1" x14ac:dyDescent="0.25">
      <c r="B218" s="31"/>
      <c r="C218" s="31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 spans="2:33" s="102" customFormat="1" ht="15.75" customHeight="1" x14ac:dyDescent="0.25">
      <c r="B219" s="31"/>
      <c r="C219" s="31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 spans="2:33" s="102" customFormat="1" ht="15.75" customHeight="1" x14ac:dyDescent="0.25">
      <c r="B220" s="31"/>
      <c r="C220" s="31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 spans="2:33" s="102" customFormat="1" ht="15.75" customHeight="1" x14ac:dyDescent="0.25">
      <c r="B221" s="31"/>
      <c r="C221" s="3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 spans="2:33" s="102" customFormat="1" ht="15.75" customHeight="1" x14ac:dyDescent="0.25">
      <c r="B222" s="31"/>
      <c r="C222" s="31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 spans="2:33" s="102" customFormat="1" ht="15.75" customHeight="1" x14ac:dyDescent="0.25">
      <c r="B223" s="31"/>
      <c r="C223" s="31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 spans="2:33" s="102" customFormat="1" ht="15.75" customHeight="1" x14ac:dyDescent="0.25">
      <c r="B224" s="31"/>
      <c r="C224" s="31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 spans="2:33" s="102" customFormat="1" ht="15.75" customHeight="1" x14ac:dyDescent="0.25">
      <c r="B225" s="31"/>
      <c r="C225" s="31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 spans="2:33" s="102" customFormat="1" ht="15.75" customHeight="1" x14ac:dyDescent="0.25">
      <c r="B226" s="31"/>
      <c r="C226" s="31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 spans="2:33" s="102" customFormat="1" ht="15.75" customHeight="1" x14ac:dyDescent="0.25">
      <c r="B227" s="31"/>
      <c r="C227" s="31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 spans="2:33" s="102" customFormat="1" ht="15.75" customHeight="1" x14ac:dyDescent="0.25">
      <c r="B228" s="31"/>
      <c r="C228" s="31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 spans="2:33" s="102" customFormat="1" ht="15.75" customHeight="1" x14ac:dyDescent="0.25">
      <c r="B229" s="31"/>
      <c r="C229" s="31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 spans="2:33" s="102" customFormat="1" ht="15.75" customHeight="1" x14ac:dyDescent="0.25">
      <c r="B230" s="31"/>
      <c r="C230" s="31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 spans="2:33" s="102" customFormat="1" ht="15.75" customHeight="1" x14ac:dyDescent="0.25">
      <c r="B231" s="31"/>
      <c r="C231" s="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 spans="2:33" s="102" customFormat="1" ht="15.75" customHeight="1" x14ac:dyDescent="0.25">
      <c r="B232" s="31"/>
      <c r="C232" s="31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 spans="2:33" s="102" customFormat="1" ht="15.75" customHeight="1" x14ac:dyDescent="0.25">
      <c r="B233" s="31"/>
      <c r="C233" s="31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 spans="2:33" s="102" customFormat="1" ht="15.75" customHeight="1" x14ac:dyDescent="0.25">
      <c r="B234" s="31"/>
      <c r="C234" s="31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 spans="2:33" s="102" customFormat="1" ht="15.75" customHeight="1" x14ac:dyDescent="0.25">
      <c r="B235" s="31"/>
      <c r="C235" s="31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 spans="2:33" s="102" customFormat="1" ht="15.75" customHeight="1" x14ac:dyDescent="0.25">
      <c r="B236" s="31"/>
      <c r="C236" s="31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 spans="2:33" s="102" customFormat="1" ht="15.75" customHeight="1" x14ac:dyDescent="0.25">
      <c r="B237" s="31"/>
      <c r="C237" s="31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 spans="2:33" s="102" customFormat="1" ht="15.75" customHeight="1" x14ac:dyDescent="0.25">
      <c r="B238" s="31"/>
      <c r="C238" s="31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 spans="2:33" s="102" customFormat="1" ht="15.75" customHeight="1" x14ac:dyDescent="0.25">
      <c r="B239" s="31"/>
      <c r="C239" s="31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 spans="2:33" s="102" customFormat="1" ht="15.75" customHeight="1" x14ac:dyDescent="0.25">
      <c r="B240" s="31"/>
      <c r="C240" s="31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 spans="2:33" s="102" customFormat="1" ht="15.75" customHeight="1" x14ac:dyDescent="0.25">
      <c r="B241" s="31"/>
      <c r="C241" s="3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 spans="2:33" s="102" customFormat="1" ht="15.75" customHeight="1" x14ac:dyDescent="0.25">
      <c r="B242" s="31"/>
      <c r="C242" s="31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 spans="2:33" s="102" customFormat="1" ht="15.75" customHeight="1" x14ac:dyDescent="0.25">
      <c r="B243" s="31"/>
      <c r="C243" s="31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 spans="2:33" s="102" customFormat="1" ht="15.75" customHeight="1" x14ac:dyDescent="0.25">
      <c r="B244" s="31"/>
      <c r="C244" s="31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 spans="2:33" s="102" customFormat="1" ht="15.75" customHeight="1" x14ac:dyDescent="0.25">
      <c r="B245" s="31"/>
      <c r="C245" s="31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 spans="2:33" s="102" customFormat="1" ht="15.75" customHeight="1" x14ac:dyDescent="0.25">
      <c r="B246" s="31"/>
      <c r="C246" s="31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 spans="2:33" s="102" customFormat="1" ht="15.75" customHeight="1" x14ac:dyDescent="0.25">
      <c r="B247" s="31"/>
      <c r="C247" s="31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 spans="2:33" s="102" customFormat="1" ht="15.75" customHeight="1" x14ac:dyDescent="0.25">
      <c r="B248" s="31"/>
      <c r="C248" s="31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 spans="2:33" s="102" customFormat="1" ht="15.75" customHeight="1" x14ac:dyDescent="0.25">
      <c r="B249" s="31"/>
      <c r="C249" s="31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 spans="2:33" s="102" customFormat="1" ht="15.75" customHeight="1" x14ac:dyDescent="0.25">
      <c r="B250" s="31"/>
      <c r="C250" s="31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 spans="2:33" s="102" customFormat="1" ht="15.75" customHeight="1" x14ac:dyDescent="0.25">
      <c r="B251" s="31"/>
      <c r="C251" s="3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 spans="2:33" s="102" customFormat="1" ht="15.75" customHeight="1" x14ac:dyDescent="0.25">
      <c r="B252" s="31"/>
      <c r="C252" s="31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 spans="2:33" s="102" customFormat="1" ht="15.75" customHeight="1" x14ac:dyDescent="0.25">
      <c r="B253" s="31"/>
      <c r="C253" s="31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 spans="2:33" s="102" customFormat="1" ht="15.75" customHeight="1" x14ac:dyDescent="0.25">
      <c r="B254" s="31"/>
      <c r="C254" s="31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 spans="2:33" s="102" customFormat="1" ht="15.75" customHeight="1" x14ac:dyDescent="0.25">
      <c r="B255" s="31"/>
      <c r="C255" s="31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 spans="2:33" s="102" customFormat="1" ht="15.75" customHeight="1" x14ac:dyDescent="0.25">
      <c r="B256" s="31"/>
      <c r="C256" s="31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 spans="2:33" s="102" customFormat="1" ht="15.75" customHeight="1" x14ac:dyDescent="0.25">
      <c r="B257" s="31"/>
      <c r="C257" s="31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 spans="2:33" s="102" customFormat="1" ht="15.75" customHeight="1" x14ac:dyDescent="0.25">
      <c r="B258" s="31"/>
      <c r="C258" s="31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 spans="2:33" s="102" customFormat="1" ht="15.75" customHeight="1" x14ac:dyDescent="0.25">
      <c r="B259" s="31"/>
      <c r="C259" s="31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 spans="2:33" s="102" customFormat="1" ht="15.75" customHeight="1" x14ac:dyDescent="0.25">
      <c r="B260" s="31"/>
      <c r="C260" s="31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 spans="2:33" s="102" customFormat="1" ht="15.75" customHeight="1" x14ac:dyDescent="0.25">
      <c r="B261" s="31"/>
      <c r="C261" s="3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 spans="2:33" s="102" customFormat="1" ht="15.75" customHeight="1" x14ac:dyDescent="0.25">
      <c r="B262" s="31"/>
      <c r="C262" s="31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 spans="2:33" s="102" customFormat="1" ht="15.75" customHeight="1" x14ac:dyDescent="0.25">
      <c r="B263" s="31"/>
      <c r="C263" s="31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 spans="2:33" s="102" customFormat="1" ht="15.75" customHeight="1" x14ac:dyDescent="0.25">
      <c r="B264" s="31"/>
      <c r="C264" s="31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 spans="2:33" s="102" customFormat="1" ht="15.75" customHeight="1" x14ac:dyDescent="0.25">
      <c r="B265" s="31"/>
      <c r="C265" s="31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 spans="2:33" s="102" customFormat="1" ht="15.75" customHeight="1" x14ac:dyDescent="0.25">
      <c r="B266" s="31"/>
      <c r="C266" s="31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 spans="2:33" s="102" customFormat="1" ht="15.75" customHeight="1" x14ac:dyDescent="0.25">
      <c r="B267" s="31"/>
      <c r="C267" s="31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 spans="2:33" s="102" customFormat="1" ht="15.75" customHeight="1" x14ac:dyDescent="0.25">
      <c r="B268" s="31"/>
      <c r="C268" s="31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 spans="2:33" s="102" customFormat="1" ht="15.75" customHeight="1" x14ac:dyDescent="0.25">
      <c r="B269" s="31"/>
      <c r="C269" s="31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 spans="2:33" s="102" customFormat="1" ht="15.75" customHeight="1" x14ac:dyDescent="0.25">
      <c r="B270" s="31"/>
      <c r="C270" s="31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 spans="2:33" s="102" customFormat="1" ht="15.75" customHeight="1" x14ac:dyDescent="0.25">
      <c r="B271" s="31"/>
      <c r="C271" s="3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 spans="2:33" s="102" customFormat="1" ht="15.75" customHeight="1" x14ac:dyDescent="0.25">
      <c r="B272" s="31"/>
      <c r="C272" s="31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 spans="2:33" s="102" customFormat="1" ht="15.75" customHeight="1" x14ac:dyDescent="0.25">
      <c r="B273" s="31"/>
      <c r="C273" s="31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 spans="2:33" s="102" customFormat="1" ht="15.75" customHeight="1" x14ac:dyDescent="0.25">
      <c r="B274" s="31"/>
      <c r="C274" s="31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 spans="2:33" s="102" customFormat="1" ht="15.75" customHeight="1" x14ac:dyDescent="0.25">
      <c r="B275" s="31"/>
      <c r="C275" s="31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 spans="2:33" s="102" customFormat="1" ht="15.75" customHeight="1" x14ac:dyDescent="0.25">
      <c r="B276" s="31"/>
      <c r="C276" s="31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 spans="2:33" s="102" customFormat="1" ht="15.75" customHeight="1" x14ac:dyDescent="0.25">
      <c r="B277" s="31"/>
      <c r="C277" s="31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 spans="2:33" s="102" customFormat="1" ht="15.75" customHeight="1" x14ac:dyDescent="0.25">
      <c r="B278" s="31"/>
      <c r="C278" s="31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 spans="2:33" s="102" customFormat="1" ht="15.75" customHeight="1" x14ac:dyDescent="0.25">
      <c r="B279" s="31"/>
      <c r="C279" s="31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 spans="2:33" s="102" customFormat="1" ht="15.75" customHeight="1" x14ac:dyDescent="0.25">
      <c r="B280" s="31"/>
      <c r="C280" s="31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 spans="2:33" s="102" customFormat="1" ht="15.75" customHeight="1" x14ac:dyDescent="0.25">
      <c r="B281" s="31"/>
      <c r="C281" s="3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 spans="2:33" s="102" customFormat="1" ht="15.75" customHeight="1" x14ac:dyDescent="0.25">
      <c r="B282" s="31"/>
      <c r="C282" s="31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 spans="2:33" s="102" customFormat="1" ht="15.75" customHeight="1" x14ac:dyDescent="0.25">
      <c r="B283" s="31"/>
      <c r="C283" s="31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 spans="2:33" s="102" customFormat="1" ht="15.75" customHeight="1" x14ac:dyDescent="0.25">
      <c r="B284" s="31"/>
      <c r="C284" s="31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 spans="2:33" s="102" customFormat="1" ht="15.75" customHeight="1" x14ac:dyDescent="0.25">
      <c r="B285" s="31"/>
      <c r="C285" s="31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 spans="2:33" s="102" customFormat="1" ht="15.75" customHeight="1" x14ac:dyDescent="0.25">
      <c r="B286" s="31"/>
      <c r="C286" s="31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 spans="2:33" s="102" customFormat="1" ht="15.75" customHeight="1" x14ac:dyDescent="0.25">
      <c r="B287" s="31"/>
      <c r="C287" s="31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 spans="2:33" s="102" customFormat="1" ht="15.75" customHeight="1" x14ac:dyDescent="0.25">
      <c r="B288" s="31"/>
      <c r="C288" s="31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 spans="2:33" s="102" customFormat="1" ht="15.75" customHeight="1" x14ac:dyDescent="0.25">
      <c r="B289" s="31"/>
      <c r="C289" s="31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 spans="2:33" s="102" customFormat="1" ht="15.75" customHeight="1" x14ac:dyDescent="0.25">
      <c r="B290" s="31"/>
      <c r="C290" s="31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 spans="2:33" s="102" customFormat="1" ht="15.75" customHeight="1" x14ac:dyDescent="0.25">
      <c r="B291" s="31"/>
      <c r="C291" s="3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 spans="2:33" s="102" customFormat="1" ht="15.75" customHeight="1" x14ac:dyDescent="0.25">
      <c r="B292" s="31"/>
      <c r="C292" s="31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 spans="2:33" s="102" customFormat="1" ht="15.75" customHeight="1" x14ac:dyDescent="0.25">
      <c r="B293" s="31"/>
      <c r="C293" s="31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 spans="2:33" s="102" customFormat="1" ht="15.75" customHeight="1" x14ac:dyDescent="0.25">
      <c r="B294" s="31"/>
      <c r="C294" s="31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 spans="2:33" s="102" customFormat="1" ht="15.75" customHeight="1" x14ac:dyDescent="0.25">
      <c r="B295" s="31"/>
      <c r="C295" s="31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 spans="2:33" s="102" customFormat="1" ht="15.75" customHeight="1" x14ac:dyDescent="0.25">
      <c r="B296" s="31"/>
      <c r="C296" s="31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 spans="2:33" s="102" customFormat="1" ht="15.75" customHeight="1" x14ac:dyDescent="0.25">
      <c r="B297" s="31"/>
      <c r="C297" s="31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 spans="2:33" s="102" customFormat="1" ht="15.75" customHeight="1" x14ac:dyDescent="0.25">
      <c r="B298" s="31"/>
      <c r="C298" s="31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 spans="2:33" s="102" customFormat="1" ht="15.75" customHeight="1" x14ac:dyDescent="0.25">
      <c r="B299" s="31"/>
      <c r="C299" s="31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 spans="2:33" s="102" customFormat="1" ht="15.75" customHeight="1" x14ac:dyDescent="0.25">
      <c r="B300" s="31"/>
      <c r="C300" s="31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 spans="2:33" s="102" customFormat="1" ht="15.75" customHeight="1" x14ac:dyDescent="0.25">
      <c r="B301" s="31"/>
      <c r="C301" s="3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 spans="2:33" s="102" customFormat="1" ht="15.75" customHeight="1" x14ac:dyDescent="0.25">
      <c r="B302" s="31"/>
      <c r="C302" s="31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 spans="2:33" s="102" customFormat="1" ht="15.75" customHeight="1" x14ac:dyDescent="0.25">
      <c r="B303" s="31"/>
      <c r="C303" s="31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 spans="2:33" s="102" customFormat="1" ht="15.75" customHeight="1" x14ac:dyDescent="0.25">
      <c r="B304" s="31"/>
      <c r="C304" s="31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 spans="2:33" s="102" customFormat="1" ht="15.75" customHeight="1" x14ac:dyDescent="0.25">
      <c r="B305" s="31"/>
      <c r="C305" s="31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 spans="2:33" s="102" customFormat="1" ht="15.75" customHeight="1" x14ac:dyDescent="0.25">
      <c r="B306" s="31"/>
      <c r="C306" s="31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 spans="2:33" s="102" customFormat="1" ht="15.75" customHeight="1" x14ac:dyDescent="0.25">
      <c r="B307" s="31"/>
      <c r="C307" s="31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 spans="2:33" s="102" customFormat="1" ht="15.75" customHeight="1" x14ac:dyDescent="0.25">
      <c r="B308" s="31"/>
      <c r="C308" s="31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 spans="2:33" s="102" customFormat="1" ht="15.75" customHeight="1" x14ac:dyDescent="0.25">
      <c r="B309" s="31"/>
      <c r="C309" s="31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 spans="2:33" s="102" customFormat="1" ht="15.75" customHeight="1" x14ac:dyDescent="0.25">
      <c r="B310" s="31"/>
      <c r="C310" s="31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 spans="2:33" s="102" customFormat="1" ht="15.75" customHeight="1" x14ac:dyDescent="0.25">
      <c r="B311" s="31"/>
      <c r="C311" s="3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 spans="2:33" s="102" customFormat="1" ht="15.75" customHeight="1" x14ac:dyDescent="0.25">
      <c r="B312" s="31"/>
      <c r="C312" s="31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 spans="2:33" s="102" customFormat="1" ht="15.75" customHeight="1" x14ac:dyDescent="0.25">
      <c r="B313" s="31"/>
      <c r="C313" s="31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 spans="2:33" s="102" customFormat="1" ht="15.75" customHeight="1" x14ac:dyDescent="0.25">
      <c r="B314" s="31"/>
      <c r="C314" s="31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 spans="2:33" s="102" customFormat="1" ht="15.75" customHeight="1" x14ac:dyDescent="0.25">
      <c r="B315" s="31"/>
      <c r="C315" s="31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 spans="2:33" s="102" customFormat="1" ht="15.75" customHeight="1" x14ac:dyDescent="0.25">
      <c r="B316" s="31"/>
      <c r="C316" s="31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 spans="2:33" s="102" customFormat="1" ht="15.75" customHeight="1" x14ac:dyDescent="0.25">
      <c r="B317" s="31"/>
      <c r="C317" s="31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 spans="2:33" s="102" customFormat="1" ht="15.75" customHeight="1" x14ac:dyDescent="0.25">
      <c r="B318" s="31"/>
      <c r="C318" s="31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 spans="2:33" s="102" customFormat="1" ht="15.75" customHeight="1" x14ac:dyDescent="0.25">
      <c r="B319" s="31"/>
      <c r="C319" s="31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 spans="2:33" s="102" customFormat="1" ht="15.75" customHeight="1" x14ac:dyDescent="0.25">
      <c r="B320" s="31"/>
      <c r="C320" s="31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 spans="2:33" s="102" customFormat="1" ht="15.75" customHeight="1" x14ac:dyDescent="0.25">
      <c r="B321" s="31"/>
      <c r="C321" s="3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 spans="2:33" s="102" customFormat="1" ht="15.75" customHeight="1" x14ac:dyDescent="0.25">
      <c r="B322" s="31"/>
      <c r="C322" s="31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 spans="2:33" s="102" customFormat="1" ht="15.75" customHeight="1" x14ac:dyDescent="0.25">
      <c r="B323" s="31"/>
      <c r="C323" s="31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 spans="2:33" s="102" customFormat="1" ht="15.75" customHeight="1" x14ac:dyDescent="0.25">
      <c r="B324" s="31"/>
      <c r="C324" s="31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 spans="2:33" s="102" customFormat="1" ht="15.75" customHeight="1" x14ac:dyDescent="0.25">
      <c r="B325" s="31"/>
      <c r="C325" s="31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 spans="2:33" s="102" customFormat="1" ht="15.75" customHeight="1" x14ac:dyDescent="0.25">
      <c r="B326" s="31"/>
      <c r="C326" s="31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 spans="2:33" s="102" customFormat="1" ht="15.75" customHeight="1" x14ac:dyDescent="0.25">
      <c r="B327" s="31"/>
      <c r="C327" s="31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 spans="2:33" s="102" customFormat="1" ht="15.75" customHeight="1" x14ac:dyDescent="0.25">
      <c r="B328" s="31"/>
      <c r="C328" s="31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 spans="2:33" s="102" customFormat="1" ht="15.75" customHeight="1" x14ac:dyDescent="0.25">
      <c r="B329" s="31"/>
      <c r="C329" s="31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 spans="2:33" s="102" customFormat="1" ht="15.75" customHeight="1" x14ac:dyDescent="0.25">
      <c r="B330" s="31"/>
      <c r="C330" s="31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 spans="2:33" s="102" customFormat="1" ht="15.75" customHeight="1" x14ac:dyDescent="0.25">
      <c r="B331" s="31"/>
      <c r="C331" s="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 spans="2:33" s="102" customFormat="1" ht="15.75" customHeight="1" x14ac:dyDescent="0.25">
      <c r="B332" s="31"/>
      <c r="C332" s="31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 spans="2:33" s="102" customFormat="1" ht="15.75" customHeight="1" x14ac:dyDescent="0.25">
      <c r="B333" s="31"/>
      <c r="C333" s="31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 spans="2:33" s="102" customFormat="1" ht="15.75" customHeight="1" x14ac:dyDescent="0.25">
      <c r="B334" s="31"/>
      <c r="C334" s="31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 spans="2:33" s="102" customFormat="1" ht="15.75" customHeight="1" x14ac:dyDescent="0.25">
      <c r="B335" s="31"/>
      <c r="C335" s="31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 spans="2:33" s="102" customFormat="1" ht="15.75" customHeight="1" x14ac:dyDescent="0.25">
      <c r="B336" s="31"/>
      <c r="C336" s="31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 spans="2:33" s="102" customFormat="1" ht="15.75" customHeight="1" x14ac:dyDescent="0.25">
      <c r="B337" s="31"/>
      <c r="C337" s="31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 spans="2:33" s="102" customFormat="1" ht="15.75" customHeight="1" x14ac:dyDescent="0.25">
      <c r="B338" s="31"/>
      <c r="C338" s="31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 spans="2:33" s="102" customFormat="1" ht="15.75" customHeight="1" x14ac:dyDescent="0.25">
      <c r="B339" s="31"/>
      <c r="C339" s="31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 spans="2:33" s="102" customFormat="1" ht="15.75" customHeight="1" x14ac:dyDescent="0.25">
      <c r="B340" s="31"/>
      <c r="C340" s="31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 spans="2:33" s="102" customFormat="1" ht="15.75" customHeight="1" x14ac:dyDescent="0.25">
      <c r="B341" s="31"/>
      <c r="C341" s="3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 spans="2:33" s="102" customFormat="1" ht="15.75" customHeight="1" x14ac:dyDescent="0.25">
      <c r="B342" s="31"/>
      <c r="C342" s="31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 spans="2:33" s="102" customFormat="1" ht="15.75" customHeight="1" x14ac:dyDescent="0.25">
      <c r="B343" s="31"/>
      <c r="C343" s="31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 spans="2:33" s="102" customFormat="1" ht="15.75" customHeight="1" x14ac:dyDescent="0.25">
      <c r="B344" s="31"/>
      <c r="C344" s="31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 spans="2:33" s="102" customFormat="1" ht="15.75" customHeight="1" x14ac:dyDescent="0.25">
      <c r="B345" s="31"/>
      <c r="C345" s="31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 spans="2:33" s="102" customFormat="1" ht="15.75" customHeight="1" x14ac:dyDescent="0.25">
      <c r="B346" s="31"/>
      <c r="C346" s="31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 spans="2:33" s="102" customFormat="1" ht="15.75" customHeight="1" x14ac:dyDescent="0.25">
      <c r="B347" s="31"/>
      <c r="C347" s="31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 spans="2:33" s="102" customFormat="1" ht="15.75" customHeight="1" x14ac:dyDescent="0.25">
      <c r="B348" s="31"/>
      <c r="C348" s="31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 spans="2:33" s="102" customFormat="1" ht="15.75" customHeight="1" x14ac:dyDescent="0.25">
      <c r="B349" s="31"/>
      <c r="C349" s="31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 spans="2:33" s="102" customFormat="1" ht="15.75" customHeight="1" x14ac:dyDescent="0.25">
      <c r="B350" s="31"/>
      <c r="C350" s="31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 spans="2:33" s="102" customFormat="1" ht="15.75" customHeight="1" x14ac:dyDescent="0.25">
      <c r="B351" s="31"/>
      <c r="C351" s="3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 spans="2:33" s="102" customFormat="1" ht="15.75" customHeight="1" x14ac:dyDescent="0.25">
      <c r="B352" s="31"/>
      <c r="C352" s="31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 spans="2:33" s="102" customFormat="1" ht="15.75" customHeight="1" x14ac:dyDescent="0.25">
      <c r="B353" s="31"/>
      <c r="C353" s="31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 spans="2:33" s="102" customFormat="1" ht="15.75" customHeight="1" x14ac:dyDescent="0.25">
      <c r="B354" s="31"/>
      <c r="C354" s="31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 spans="2:33" s="102" customFormat="1" ht="15.75" customHeight="1" x14ac:dyDescent="0.25">
      <c r="B355" s="31"/>
      <c r="C355" s="31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 spans="2:33" s="102" customFormat="1" ht="15.75" customHeight="1" x14ac:dyDescent="0.25">
      <c r="B356" s="31"/>
      <c r="C356" s="31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 spans="2:33" s="102" customFormat="1" ht="15.75" customHeight="1" x14ac:dyDescent="0.25">
      <c r="B357" s="31"/>
      <c r="C357" s="31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 spans="2:33" s="102" customFormat="1" ht="15.75" customHeight="1" x14ac:dyDescent="0.25">
      <c r="B358" s="31"/>
      <c r="C358" s="31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 spans="2:33" s="102" customFormat="1" ht="15.75" customHeight="1" x14ac:dyDescent="0.25">
      <c r="B359" s="31"/>
      <c r="C359" s="31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2:33" s="102" customFormat="1" ht="15.75" customHeight="1" x14ac:dyDescent="0.25">
      <c r="B360" s="31"/>
      <c r="C360" s="31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2:33" s="102" customFormat="1" ht="15.75" customHeight="1" x14ac:dyDescent="0.25">
      <c r="B361" s="31"/>
      <c r="C361" s="3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2:33" s="102" customFormat="1" ht="15.75" customHeight="1" x14ac:dyDescent="0.25">
      <c r="B362" s="31"/>
      <c r="C362" s="31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2:33" s="102" customFormat="1" ht="15.75" customHeight="1" x14ac:dyDescent="0.25">
      <c r="B363" s="31"/>
      <c r="C363" s="31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2:33" s="102" customFormat="1" ht="15.75" customHeight="1" x14ac:dyDescent="0.25">
      <c r="B364" s="31"/>
      <c r="C364" s="31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2:33" s="102" customFormat="1" ht="15.75" customHeight="1" x14ac:dyDescent="0.25">
      <c r="B365" s="31"/>
      <c r="C365" s="31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2:33" s="102" customFormat="1" ht="15.75" customHeight="1" x14ac:dyDescent="0.25">
      <c r="B366" s="31"/>
      <c r="C366" s="31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 spans="2:33" s="102" customFormat="1" ht="15.75" customHeight="1" x14ac:dyDescent="0.25">
      <c r="B367" s="31"/>
      <c r="C367" s="31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 spans="2:33" s="102" customFormat="1" ht="15.75" customHeight="1" x14ac:dyDescent="0.25">
      <c r="B368" s="31"/>
      <c r="C368" s="31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2:33" s="102" customFormat="1" ht="15.75" customHeight="1" x14ac:dyDescent="0.25">
      <c r="B369" s="31"/>
      <c r="C369" s="31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2:33" s="102" customFormat="1" ht="15.75" customHeight="1" x14ac:dyDescent="0.25">
      <c r="B370" s="31"/>
      <c r="C370" s="31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2:33" s="102" customFormat="1" ht="15.75" customHeight="1" x14ac:dyDescent="0.25">
      <c r="B371" s="31"/>
      <c r="C371" s="3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2:33" s="102" customFormat="1" ht="15.75" customHeight="1" x14ac:dyDescent="0.25">
      <c r="B372" s="31"/>
      <c r="C372" s="31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2:33" s="102" customFormat="1" ht="15.75" customHeight="1" x14ac:dyDescent="0.25">
      <c r="B373" s="31"/>
      <c r="C373" s="31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2:33" s="102" customFormat="1" ht="15.75" customHeight="1" x14ac:dyDescent="0.25">
      <c r="B374" s="31"/>
      <c r="C374" s="31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2:33" s="102" customFormat="1" ht="15.75" customHeight="1" x14ac:dyDescent="0.25">
      <c r="B375" s="31"/>
      <c r="C375" s="31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 spans="2:33" s="102" customFormat="1" ht="15.75" customHeight="1" x14ac:dyDescent="0.25">
      <c r="B376" s="31"/>
      <c r="C376" s="31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 spans="2:33" s="102" customFormat="1" ht="15.75" customHeight="1" x14ac:dyDescent="0.25">
      <c r="B377" s="31"/>
      <c r="C377" s="31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 spans="2:33" s="102" customFormat="1" ht="15.75" customHeight="1" x14ac:dyDescent="0.25">
      <c r="B378" s="31"/>
      <c r="C378" s="31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 spans="2:33" s="102" customFormat="1" ht="15.75" customHeight="1" x14ac:dyDescent="0.25">
      <c r="B379" s="31"/>
      <c r="C379" s="31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 spans="2:33" s="102" customFormat="1" ht="15.75" customHeight="1" x14ac:dyDescent="0.25">
      <c r="B380" s="31"/>
      <c r="C380" s="31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 spans="2:33" s="102" customFormat="1" ht="15.75" customHeight="1" x14ac:dyDescent="0.25">
      <c r="B381" s="31"/>
      <c r="C381" s="3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 spans="2:33" s="102" customFormat="1" ht="15.75" customHeight="1" x14ac:dyDescent="0.25">
      <c r="B382" s="31"/>
      <c r="C382" s="31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 spans="2:33" s="102" customFormat="1" ht="15.75" customHeight="1" x14ac:dyDescent="0.25">
      <c r="B383" s="31"/>
      <c r="C383" s="31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 spans="2:33" s="102" customFormat="1" ht="15.75" customHeight="1" x14ac:dyDescent="0.25">
      <c r="B384" s="31"/>
      <c r="C384" s="31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 spans="2:33" s="102" customFormat="1" ht="15.75" customHeight="1" x14ac:dyDescent="0.25">
      <c r="B385" s="31"/>
      <c r="C385" s="31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 spans="2:33" s="102" customFormat="1" ht="15.75" customHeight="1" x14ac:dyDescent="0.25">
      <c r="B386" s="31"/>
      <c r="C386" s="31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 spans="2:33" s="102" customFormat="1" ht="15.75" customHeight="1" x14ac:dyDescent="0.25">
      <c r="B387" s="31"/>
      <c r="C387" s="31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 spans="2:33" s="102" customFormat="1" ht="15.75" customHeight="1" x14ac:dyDescent="0.25">
      <c r="B388" s="31"/>
      <c r="C388" s="31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 spans="2:33" s="102" customFormat="1" ht="15.75" customHeight="1" x14ac:dyDescent="0.25">
      <c r="B389" s="31"/>
      <c r="C389" s="31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 spans="2:33" s="102" customFormat="1" ht="15.75" customHeight="1" x14ac:dyDescent="0.25">
      <c r="B390" s="31"/>
      <c r="C390" s="31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 spans="2:33" s="102" customFormat="1" ht="15.75" customHeight="1" x14ac:dyDescent="0.25">
      <c r="B391" s="31"/>
      <c r="C391" s="3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 spans="2:33" s="102" customFormat="1" ht="15.75" customHeight="1" x14ac:dyDescent="0.25">
      <c r="B392" s="31"/>
      <c r="C392" s="31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 spans="2:33" s="102" customFormat="1" ht="15.75" customHeight="1" x14ac:dyDescent="0.25">
      <c r="B393" s="31"/>
      <c r="C393" s="31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 spans="2:33" s="102" customFormat="1" ht="15.75" customHeight="1" x14ac:dyDescent="0.25">
      <c r="B394" s="31"/>
      <c r="C394" s="31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 spans="2:33" s="102" customFormat="1" ht="15.75" customHeight="1" x14ac:dyDescent="0.25">
      <c r="B395" s="31"/>
      <c r="C395" s="31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 spans="2:33" s="102" customFormat="1" ht="15.75" customHeight="1" x14ac:dyDescent="0.25">
      <c r="B396" s="31"/>
      <c r="C396" s="31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 spans="2:33" s="102" customFormat="1" ht="15.75" customHeight="1" x14ac:dyDescent="0.25">
      <c r="B397" s="31"/>
      <c r="C397" s="31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 spans="2:33" s="102" customFormat="1" ht="15.75" customHeight="1" x14ac:dyDescent="0.25">
      <c r="B398" s="31"/>
      <c r="C398" s="31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 spans="2:33" s="102" customFormat="1" ht="15.75" customHeight="1" x14ac:dyDescent="0.25">
      <c r="B399" s="31"/>
      <c r="C399" s="31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 spans="2:33" s="102" customFormat="1" ht="15.75" customHeight="1" x14ac:dyDescent="0.25">
      <c r="B400" s="31"/>
      <c r="C400" s="31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 spans="2:33" s="102" customFormat="1" ht="15.75" customHeight="1" x14ac:dyDescent="0.25">
      <c r="B401" s="31"/>
      <c r="C401" s="3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 spans="2:33" s="102" customFormat="1" ht="15.75" customHeight="1" x14ac:dyDescent="0.25">
      <c r="B402" s="31"/>
      <c r="C402" s="31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 spans="2:33" s="102" customFormat="1" ht="15.75" customHeight="1" x14ac:dyDescent="0.25">
      <c r="B403" s="31"/>
      <c r="C403" s="31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 spans="2:33" s="102" customFormat="1" ht="15.75" customHeight="1" x14ac:dyDescent="0.25">
      <c r="B404" s="31"/>
      <c r="C404" s="31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 spans="2:33" s="102" customFormat="1" ht="15.75" customHeight="1" x14ac:dyDescent="0.25">
      <c r="B405" s="31"/>
      <c r="C405" s="31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 spans="2:33" s="102" customFormat="1" ht="15.75" customHeight="1" x14ac:dyDescent="0.25">
      <c r="B406" s="31"/>
      <c r="C406" s="31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 spans="2:33" s="102" customFormat="1" ht="15.75" customHeight="1" x14ac:dyDescent="0.25">
      <c r="B407" s="31"/>
      <c r="C407" s="31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 spans="2:33" s="102" customFormat="1" ht="15.75" customHeight="1" x14ac:dyDescent="0.25">
      <c r="B408" s="31"/>
      <c r="C408" s="31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 spans="2:33" s="102" customFormat="1" ht="15.75" customHeight="1" x14ac:dyDescent="0.25">
      <c r="B409" s="31"/>
      <c r="C409" s="31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 spans="2:33" s="102" customFormat="1" ht="15.75" customHeight="1" x14ac:dyDescent="0.25">
      <c r="B410" s="31"/>
      <c r="C410" s="31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 spans="2:33" s="102" customFormat="1" ht="15.75" customHeight="1" x14ac:dyDescent="0.25">
      <c r="B411" s="31"/>
      <c r="C411" s="3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 spans="2:33" s="102" customFormat="1" ht="15.75" customHeight="1" x14ac:dyDescent="0.25">
      <c r="B412" s="31"/>
      <c r="C412" s="31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 spans="2:33" s="102" customFormat="1" ht="15.75" customHeight="1" x14ac:dyDescent="0.25">
      <c r="B413" s="31"/>
      <c r="C413" s="31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 spans="2:33" s="102" customFormat="1" ht="15.75" customHeight="1" x14ac:dyDescent="0.25">
      <c r="B414" s="31"/>
      <c r="C414" s="31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 spans="2:33" s="102" customFormat="1" ht="15.75" customHeight="1" x14ac:dyDescent="0.25">
      <c r="B415" s="31"/>
      <c r="C415" s="31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 spans="2:33" s="102" customFormat="1" ht="15.75" customHeight="1" x14ac:dyDescent="0.25">
      <c r="B416" s="31"/>
      <c r="C416" s="31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 spans="2:33" s="102" customFormat="1" ht="15.75" customHeight="1" x14ac:dyDescent="0.25">
      <c r="B417" s="31"/>
      <c r="C417" s="31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 spans="2:33" s="102" customFormat="1" ht="15.75" customHeight="1" x14ac:dyDescent="0.25">
      <c r="B418" s="31"/>
      <c r="C418" s="31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 spans="2:33" s="102" customFormat="1" ht="15.75" customHeight="1" x14ac:dyDescent="0.25">
      <c r="B419" s="31"/>
      <c r="C419" s="31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 spans="2:33" s="102" customFormat="1" ht="15.75" customHeight="1" x14ac:dyDescent="0.25">
      <c r="B420" s="31"/>
      <c r="C420" s="31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 spans="2:33" s="102" customFormat="1" ht="15.75" customHeight="1" x14ac:dyDescent="0.25">
      <c r="B421" s="31"/>
      <c r="C421" s="3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 spans="2:33" s="102" customFormat="1" ht="15.75" customHeight="1" x14ac:dyDescent="0.25">
      <c r="B422" s="31"/>
      <c r="C422" s="31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 spans="2:33" s="102" customFormat="1" ht="15.75" customHeight="1" x14ac:dyDescent="0.25">
      <c r="B423" s="31"/>
      <c r="C423" s="31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 spans="2:33" s="102" customFormat="1" ht="15.75" customHeight="1" x14ac:dyDescent="0.25">
      <c r="B424" s="31"/>
      <c r="C424" s="31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 spans="2:33" s="102" customFormat="1" ht="15.75" customHeight="1" x14ac:dyDescent="0.25">
      <c r="B425" s="31"/>
      <c r="C425" s="31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 spans="2:33" s="102" customFormat="1" ht="15.75" customHeight="1" x14ac:dyDescent="0.25">
      <c r="B426" s="31"/>
      <c r="C426" s="31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 spans="2:33" s="102" customFormat="1" ht="15.75" customHeight="1" x14ac:dyDescent="0.25">
      <c r="B427" s="31"/>
      <c r="C427" s="31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 spans="2:33" s="102" customFormat="1" ht="15.75" customHeight="1" x14ac:dyDescent="0.25">
      <c r="B428" s="31"/>
      <c r="C428" s="31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 spans="2:33" s="102" customFormat="1" ht="15.75" customHeight="1" x14ac:dyDescent="0.25">
      <c r="B429" s="31"/>
      <c r="C429" s="31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 spans="2:33" s="102" customFormat="1" ht="15.75" customHeight="1" x14ac:dyDescent="0.25">
      <c r="B430" s="31"/>
      <c r="C430" s="31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 spans="2:33" s="102" customFormat="1" ht="15.75" customHeight="1" x14ac:dyDescent="0.25">
      <c r="B431" s="31"/>
      <c r="C431" s="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 spans="2:33" s="102" customFormat="1" ht="15.75" customHeight="1" x14ac:dyDescent="0.25">
      <c r="B432" s="31"/>
      <c r="C432" s="31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 spans="2:33" s="102" customFormat="1" ht="15.75" customHeight="1" x14ac:dyDescent="0.25">
      <c r="B433" s="31"/>
      <c r="C433" s="31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 spans="2:33" s="102" customFormat="1" ht="15.75" customHeight="1" x14ac:dyDescent="0.25">
      <c r="B434" s="31"/>
      <c r="C434" s="31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 spans="2:33" s="102" customFormat="1" ht="15.75" customHeight="1" x14ac:dyDescent="0.25">
      <c r="B435" s="31"/>
      <c r="C435" s="31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 spans="2:33" s="102" customFormat="1" ht="15.75" customHeight="1" x14ac:dyDescent="0.25">
      <c r="B436" s="31"/>
      <c r="C436" s="31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 spans="2:33" s="102" customFormat="1" ht="15.75" customHeight="1" x14ac:dyDescent="0.25">
      <c r="B437" s="31"/>
      <c r="C437" s="31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 spans="2:33" s="102" customFormat="1" ht="15.75" customHeight="1" x14ac:dyDescent="0.25">
      <c r="B438" s="31"/>
      <c r="C438" s="31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 spans="2:33" s="102" customFormat="1" ht="15.75" customHeight="1" x14ac:dyDescent="0.25">
      <c r="B439" s="31"/>
      <c r="C439" s="31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 spans="2:33" s="102" customFormat="1" ht="15.75" customHeight="1" x14ac:dyDescent="0.25">
      <c r="B440" s="31"/>
      <c r="C440" s="31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 spans="2:33" s="102" customFormat="1" ht="15.75" customHeight="1" x14ac:dyDescent="0.25">
      <c r="B441" s="31"/>
      <c r="C441" s="3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 spans="2:33" s="102" customFormat="1" ht="15.75" customHeight="1" x14ac:dyDescent="0.25">
      <c r="B442" s="31"/>
      <c r="C442" s="31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 spans="2:33" s="102" customFormat="1" ht="15.75" customHeight="1" x14ac:dyDescent="0.25">
      <c r="B443" s="31"/>
      <c r="C443" s="31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 spans="2:33" s="102" customFormat="1" ht="15.75" customHeight="1" x14ac:dyDescent="0.25">
      <c r="B444" s="31"/>
      <c r="C444" s="31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 spans="2:33" s="102" customFormat="1" ht="15.75" customHeight="1" x14ac:dyDescent="0.25">
      <c r="B445" s="31"/>
      <c r="C445" s="31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 spans="2:33" s="102" customFormat="1" ht="15.75" customHeight="1" x14ac:dyDescent="0.25">
      <c r="B446" s="31"/>
      <c r="C446" s="31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 spans="2:33" s="102" customFormat="1" ht="15.75" customHeight="1" x14ac:dyDescent="0.25">
      <c r="B447" s="31"/>
      <c r="C447" s="31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 spans="2:33" s="102" customFormat="1" ht="15.75" customHeight="1" x14ac:dyDescent="0.25">
      <c r="B448" s="31"/>
      <c r="C448" s="31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 spans="2:33" s="102" customFormat="1" ht="15.75" customHeight="1" x14ac:dyDescent="0.25">
      <c r="B449" s="31"/>
      <c r="C449" s="31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 spans="2:33" s="102" customFormat="1" ht="15.75" customHeight="1" x14ac:dyDescent="0.25">
      <c r="B450" s="31"/>
      <c r="C450" s="31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 spans="2:33" s="102" customFormat="1" ht="15.75" customHeight="1" x14ac:dyDescent="0.25">
      <c r="B451" s="31"/>
      <c r="C451" s="3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 spans="2:33" s="102" customFormat="1" ht="15.75" customHeight="1" x14ac:dyDescent="0.25">
      <c r="B452" s="31"/>
      <c r="C452" s="31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 spans="2:33" s="102" customFormat="1" ht="15.75" customHeight="1" x14ac:dyDescent="0.25">
      <c r="B453" s="31"/>
      <c r="C453" s="31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 spans="2:33" s="102" customFormat="1" ht="15.75" customHeight="1" x14ac:dyDescent="0.25">
      <c r="B454" s="31"/>
      <c r="C454" s="31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 spans="2:33" s="102" customFormat="1" ht="15.75" customHeight="1" x14ac:dyDescent="0.25">
      <c r="B455" s="31"/>
      <c r="C455" s="31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 spans="2:33" s="102" customFormat="1" ht="15.75" customHeight="1" x14ac:dyDescent="0.25">
      <c r="B456" s="31"/>
      <c r="C456" s="31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 spans="2:33" s="102" customFormat="1" ht="15.75" customHeight="1" x14ac:dyDescent="0.25">
      <c r="B457" s="31"/>
      <c r="C457" s="31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 spans="2:33" s="102" customFormat="1" ht="15.75" customHeight="1" x14ac:dyDescent="0.25">
      <c r="B458" s="31"/>
      <c r="C458" s="31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 spans="2:33" s="102" customFormat="1" ht="15.75" customHeight="1" x14ac:dyDescent="0.25">
      <c r="B459" s="31"/>
      <c r="C459" s="31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 spans="2:33" s="102" customFormat="1" ht="15.75" customHeight="1" x14ac:dyDescent="0.25">
      <c r="B460" s="31"/>
      <c r="C460" s="31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 spans="2:33" s="102" customFormat="1" ht="15.75" customHeight="1" x14ac:dyDescent="0.25">
      <c r="B461" s="31"/>
      <c r="C461" s="3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 spans="2:33" s="102" customFormat="1" ht="15.75" customHeight="1" x14ac:dyDescent="0.25">
      <c r="B462" s="31"/>
      <c r="C462" s="31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 spans="2:33" s="102" customFormat="1" ht="15.75" customHeight="1" x14ac:dyDescent="0.25">
      <c r="B463" s="31"/>
      <c r="C463" s="31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 spans="2:33" s="102" customFormat="1" ht="15.75" customHeight="1" x14ac:dyDescent="0.25">
      <c r="B464" s="31"/>
      <c r="C464" s="31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 spans="2:33" s="102" customFormat="1" ht="15.75" customHeight="1" x14ac:dyDescent="0.25">
      <c r="B465" s="31"/>
      <c r="C465" s="31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 spans="2:33" s="102" customFormat="1" ht="15.75" customHeight="1" x14ac:dyDescent="0.25">
      <c r="B466" s="31"/>
      <c r="C466" s="31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 spans="2:33" s="102" customFormat="1" ht="15.75" customHeight="1" x14ac:dyDescent="0.25">
      <c r="B467" s="31"/>
      <c r="C467" s="31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 spans="2:33" s="102" customFormat="1" ht="15.75" customHeight="1" x14ac:dyDescent="0.25">
      <c r="B468" s="31"/>
      <c r="C468" s="31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 spans="2:33" s="102" customFormat="1" ht="15.75" customHeight="1" x14ac:dyDescent="0.25">
      <c r="B469" s="31"/>
      <c r="C469" s="31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 spans="2:33" s="102" customFormat="1" ht="15.75" customHeight="1" x14ac:dyDescent="0.25">
      <c r="B470" s="31"/>
      <c r="C470" s="31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 spans="2:33" s="102" customFormat="1" ht="15.75" customHeight="1" x14ac:dyDescent="0.25">
      <c r="B471" s="31"/>
      <c r="C471" s="3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 spans="2:33" s="102" customFormat="1" ht="15.75" customHeight="1" x14ac:dyDescent="0.25">
      <c r="B472" s="31"/>
      <c r="C472" s="31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 spans="2:33" s="102" customFormat="1" ht="15.75" customHeight="1" x14ac:dyDescent="0.25">
      <c r="B473" s="31"/>
      <c r="C473" s="31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 spans="2:33" s="102" customFormat="1" ht="15.75" customHeight="1" x14ac:dyDescent="0.25">
      <c r="B474" s="31"/>
      <c r="C474" s="31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 spans="2:33" s="102" customFormat="1" ht="15.75" customHeight="1" x14ac:dyDescent="0.25">
      <c r="B475" s="31"/>
      <c r="C475" s="31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 spans="2:33" s="102" customFormat="1" ht="15.75" customHeight="1" x14ac:dyDescent="0.25">
      <c r="B476" s="31"/>
      <c r="C476" s="31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 spans="2:33" s="102" customFormat="1" ht="15.75" customHeight="1" x14ac:dyDescent="0.25">
      <c r="B477" s="31"/>
      <c r="C477" s="31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 spans="2:33" s="102" customFormat="1" ht="15.75" customHeight="1" x14ac:dyDescent="0.25">
      <c r="B478" s="31"/>
      <c r="C478" s="31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 spans="2:33" s="102" customFormat="1" ht="15.75" customHeight="1" x14ac:dyDescent="0.25">
      <c r="B479" s="31"/>
      <c r="C479" s="31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 spans="2:33" s="102" customFormat="1" ht="15.75" customHeight="1" x14ac:dyDescent="0.25">
      <c r="B480" s="31"/>
      <c r="C480" s="31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 spans="2:33" s="102" customFormat="1" ht="15.75" customHeight="1" x14ac:dyDescent="0.25">
      <c r="B481" s="31"/>
      <c r="C481" s="3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 spans="2:33" s="102" customFormat="1" ht="15.75" customHeight="1" x14ac:dyDescent="0.25">
      <c r="B482" s="31"/>
      <c r="C482" s="31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 spans="2:33" s="102" customFormat="1" ht="15.75" customHeight="1" x14ac:dyDescent="0.25">
      <c r="B483" s="31"/>
      <c r="C483" s="31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 spans="2:33" s="102" customFormat="1" ht="15.75" customHeight="1" x14ac:dyDescent="0.25">
      <c r="B484" s="31"/>
      <c r="C484" s="31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 spans="2:33" s="102" customFormat="1" ht="15.75" customHeight="1" x14ac:dyDescent="0.25">
      <c r="B485" s="31"/>
      <c r="C485" s="31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 spans="2:33" s="102" customFormat="1" ht="15.75" customHeight="1" x14ac:dyDescent="0.25">
      <c r="B486" s="31"/>
      <c r="C486" s="31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 spans="2:33" s="102" customFormat="1" ht="15.75" customHeight="1" x14ac:dyDescent="0.25">
      <c r="B487" s="31"/>
      <c r="C487" s="31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 spans="2:33" s="102" customFormat="1" ht="15.75" customHeight="1" x14ac:dyDescent="0.25">
      <c r="B488" s="31"/>
      <c r="C488" s="31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 spans="2:33" s="102" customFormat="1" ht="15.75" customHeight="1" x14ac:dyDescent="0.25">
      <c r="B489" s="31"/>
      <c r="C489" s="31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 spans="2:33" s="102" customFormat="1" ht="15.75" customHeight="1" x14ac:dyDescent="0.25">
      <c r="B490" s="31"/>
      <c r="C490" s="31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 spans="2:33" s="102" customFormat="1" ht="15.75" customHeight="1" x14ac:dyDescent="0.25">
      <c r="B491" s="31"/>
      <c r="C491" s="3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 spans="2:33" s="102" customFormat="1" ht="15.75" customHeight="1" x14ac:dyDescent="0.25">
      <c r="B492" s="31"/>
      <c r="C492" s="31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 spans="2:33" s="102" customFormat="1" ht="15.75" customHeight="1" x14ac:dyDescent="0.25">
      <c r="B493" s="31"/>
      <c r="C493" s="31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 spans="2:33" s="102" customFormat="1" ht="15.75" customHeight="1" x14ac:dyDescent="0.25">
      <c r="B494" s="31"/>
      <c r="C494" s="31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 spans="2:33" s="102" customFormat="1" ht="15.75" customHeight="1" x14ac:dyDescent="0.25">
      <c r="B495" s="31"/>
      <c r="C495" s="31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 spans="2:33" s="102" customFormat="1" ht="15.75" customHeight="1" x14ac:dyDescent="0.25">
      <c r="B496" s="31"/>
      <c r="C496" s="31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 spans="2:33" s="102" customFormat="1" ht="15.75" customHeight="1" x14ac:dyDescent="0.25">
      <c r="B497" s="31"/>
      <c r="C497" s="31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 spans="2:33" s="102" customFormat="1" ht="15.75" customHeight="1" x14ac:dyDescent="0.25">
      <c r="B498" s="31"/>
      <c r="C498" s="31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 spans="2:33" s="102" customFormat="1" ht="15.75" customHeight="1" x14ac:dyDescent="0.25">
      <c r="B499" s="31"/>
      <c r="C499" s="31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 spans="2:33" s="102" customFormat="1" ht="15.75" customHeight="1" x14ac:dyDescent="0.25">
      <c r="B500" s="31"/>
      <c r="C500" s="31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 spans="2:33" s="102" customFormat="1" ht="15.75" customHeight="1" x14ac:dyDescent="0.25">
      <c r="B501" s="31"/>
      <c r="C501" s="3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 spans="2:33" s="102" customFormat="1" ht="15.75" customHeight="1" x14ac:dyDescent="0.25">
      <c r="B502" s="31"/>
      <c r="C502" s="31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 spans="2:33" s="102" customFormat="1" ht="15.75" customHeight="1" x14ac:dyDescent="0.25">
      <c r="B503" s="31"/>
      <c r="C503" s="31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 spans="2:33" s="102" customFormat="1" ht="15.75" customHeight="1" x14ac:dyDescent="0.25">
      <c r="B504" s="31"/>
      <c r="C504" s="31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 spans="2:33" s="102" customFormat="1" ht="15.75" customHeight="1" x14ac:dyDescent="0.25">
      <c r="B505" s="31"/>
      <c r="C505" s="31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 spans="2:33" s="102" customFormat="1" ht="15.75" customHeight="1" x14ac:dyDescent="0.25">
      <c r="B506" s="31"/>
      <c r="C506" s="31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 spans="2:33" s="102" customFormat="1" ht="15.75" customHeight="1" x14ac:dyDescent="0.25">
      <c r="B507" s="31"/>
      <c r="C507" s="31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 spans="2:33" s="102" customFormat="1" ht="15.75" customHeight="1" x14ac:dyDescent="0.25">
      <c r="B508" s="31"/>
      <c r="C508" s="31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 spans="2:33" s="102" customFormat="1" ht="15.75" customHeight="1" x14ac:dyDescent="0.25">
      <c r="B509" s="31"/>
      <c r="C509" s="31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 spans="2:33" s="102" customFormat="1" ht="15.75" customHeight="1" x14ac:dyDescent="0.25">
      <c r="B510" s="31"/>
      <c r="C510" s="31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 spans="2:33" s="102" customFormat="1" ht="15.75" customHeight="1" x14ac:dyDescent="0.25">
      <c r="B511" s="31"/>
      <c r="C511" s="3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 spans="2:33" s="102" customFormat="1" ht="15.75" customHeight="1" x14ac:dyDescent="0.25">
      <c r="B512" s="31"/>
      <c r="C512" s="31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 spans="2:33" s="102" customFormat="1" ht="15.75" customHeight="1" x14ac:dyDescent="0.25">
      <c r="B513" s="31"/>
      <c r="C513" s="31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 spans="2:33" s="102" customFormat="1" ht="15.75" customHeight="1" x14ac:dyDescent="0.25">
      <c r="B514" s="31"/>
      <c r="C514" s="31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 spans="2:33" s="102" customFormat="1" ht="15.75" customHeight="1" x14ac:dyDescent="0.25">
      <c r="B515" s="31"/>
      <c r="C515" s="31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 spans="2:33" s="102" customFormat="1" ht="15.75" customHeight="1" x14ac:dyDescent="0.25">
      <c r="B516" s="31"/>
      <c r="C516" s="31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 spans="2:33" s="102" customFormat="1" ht="15.75" customHeight="1" x14ac:dyDescent="0.25">
      <c r="B517" s="31"/>
      <c r="C517" s="31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 spans="2:33" s="102" customFormat="1" ht="15.75" customHeight="1" x14ac:dyDescent="0.25">
      <c r="B518" s="31"/>
      <c r="C518" s="31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 spans="2:33" s="102" customFormat="1" ht="15.75" customHeight="1" x14ac:dyDescent="0.25">
      <c r="B519" s="31"/>
      <c r="C519" s="31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 spans="2:33" s="102" customFormat="1" ht="15.75" customHeight="1" x14ac:dyDescent="0.25">
      <c r="B520" s="31"/>
      <c r="C520" s="31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 spans="2:33" s="102" customFormat="1" ht="15.75" customHeight="1" x14ac:dyDescent="0.25">
      <c r="B521" s="31"/>
      <c r="C521" s="3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 spans="2:33" s="102" customFormat="1" ht="15.75" customHeight="1" x14ac:dyDescent="0.25">
      <c r="B522" s="31"/>
      <c r="C522" s="31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 spans="2:33" s="102" customFormat="1" ht="15.75" customHeight="1" x14ac:dyDescent="0.25">
      <c r="B523" s="31"/>
      <c r="C523" s="31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 spans="2:33" s="102" customFormat="1" ht="15.75" customHeight="1" x14ac:dyDescent="0.25">
      <c r="B524" s="31"/>
      <c r="C524" s="31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 spans="2:33" s="102" customFormat="1" ht="15.75" customHeight="1" x14ac:dyDescent="0.25">
      <c r="B525" s="31"/>
      <c r="C525" s="31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 spans="2:33" s="102" customFormat="1" ht="15.75" customHeight="1" x14ac:dyDescent="0.25">
      <c r="B526" s="31"/>
      <c r="C526" s="31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 spans="2:33" s="102" customFormat="1" ht="15.75" customHeight="1" x14ac:dyDescent="0.25">
      <c r="B527" s="31"/>
      <c r="C527" s="31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 spans="2:33" s="102" customFormat="1" ht="15.75" customHeight="1" x14ac:dyDescent="0.25">
      <c r="B528" s="31"/>
      <c r="C528" s="31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 spans="2:33" s="102" customFormat="1" ht="15.75" customHeight="1" x14ac:dyDescent="0.25">
      <c r="B529" s="31"/>
      <c r="C529" s="31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 spans="2:33" s="102" customFormat="1" ht="15.75" customHeight="1" x14ac:dyDescent="0.25">
      <c r="B530" s="31"/>
      <c r="C530" s="31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 spans="2:33" s="102" customFormat="1" ht="15.75" customHeight="1" x14ac:dyDescent="0.25">
      <c r="B531" s="31"/>
      <c r="C531" s="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 spans="2:33" s="102" customFormat="1" ht="15.75" customHeight="1" x14ac:dyDescent="0.25">
      <c r="B532" s="31"/>
      <c r="C532" s="31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 spans="2:33" s="102" customFormat="1" ht="15.75" customHeight="1" x14ac:dyDescent="0.25">
      <c r="B533" s="31"/>
      <c r="C533" s="31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 spans="2:33" s="102" customFormat="1" ht="15.75" customHeight="1" x14ac:dyDescent="0.25">
      <c r="B534" s="31"/>
      <c r="C534" s="31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 spans="2:33" s="102" customFormat="1" ht="15.75" customHeight="1" x14ac:dyDescent="0.25">
      <c r="B535" s="31"/>
      <c r="C535" s="31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 spans="2:33" s="102" customFormat="1" ht="15.75" customHeight="1" x14ac:dyDescent="0.25">
      <c r="B536" s="31"/>
      <c r="C536" s="31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 spans="2:33" s="102" customFormat="1" ht="15.75" customHeight="1" x14ac:dyDescent="0.25">
      <c r="B537" s="31"/>
      <c r="C537" s="31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 spans="2:33" s="102" customFormat="1" ht="15.75" customHeight="1" x14ac:dyDescent="0.25">
      <c r="B538" s="31"/>
      <c r="C538" s="31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 spans="2:33" s="102" customFormat="1" ht="15.75" customHeight="1" x14ac:dyDescent="0.25">
      <c r="B539" s="31"/>
      <c r="C539" s="31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 spans="2:33" s="102" customFormat="1" ht="15.75" customHeight="1" x14ac:dyDescent="0.25">
      <c r="B540" s="31"/>
      <c r="C540" s="31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 spans="2:33" s="102" customFormat="1" ht="15.75" customHeight="1" x14ac:dyDescent="0.25">
      <c r="B541" s="31"/>
      <c r="C541" s="3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 spans="2:33" s="102" customFormat="1" ht="15.75" customHeight="1" x14ac:dyDescent="0.25">
      <c r="B542" s="31"/>
      <c r="C542" s="31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 spans="2:33" s="102" customFormat="1" ht="15.75" customHeight="1" x14ac:dyDescent="0.25">
      <c r="B543" s="31"/>
      <c r="C543" s="31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 spans="2:33" s="102" customFormat="1" ht="15.75" customHeight="1" x14ac:dyDescent="0.25">
      <c r="B544" s="31"/>
      <c r="C544" s="31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 spans="2:33" s="102" customFormat="1" ht="15.75" customHeight="1" x14ac:dyDescent="0.25">
      <c r="B545" s="31"/>
      <c r="C545" s="31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 spans="2:33" s="102" customFormat="1" ht="15.75" customHeight="1" x14ac:dyDescent="0.25">
      <c r="B546" s="31"/>
      <c r="C546" s="31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 spans="2:33" s="102" customFormat="1" ht="15.75" customHeight="1" x14ac:dyDescent="0.25">
      <c r="B547" s="31"/>
      <c r="C547" s="31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 spans="2:33" s="102" customFormat="1" ht="15.75" customHeight="1" x14ac:dyDescent="0.25">
      <c r="B548" s="31"/>
      <c r="C548" s="31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 spans="2:33" s="102" customFormat="1" ht="15.75" customHeight="1" x14ac:dyDescent="0.25">
      <c r="B549" s="31"/>
      <c r="C549" s="31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 spans="2:33" s="102" customFormat="1" ht="15.75" customHeight="1" x14ac:dyDescent="0.25">
      <c r="B550" s="31"/>
      <c r="C550" s="31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 spans="2:33" s="102" customFormat="1" ht="15.75" customHeight="1" x14ac:dyDescent="0.25">
      <c r="B551" s="31"/>
      <c r="C551" s="3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 spans="2:33" s="102" customFormat="1" ht="15.75" customHeight="1" x14ac:dyDescent="0.25">
      <c r="B552" s="31"/>
      <c r="C552" s="31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 spans="2:33" s="102" customFormat="1" ht="15.75" customHeight="1" x14ac:dyDescent="0.25">
      <c r="B553" s="31"/>
      <c r="C553" s="31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 spans="2:33" s="102" customFormat="1" ht="15.75" customHeight="1" x14ac:dyDescent="0.25">
      <c r="B554" s="31"/>
      <c r="C554" s="31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 spans="2:33" s="102" customFormat="1" ht="15.75" customHeight="1" x14ac:dyDescent="0.25">
      <c r="B555" s="31"/>
      <c r="C555" s="31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 spans="2:33" s="102" customFormat="1" ht="15.75" customHeight="1" x14ac:dyDescent="0.25">
      <c r="B556" s="31"/>
      <c r="C556" s="31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 spans="2:33" s="102" customFormat="1" ht="15.75" customHeight="1" x14ac:dyDescent="0.25">
      <c r="B557" s="31"/>
      <c r="C557" s="31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 spans="2:33" s="102" customFormat="1" ht="15.75" customHeight="1" x14ac:dyDescent="0.25">
      <c r="B558" s="31"/>
      <c r="C558" s="31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 spans="2:33" s="102" customFormat="1" ht="15.75" customHeight="1" x14ac:dyDescent="0.25">
      <c r="B559" s="31"/>
      <c r="C559" s="31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 spans="2:33" s="102" customFormat="1" ht="15.75" customHeight="1" x14ac:dyDescent="0.25">
      <c r="B560" s="31"/>
      <c r="C560" s="31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 spans="2:33" s="102" customFormat="1" ht="15.75" customHeight="1" x14ac:dyDescent="0.25">
      <c r="B561" s="31"/>
      <c r="C561" s="3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 spans="2:33" s="102" customFormat="1" ht="15.75" customHeight="1" x14ac:dyDescent="0.25">
      <c r="B562" s="31"/>
      <c r="C562" s="31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 spans="2:33" s="102" customFormat="1" ht="15.75" customHeight="1" x14ac:dyDescent="0.25">
      <c r="B563" s="31"/>
      <c r="C563" s="31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 spans="2:33" s="102" customFormat="1" ht="15.75" customHeight="1" x14ac:dyDescent="0.25">
      <c r="B564" s="31"/>
      <c r="C564" s="31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 spans="2:33" s="102" customFormat="1" ht="15.75" customHeight="1" x14ac:dyDescent="0.25">
      <c r="B565" s="31"/>
      <c r="C565" s="31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 spans="2:33" s="102" customFormat="1" ht="15.75" customHeight="1" x14ac:dyDescent="0.25">
      <c r="B566" s="31"/>
      <c r="C566" s="31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 spans="2:33" s="102" customFormat="1" ht="15.75" customHeight="1" x14ac:dyDescent="0.25">
      <c r="B567" s="31"/>
      <c r="C567" s="31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 spans="2:33" s="102" customFormat="1" ht="15.75" customHeight="1" x14ac:dyDescent="0.25">
      <c r="B568" s="31"/>
      <c r="C568" s="31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 spans="2:33" s="102" customFormat="1" ht="15.75" customHeight="1" x14ac:dyDescent="0.25">
      <c r="B569" s="31"/>
      <c r="C569" s="31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 spans="2:33" s="102" customFormat="1" ht="15.75" customHeight="1" x14ac:dyDescent="0.25">
      <c r="B570" s="31"/>
      <c r="C570" s="31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 spans="2:33" s="102" customFormat="1" ht="15.75" customHeight="1" x14ac:dyDescent="0.25">
      <c r="B571" s="31"/>
      <c r="C571" s="3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 spans="2:33" s="102" customFormat="1" ht="15.75" customHeight="1" x14ac:dyDescent="0.25">
      <c r="B572" s="31"/>
      <c r="C572" s="31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 spans="2:33" s="102" customFormat="1" ht="15.75" customHeight="1" x14ac:dyDescent="0.25">
      <c r="B573" s="31"/>
      <c r="C573" s="31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 spans="2:33" s="102" customFormat="1" ht="15.75" customHeight="1" x14ac:dyDescent="0.25">
      <c r="B574" s="31"/>
      <c r="C574" s="31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 spans="2:33" s="102" customFormat="1" ht="15.75" customHeight="1" x14ac:dyDescent="0.25">
      <c r="B575" s="31"/>
      <c r="C575" s="31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 spans="2:33" s="102" customFormat="1" ht="15.75" customHeight="1" x14ac:dyDescent="0.25">
      <c r="B576" s="31"/>
      <c r="C576" s="31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 spans="2:33" s="102" customFormat="1" ht="15.75" customHeight="1" x14ac:dyDescent="0.25">
      <c r="B577" s="31"/>
      <c r="C577" s="31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 spans="2:33" s="102" customFormat="1" ht="15.75" customHeight="1" x14ac:dyDescent="0.25">
      <c r="B578" s="31"/>
      <c r="C578" s="31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 spans="2:33" s="102" customFormat="1" ht="15.75" customHeight="1" x14ac:dyDescent="0.25">
      <c r="B579" s="31"/>
      <c r="C579" s="31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 spans="2:33" s="102" customFormat="1" ht="15.75" customHeight="1" x14ac:dyDescent="0.25">
      <c r="B580" s="31"/>
      <c r="C580" s="31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 spans="2:33" s="102" customFormat="1" ht="15.75" customHeight="1" x14ac:dyDescent="0.25">
      <c r="B581" s="31"/>
      <c r="C581" s="3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 spans="2:33" s="102" customFormat="1" ht="15.75" customHeight="1" x14ac:dyDescent="0.25">
      <c r="B582" s="31"/>
      <c r="C582" s="31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 spans="2:33" s="102" customFormat="1" ht="15.75" customHeight="1" x14ac:dyDescent="0.25">
      <c r="B583" s="31"/>
      <c r="C583" s="31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 spans="2:33" s="102" customFormat="1" ht="15.75" customHeight="1" x14ac:dyDescent="0.25">
      <c r="B584" s="31"/>
      <c r="C584" s="31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 spans="2:33" s="102" customFormat="1" ht="15.75" customHeight="1" x14ac:dyDescent="0.25">
      <c r="B585" s="31"/>
      <c r="C585" s="31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 spans="2:33" s="102" customFormat="1" ht="15.75" customHeight="1" x14ac:dyDescent="0.25">
      <c r="B586" s="31"/>
      <c r="C586" s="31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 spans="2:33" s="102" customFormat="1" ht="15.75" customHeight="1" x14ac:dyDescent="0.25">
      <c r="B587" s="31"/>
      <c r="C587" s="31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 spans="2:33" s="102" customFormat="1" ht="15.75" customHeight="1" x14ac:dyDescent="0.25">
      <c r="B588" s="31"/>
      <c r="C588" s="31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 spans="2:33" s="102" customFormat="1" ht="15.75" customHeight="1" x14ac:dyDescent="0.25">
      <c r="B589" s="31"/>
      <c r="C589" s="31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 spans="2:33" s="102" customFormat="1" ht="15.75" customHeight="1" x14ac:dyDescent="0.25">
      <c r="B590" s="31"/>
      <c r="C590" s="31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 spans="2:33" s="102" customFormat="1" ht="15.75" customHeight="1" x14ac:dyDescent="0.25">
      <c r="B591" s="31"/>
      <c r="C591" s="3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 spans="2:33" s="102" customFormat="1" ht="15.75" customHeight="1" x14ac:dyDescent="0.25">
      <c r="B592" s="31"/>
      <c r="C592" s="31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 spans="2:33" s="102" customFormat="1" ht="15.75" customHeight="1" x14ac:dyDescent="0.25">
      <c r="B593" s="31"/>
      <c r="C593" s="31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 spans="2:33" s="102" customFormat="1" ht="15.75" customHeight="1" x14ac:dyDescent="0.25">
      <c r="B594" s="31"/>
      <c r="C594" s="31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 spans="2:33" s="102" customFormat="1" ht="15.75" customHeight="1" x14ac:dyDescent="0.25">
      <c r="B595" s="31"/>
      <c r="C595" s="31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 spans="2:33" s="102" customFormat="1" ht="15.75" customHeight="1" x14ac:dyDescent="0.25">
      <c r="B596" s="31"/>
      <c r="C596" s="31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 spans="2:33" s="102" customFormat="1" ht="15.75" customHeight="1" x14ac:dyDescent="0.25">
      <c r="B597" s="31"/>
      <c r="C597" s="31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 spans="2:33" s="102" customFormat="1" ht="15.75" customHeight="1" x14ac:dyDescent="0.25">
      <c r="B598" s="31"/>
      <c r="C598" s="31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 spans="2:33" s="102" customFormat="1" ht="15.75" customHeight="1" x14ac:dyDescent="0.25">
      <c r="B599" s="31"/>
      <c r="C599" s="31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 spans="2:33" s="102" customFormat="1" ht="15.75" customHeight="1" x14ac:dyDescent="0.25">
      <c r="B600" s="31"/>
      <c r="C600" s="31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 spans="2:33" s="102" customFormat="1" ht="15.75" customHeight="1" x14ac:dyDescent="0.25">
      <c r="B601" s="31"/>
      <c r="C601" s="3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 spans="2:33" s="102" customFormat="1" ht="15.75" customHeight="1" x14ac:dyDescent="0.25">
      <c r="B602" s="31"/>
      <c r="C602" s="31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 spans="2:33" s="102" customFormat="1" ht="15.75" customHeight="1" x14ac:dyDescent="0.25">
      <c r="B603" s="31"/>
      <c r="C603" s="31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 spans="2:33" s="102" customFormat="1" ht="15.75" customHeight="1" x14ac:dyDescent="0.25">
      <c r="B604" s="31"/>
      <c r="C604" s="31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 spans="2:33" s="102" customFormat="1" ht="15.75" customHeight="1" x14ac:dyDescent="0.25">
      <c r="B605" s="31"/>
      <c r="C605" s="31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 spans="2:33" s="102" customFormat="1" ht="15.75" customHeight="1" x14ac:dyDescent="0.25">
      <c r="B606" s="31"/>
      <c r="C606" s="31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 spans="2:33" s="102" customFormat="1" ht="15.75" customHeight="1" x14ac:dyDescent="0.25">
      <c r="B607" s="31"/>
      <c r="C607" s="31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 spans="2:33" s="102" customFormat="1" ht="15.75" customHeight="1" x14ac:dyDescent="0.25">
      <c r="B608" s="31"/>
      <c r="C608" s="31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 spans="2:33" s="102" customFormat="1" ht="15.75" customHeight="1" x14ac:dyDescent="0.25">
      <c r="B609" s="31"/>
      <c r="C609" s="31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 spans="2:33" s="102" customFormat="1" ht="15.75" customHeight="1" x14ac:dyDescent="0.25">
      <c r="B610" s="31"/>
      <c r="C610" s="31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 spans="2:33" s="102" customFormat="1" ht="15.75" customHeight="1" x14ac:dyDescent="0.25">
      <c r="B611" s="31"/>
      <c r="C611" s="3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 spans="2:33" s="102" customFormat="1" ht="15.75" customHeight="1" x14ac:dyDescent="0.25">
      <c r="B612" s="31"/>
      <c r="C612" s="31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 spans="2:33" s="102" customFormat="1" ht="15.75" customHeight="1" x14ac:dyDescent="0.25">
      <c r="B613" s="31"/>
      <c r="C613" s="31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 spans="2:33" s="102" customFormat="1" ht="15.75" customHeight="1" x14ac:dyDescent="0.25">
      <c r="B614" s="31"/>
      <c r="C614" s="31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 spans="2:33" s="102" customFormat="1" ht="15.75" customHeight="1" x14ac:dyDescent="0.25">
      <c r="B615" s="31"/>
      <c r="C615" s="31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 spans="2:33" s="102" customFormat="1" ht="15.75" customHeight="1" x14ac:dyDescent="0.25">
      <c r="B616" s="31"/>
      <c r="C616" s="31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 spans="2:33" s="102" customFormat="1" ht="15.75" customHeight="1" x14ac:dyDescent="0.25">
      <c r="B617" s="31"/>
      <c r="C617" s="31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 spans="2:33" s="102" customFormat="1" ht="15.75" customHeight="1" x14ac:dyDescent="0.25">
      <c r="B618" s="31"/>
      <c r="C618" s="31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 spans="2:33" s="102" customFormat="1" ht="15.75" customHeight="1" x14ac:dyDescent="0.25">
      <c r="B619" s="31"/>
      <c r="C619" s="31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 spans="2:33" s="102" customFormat="1" ht="15.75" customHeight="1" x14ac:dyDescent="0.25">
      <c r="B620" s="31"/>
      <c r="C620" s="31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 spans="2:33" s="102" customFormat="1" ht="15.75" customHeight="1" x14ac:dyDescent="0.25">
      <c r="B621" s="31"/>
      <c r="C621" s="3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 spans="2:33" s="102" customFormat="1" ht="15.75" customHeight="1" x14ac:dyDescent="0.25">
      <c r="B622" s="31"/>
      <c r="C622" s="31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 spans="2:33" s="102" customFormat="1" ht="15.75" customHeight="1" x14ac:dyDescent="0.25">
      <c r="B623" s="31"/>
      <c r="C623" s="31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 spans="2:33" s="102" customFormat="1" ht="15.75" customHeight="1" x14ac:dyDescent="0.25">
      <c r="B624" s="31"/>
      <c r="C624" s="31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 spans="2:33" s="102" customFormat="1" ht="15.75" customHeight="1" x14ac:dyDescent="0.25">
      <c r="B625" s="31"/>
      <c r="C625" s="31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 spans="2:33" s="102" customFormat="1" ht="15.75" customHeight="1" x14ac:dyDescent="0.25">
      <c r="B626" s="31"/>
      <c r="C626" s="31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 spans="2:33" s="102" customFormat="1" ht="15.75" customHeight="1" x14ac:dyDescent="0.25">
      <c r="B627" s="31"/>
      <c r="C627" s="31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 spans="2:33" s="102" customFormat="1" ht="15.75" customHeight="1" x14ac:dyDescent="0.25">
      <c r="B628" s="31"/>
      <c r="C628" s="31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 spans="2:33" s="102" customFormat="1" ht="15.75" customHeight="1" x14ac:dyDescent="0.25">
      <c r="B629" s="31"/>
      <c r="C629" s="31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 spans="2:33" s="102" customFormat="1" ht="15.75" customHeight="1" x14ac:dyDescent="0.25">
      <c r="B630" s="31"/>
      <c r="C630" s="31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 spans="2:33" s="102" customFormat="1" ht="15.75" customHeight="1" x14ac:dyDescent="0.25">
      <c r="B631" s="31"/>
      <c r="C631" s="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 spans="2:33" s="102" customFormat="1" ht="15.75" customHeight="1" x14ac:dyDescent="0.25">
      <c r="B632" s="31"/>
      <c r="C632" s="31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 spans="2:33" s="102" customFormat="1" ht="15.75" customHeight="1" x14ac:dyDescent="0.25">
      <c r="B633" s="31"/>
      <c r="C633" s="31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 spans="2:33" s="102" customFormat="1" ht="15.75" customHeight="1" x14ac:dyDescent="0.25">
      <c r="B634" s="31"/>
      <c r="C634" s="31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 spans="2:33" s="102" customFormat="1" ht="15.75" customHeight="1" x14ac:dyDescent="0.25">
      <c r="B635" s="31"/>
      <c r="C635" s="31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 spans="2:33" s="102" customFormat="1" ht="15.75" customHeight="1" x14ac:dyDescent="0.25">
      <c r="B636" s="31"/>
      <c r="C636" s="31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 spans="2:33" s="102" customFormat="1" ht="15.75" customHeight="1" x14ac:dyDescent="0.25">
      <c r="B637" s="31"/>
      <c r="C637" s="31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 spans="2:33" s="102" customFormat="1" ht="15.75" customHeight="1" x14ac:dyDescent="0.25">
      <c r="B638" s="31"/>
      <c r="C638" s="31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 spans="2:33" s="102" customFormat="1" ht="15.75" customHeight="1" x14ac:dyDescent="0.25">
      <c r="B639" s="31"/>
      <c r="C639" s="31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 spans="2:33" s="102" customFormat="1" ht="15.75" customHeight="1" x14ac:dyDescent="0.25">
      <c r="B640" s="31"/>
      <c r="C640" s="31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 spans="2:33" s="102" customFormat="1" ht="15.75" customHeight="1" x14ac:dyDescent="0.25">
      <c r="B641" s="31"/>
      <c r="C641" s="3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 spans="2:33" s="102" customFormat="1" ht="15.75" customHeight="1" x14ac:dyDescent="0.25">
      <c r="B642" s="31"/>
      <c r="C642" s="31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 spans="2:33" s="102" customFormat="1" ht="15.75" customHeight="1" x14ac:dyDescent="0.25">
      <c r="B643" s="31"/>
      <c r="C643" s="31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 spans="2:33" s="102" customFormat="1" ht="15.75" customHeight="1" x14ac:dyDescent="0.25">
      <c r="B644" s="31"/>
      <c r="C644" s="31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 spans="2:33" s="102" customFormat="1" ht="15.75" customHeight="1" x14ac:dyDescent="0.25">
      <c r="B645" s="31"/>
      <c r="C645" s="31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 spans="2:33" s="102" customFormat="1" ht="15.75" customHeight="1" x14ac:dyDescent="0.25">
      <c r="B646" s="31"/>
      <c r="C646" s="31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 spans="2:33" s="102" customFormat="1" ht="15.75" customHeight="1" x14ac:dyDescent="0.25">
      <c r="B647" s="31"/>
      <c r="C647" s="31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 spans="2:33" s="102" customFormat="1" ht="15.75" customHeight="1" x14ac:dyDescent="0.25">
      <c r="B648" s="31"/>
      <c r="C648" s="31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 spans="2:33" s="102" customFormat="1" ht="15.75" customHeight="1" x14ac:dyDescent="0.25">
      <c r="B649" s="31"/>
      <c r="C649" s="31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 spans="2:33" s="102" customFormat="1" ht="15.75" customHeight="1" x14ac:dyDescent="0.25">
      <c r="B650" s="31"/>
      <c r="C650" s="31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 spans="2:33" s="102" customFormat="1" ht="15.75" customHeight="1" x14ac:dyDescent="0.25">
      <c r="B651" s="31"/>
      <c r="C651" s="3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 spans="2:33" s="102" customFormat="1" ht="15.75" customHeight="1" x14ac:dyDescent="0.25">
      <c r="B652" s="31"/>
      <c r="C652" s="31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 spans="2:33" s="102" customFormat="1" ht="15.75" customHeight="1" x14ac:dyDescent="0.25">
      <c r="B653" s="31"/>
      <c r="C653" s="31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 spans="2:33" s="102" customFormat="1" ht="15.75" customHeight="1" x14ac:dyDescent="0.25">
      <c r="B654" s="31"/>
      <c r="C654" s="31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 spans="2:33" s="102" customFormat="1" ht="15.75" customHeight="1" x14ac:dyDescent="0.25">
      <c r="B655" s="31"/>
      <c r="C655" s="31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 spans="2:33" s="102" customFormat="1" ht="15.75" customHeight="1" x14ac:dyDescent="0.25">
      <c r="B656" s="31"/>
      <c r="C656" s="31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 spans="2:33" s="102" customFormat="1" ht="15.75" customHeight="1" x14ac:dyDescent="0.25">
      <c r="B657" s="31"/>
      <c r="C657" s="31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 spans="2:33" s="102" customFormat="1" ht="15.75" customHeight="1" x14ac:dyDescent="0.25">
      <c r="B658" s="31"/>
      <c r="C658" s="31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 spans="2:33" s="102" customFormat="1" ht="15.75" customHeight="1" x14ac:dyDescent="0.25">
      <c r="B659" s="31"/>
      <c r="C659" s="31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 spans="2:33" s="102" customFormat="1" ht="15.75" customHeight="1" x14ac:dyDescent="0.25">
      <c r="B660" s="31"/>
      <c r="C660" s="31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 spans="2:33" s="102" customFormat="1" ht="15.75" customHeight="1" x14ac:dyDescent="0.25">
      <c r="B661" s="31"/>
      <c r="C661" s="3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 spans="2:33" s="102" customFormat="1" ht="15.75" customHeight="1" x14ac:dyDescent="0.25">
      <c r="B662" s="31"/>
      <c r="C662" s="31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 spans="2:33" s="102" customFormat="1" ht="15.75" customHeight="1" x14ac:dyDescent="0.25">
      <c r="B663" s="31"/>
      <c r="C663" s="31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 spans="2:33" s="102" customFormat="1" ht="15.75" customHeight="1" x14ac:dyDescent="0.25">
      <c r="B664" s="31"/>
      <c r="C664" s="31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 spans="2:33" s="102" customFormat="1" ht="15.75" customHeight="1" x14ac:dyDescent="0.25">
      <c r="B665" s="31"/>
      <c r="C665" s="31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 spans="2:33" s="102" customFormat="1" ht="15.75" customHeight="1" x14ac:dyDescent="0.25">
      <c r="B666" s="31"/>
      <c r="C666" s="31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 spans="2:33" s="102" customFormat="1" ht="15.75" customHeight="1" x14ac:dyDescent="0.25">
      <c r="B667" s="31"/>
      <c r="C667" s="31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 spans="2:33" s="102" customFormat="1" ht="15.75" customHeight="1" x14ac:dyDescent="0.25">
      <c r="B668" s="31"/>
      <c r="C668" s="31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 spans="2:33" s="102" customFormat="1" ht="15.75" customHeight="1" x14ac:dyDescent="0.25">
      <c r="B669" s="31"/>
      <c r="C669" s="31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 spans="2:33" s="102" customFormat="1" ht="15.75" customHeight="1" x14ac:dyDescent="0.25">
      <c r="B670" s="31"/>
      <c r="C670" s="31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 spans="2:33" s="102" customFormat="1" ht="15.75" customHeight="1" x14ac:dyDescent="0.25">
      <c r="B671" s="31"/>
      <c r="C671" s="3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 spans="2:33" s="102" customFormat="1" ht="15.75" customHeight="1" x14ac:dyDescent="0.25">
      <c r="B672" s="31"/>
      <c r="C672" s="31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 spans="2:33" s="102" customFormat="1" ht="15.75" customHeight="1" x14ac:dyDescent="0.25">
      <c r="B673" s="31"/>
      <c r="C673" s="31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 spans="2:33" s="102" customFormat="1" ht="15.75" customHeight="1" x14ac:dyDescent="0.25">
      <c r="B674" s="31"/>
      <c r="C674" s="31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</row>
    <row r="675" spans="2:33" s="102" customFormat="1" ht="15.75" customHeight="1" x14ac:dyDescent="0.25">
      <c r="B675" s="31"/>
      <c r="C675" s="31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</row>
    <row r="676" spans="2:33" s="102" customFormat="1" ht="15.75" customHeight="1" x14ac:dyDescent="0.25">
      <c r="B676" s="31"/>
      <c r="C676" s="31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</row>
    <row r="677" spans="2:33" s="102" customFormat="1" ht="15.75" customHeight="1" x14ac:dyDescent="0.25">
      <c r="B677" s="31"/>
      <c r="C677" s="31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</row>
    <row r="678" spans="2:33" s="102" customFormat="1" ht="15.75" customHeight="1" x14ac:dyDescent="0.25">
      <c r="B678" s="31"/>
      <c r="C678" s="31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</row>
    <row r="679" spans="2:33" s="102" customFormat="1" ht="15.75" customHeight="1" x14ac:dyDescent="0.25">
      <c r="B679" s="31"/>
      <c r="C679" s="31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</row>
    <row r="680" spans="2:33" s="102" customFormat="1" ht="15.75" customHeight="1" x14ac:dyDescent="0.25">
      <c r="B680" s="31"/>
      <c r="C680" s="31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</row>
    <row r="681" spans="2:33" s="102" customFormat="1" ht="15.75" customHeight="1" x14ac:dyDescent="0.25">
      <c r="B681" s="31"/>
      <c r="C681" s="3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</row>
    <row r="682" spans="2:33" s="102" customFormat="1" ht="15.75" customHeight="1" x14ac:dyDescent="0.25">
      <c r="B682" s="31"/>
      <c r="C682" s="31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</row>
    <row r="683" spans="2:33" s="102" customFormat="1" ht="15.75" customHeight="1" x14ac:dyDescent="0.25">
      <c r="B683" s="31"/>
      <c r="C683" s="31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</row>
    <row r="684" spans="2:33" s="102" customFormat="1" ht="15.75" customHeight="1" x14ac:dyDescent="0.25">
      <c r="B684" s="31"/>
      <c r="C684" s="31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</row>
    <row r="685" spans="2:33" s="102" customFormat="1" ht="15.75" customHeight="1" x14ac:dyDescent="0.25">
      <c r="B685" s="31"/>
      <c r="C685" s="31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</row>
    <row r="686" spans="2:33" s="102" customFormat="1" ht="15.75" customHeight="1" x14ac:dyDescent="0.25">
      <c r="B686" s="31"/>
      <c r="C686" s="31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</row>
    <row r="687" spans="2:33" s="102" customFormat="1" ht="15.75" customHeight="1" x14ac:dyDescent="0.25">
      <c r="B687" s="31"/>
      <c r="C687" s="31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</row>
    <row r="688" spans="2:33" s="102" customFormat="1" ht="15.75" customHeight="1" x14ac:dyDescent="0.25">
      <c r="B688" s="31"/>
      <c r="C688" s="31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</row>
    <row r="689" spans="2:33" s="102" customFormat="1" ht="15.75" customHeight="1" x14ac:dyDescent="0.25">
      <c r="B689" s="31"/>
      <c r="C689" s="31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</row>
    <row r="690" spans="2:33" s="102" customFormat="1" ht="15.75" customHeight="1" x14ac:dyDescent="0.25">
      <c r="B690" s="31"/>
      <c r="C690" s="31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</row>
    <row r="691" spans="2:33" s="102" customFormat="1" ht="15.75" customHeight="1" x14ac:dyDescent="0.25">
      <c r="B691" s="31"/>
      <c r="C691" s="3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</row>
    <row r="692" spans="2:33" s="102" customFormat="1" ht="15.75" customHeight="1" x14ac:dyDescent="0.25">
      <c r="B692" s="31"/>
      <c r="C692" s="31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</row>
    <row r="693" spans="2:33" s="102" customFormat="1" ht="15.75" customHeight="1" x14ac:dyDescent="0.25">
      <c r="B693" s="31"/>
      <c r="C693" s="31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</row>
    <row r="694" spans="2:33" s="102" customFormat="1" ht="15.75" customHeight="1" x14ac:dyDescent="0.25">
      <c r="B694" s="31"/>
      <c r="C694" s="31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</row>
    <row r="695" spans="2:33" s="102" customFormat="1" ht="15.75" customHeight="1" x14ac:dyDescent="0.25">
      <c r="B695" s="31"/>
      <c r="C695" s="31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</row>
    <row r="696" spans="2:33" s="102" customFormat="1" ht="15.75" customHeight="1" x14ac:dyDescent="0.25">
      <c r="B696" s="31"/>
      <c r="C696" s="31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</row>
    <row r="697" spans="2:33" s="102" customFormat="1" ht="15.75" customHeight="1" x14ac:dyDescent="0.25">
      <c r="B697" s="31"/>
      <c r="C697" s="31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</row>
    <row r="698" spans="2:33" s="102" customFormat="1" ht="15.75" customHeight="1" x14ac:dyDescent="0.25">
      <c r="B698" s="31"/>
      <c r="C698" s="31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</row>
    <row r="699" spans="2:33" s="102" customFormat="1" ht="15.75" customHeight="1" x14ac:dyDescent="0.25">
      <c r="B699" s="31"/>
      <c r="C699" s="31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</row>
    <row r="700" spans="2:33" s="102" customFormat="1" ht="15.75" customHeight="1" x14ac:dyDescent="0.25">
      <c r="B700" s="31"/>
      <c r="C700" s="31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</row>
    <row r="701" spans="2:33" s="102" customFormat="1" ht="15.75" customHeight="1" x14ac:dyDescent="0.25">
      <c r="B701" s="31"/>
      <c r="C701" s="3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</row>
    <row r="702" spans="2:33" s="102" customFormat="1" ht="15.75" customHeight="1" x14ac:dyDescent="0.25">
      <c r="B702" s="31"/>
      <c r="C702" s="31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</row>
    <row r="703" spans="2:33" s="102" customFormat="1" ht="15.75" customHeight="1" x14ac:dyDescent="0.25">
      <c r="B703" s="31"/>
      <c r="C703" s="31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</row>
    <row r="704" spans="2:33" s="102" customFormat="1" ht="15.75" customHeight="1" x14ac:dyDescent="0.25">
      <c r="B704" s="31"/>
      <c r="C704" s="31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</row>
    <row r="705" spans="2:33" s="102" customFormat="1" ht="15.75" customHeight="1" x14ac:dyDescent="0.25">
      <c r="B705" s="31"/>
      <c r="C705" s="31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 spans="2:33" s="102" customFormat="1" ht="15.75" customHeight="1" x14ac:dyDescent="0.25">
      <c r="B706" s="31"/>
      <c r="C706" s="31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 spans="2:33" s="102" customFormat="1" ht="15.75" customHeight="1" x14ac:dyDescent="0.25">
      <c r="B707" s="31"/>
      <c r="C707" s="31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 spans="2:33" s="102" customFormat="1" ht="15.75" customHeight="1" x14ac:dyDescent="0.25">
      <c r="B708" s="31"/>
      <c r="C708" s="31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 spans="2:33" s="102" customFormat="1" ht="15.75" customHeight="1" x14ac:dyDescent="0.25">
      <c r="B709" s="31"/>
      <c r="C709" s="31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 spans="2:33" s="102" customFormat="1" ht="15.75" customHeight="1" x14ac:dyDescent="0.25">
      <c r="B710" s="31"/>
      <c r="C710" s="31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 spans="2:33" s="102" customFormat="1" ht="15.75" customHeight="1" x14ac:dyDescent="0.25">
      <c r="B711" s="31"/>
      <c r="C711" s="3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 spans="2:33" s="102" customFormat="1" ht="15.75" customHeight="1" x14ac:dyDescent="0.25">
      <c r="B712" s="31"/>
      <c r="C712" s="31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 spans="2:33" s="102" customFormat="1" ht="15.75" customHeight="1" x14ac:dyDescent="0.25">
      <c r="B713" s="31"/>
      <c r="C713" s="31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 spans="2:33" s="102" customFormat="1" ht="15.75" customHeight="1" x14ac:dyDescent="0.25">
      <c r="B714" s="31"/>
      <c r="C714" s="31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 spans="2:33" s="102" customFormat="1" ht="15.75" customHeight="1" x14ac:dyDescent="0.25">
      <c r="B715" s="31"/>
      <c r="C715" s="31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 spans="2:33" s="102" customFormat="1" ht="15.75" customHeight="1" x14ac:dyDescent="0.25">
      <c r="B716" s="31"/>
      <c r="C716" s="31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</row>
    <row r="717" spans="2:33" s="102" customFormat="1" ht="15.75" customHeight="1" x14ac:dyDescent="0.25">
      <c r="B717" s="31"/>
      <c r="C717" s="31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 spans="2:33" s="102" customFormat="1" ht="15.75" customHeight="1" x14ac:dyDescent="0.25">
      <c r="B718" s="31"/>
      <c r="C718" s="31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 spans="2:33" s="102" customFormat="1" ht="15.75" customHeight="1" x14ac:dyDescent="0.25">
      <c r="B719" s="31"/>
      <c r="C719" s="31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 spans="2:33" s="102" customFormat="1" ht="15.75" customHeight="1" x14ac:dyDescent="0.25">
      <c r="B720" s="31"/>
      <c r="C720" s="31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 spans="2:33" s="102" customFormat="1" ht="15.75" customHeight="1" x14ac:dyDescent="0.25">
      <c r="B721" s="31"/>
      <c r="C721" s="3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 spans="2:33" s="102" customFormat="1" ht="15.75" customHeight="1" x14ac:dyDescent="0.25">
      <c r="B722" s="31"/>
      <c r="C722" s="31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 spans="2:33" s="102" customFormat="1" ht="15.75" customHeight="1" x14ac:dyDescent="0.25">
      <c r="B723" s="31"/>
      <c r="C723" s="31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 spans="2:33" s="102" customFormat="1" ht="15.75" customHeight="1" x14ac:dyDescent="0.25">
      <c r="B724" s="31"/>
      <c r="C724" s="31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 spans="2:33" s="102" customFormat="1" ht="15.75" customHeight="1" x14ac:dyDescent="0.25">
      <c r="B725" s="31"/>
      <c r="C725" s="31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 spans="2:33" s="102" customFormat="1" ht="15.75" customHeight="1" x14ac:dyDescent="0.25">
      <c r="B726" s="31"/>
      <c r="C726" s="31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 spans="2:33" s="102" customFormat="1" ht="15.75" customHeight="1" x14ac:dyDescent="0.25">
      <c r="B727" s="31"/>
      <c r="C727" s="31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 spans="2:33" s="102" customFormat="1" ht="15.75" customHeight="1" x14ac:dyDescent="0.25">
      <c r="B728" s="31"/>
      <c r="C728" s="31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 spans="2:33" s="102" customFormat="1" ht="15.75" customHeight="1" x14ac:dyDescent="0.25">
      <c r="B729" s="31"/>
      <c r="C729" s="31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 spans="2:33" s="102" customFormat="1" ht="15.75" customHeight="1" x14ac:dyDescent="0.25">
      <c r="B730" s="31"/>
      <c r="C730" s="31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 spans="2:33" s="102" customFormat="1" ht="15.75" customHeight="1" x14ac:dyDescent="0.25">
      <c r="B731" s="31"/>
      <c r="C731" s="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 spans="2:33" s="102" customFormat="1" ht="15.75" customHeight="1" x14ac:dyDescent="0.25">
      <c r="B732" s="31"/>
      <c r="C732" s="31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</row>
    <row r="733" spans="2:33" s="102" customFormat="1" ht="15.75" customHeight="1" x14ac:dyDescent="0.25">
      <c r="B733" s="31"/>
      <c r="C733" s="31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</row>
    <row r="734" spans="2:33" s="102" customFormat="1" ht="15.75" customHeight="1" x14ac:dyDescent="0.25">
      <c r="B734" s="31"/>
      <c r="C734" s="31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</row>
    <row r="735" spans="2:33" s="102" customFormat="1" ht="15.75" customHeight="1" x14ac:dyDescent="0.25">
      <c r="B735" s="31"/>
      <c r="C735" s="31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</row>
    <row r="736" spans="2:33" s="102" customFormat="1" ht="15.75" customHeight="1" x14ac:dyDescent="0.25">
      <c r="B736" s="31"/>
      <c r="C736" s="31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</row>
    <row r="737" spans="2:33" s="102" customFormat="1" ht="15.75" customHeight="1" x14ac:dyDescent="0.25">
      <c r="B737" s="31"/>
      <c r="C737" s="31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</row>
    <row r="738" spans="2:33" s="102" customFormat="1" ht="15.75" customHeight="1" x14ac:dyDescent="0.25">
      <c r="B738" s="31"/>
      <c r="C738" s="31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</row>
    <row r="739" spans="2:33" s="102" customFormat="1" ht="15.75" customHeight="1" x14ac:dyDescent="0.25">
      <c r="B739" s="31"/>
      <c r="C739" s="31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</row>
    <row r="740" spans="2:33" s="102" customFormat="1" ht="15.75" customHeight="1" x14ac:dyDescent="0.25">
      <c r="B740" s="31"/>
      <c r="C740" s="31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</row>
    <row r="741" spans="2:33" s="102" customFormat="1" ht="15.75" customHeight="1" x14ac:dyDescent="0.25">
      <c r="B741" s="31"/>
      <c r="C741" s="3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</row>
    <row r="742" spans="2:33" s="102" customFormat="1" ht="15.75" customHeight="1" x14ac:dyDescent="0.25">
      <c r="B742" s="31"/>
      <c r="C742" s="31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</row>
    <row r="743" spans="2:33" s="102" customFormat="1" ht="15.75" customHeight="1" x14ac:dyDescent="0.25">
      <c r="B743" s="31"/>
      <c r="C743" s="31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</row>
    <row r="744" spans="2:33" s="102" customFormat="1" ht="15.75" customHeight="1" x14ac:dyDescent="0.25">
      <c r="B744" s="31"/>
      <c r="C744" s="31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</row>
    <row r="745" spans="2:33" s="102" customFormat="1" ht="15.75" customHeight="1" x14ac:dyDescent="0.25">
      <c r="B745" s="31"/>
      <c r="C745" s="31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</row>
    <row r="746" spans="2:33" s="102" customFormat="1" ht="15.75" customHeight="1" x14ac:dyDescent="0.25">
      <c r="B746" s="31"/>
      <c r="C746" s="31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</row>
    <row r="747" spans="2:33" s="102" customFormat="1" ht="15.75" customHeight="1" x14ac:dyDescent="0.25">
      <c r="B747" s="31"/>
      <c r="C747" s="31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</row>
    <row r="748" spans="2:33" s="102" customFormat="1" ht="15.75" customHeight="1" x14ac:dyDescent="0.25">
      <c r="B748" s="31"/>
      <c r="C748" s="31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</row>
    <row r="749" spans="2:33" s="102" customFormat="1" ht="15.75" customHeight="1" x14ac:dyDescent="0.25">
      <c r="B749" s="31"/>
      <c r="C749" s="31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</row>
    <row r="750" spans="2:33" s="102" customFormat="1" ht="15.75" customHeight="1" x14ac:dyDescent="0.25">
      <c r="B750" s="31"/>
      <c r="C750" s="31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</row>
    <row r="751" spans="2:33" s="102" customFormat="1" ht="15.75" customHeight="1" x14ac:dyDescent="0.25">
      <c r="B751" s="31"/>
      <c r="C751" s="3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</row>
    <row r="752" spans="2:33" s="102" customFormat="1" ht="15.75" customHeight="1" x14ac:dyDescent="0.25">
      <c r="B752" s="31"/>
      <c r="C752" s="31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</row>
    <row r="753" spans="2:33" s="102" customFormat="1" ht="15.75" customHeight="1" x14ac:dyDescent="0.25">
      <c r="B753" s="31"/>
      <c r="C753" s="31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</row>
    <row r="754" spans="2:33" s="102" customFormat="1" ht="15.75" customHeight="1" x14ac:dyDescent="0.25">
      <c r="B754" s="31"/>
      <c r="C754" s="31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</row>
    <row r="755" spans="2:33" s="102" customFormat="1" ht="15.75" customHeight="1" x14ac:dyDescent="0.25">
      <c r="B755" s="31"/>
      <c r="C755" s="31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</row>
    <row r="756" spans="2:33" s="102" customFormat="1" ht="15.75" customHeight="1" x14ac:dyDescent="0.25">
      <c r="B756" s="31"/>
      <c r="C756" s="31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</row>
    <row r="757" spans="2:33" s="102" customFormat="1" ht="15.75" customHeight="1" x14ac:dyDescent="0.25">
      <c r="B757" s="31"/>
      <c r="C757" s="31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</row>
    <row r="758" spans="2:33" s="102" customFormat="1" ht="15.75" customHeight="1" x14ac:dyDescent="0.25">
      <c r="B758" s="31"/>
      <c r="C758" s="31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</row>
    <row r="759" spans="2:33" s="102" customFormat="1" ht="15.75" customHeight="1" x14ac:dyDescent="0.25">
      <c r="B759" s="31"/>
      <c r="C759" s="31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</row>
    <row r="760" spans="2:33" s="102" customFormat="1" ht="15.75" customHeight="1" x14ac:dyDescent="0.25">
      <c r="B760" s="31"/>
      <c r="C760" s="31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</row>
    <row r="761" spans="2:33" s="102" customFormat="1" ht="15.75" customHeight="1" x14ac:dyDescent="0.25">
      <c r="B761" s="31"/>
      <c r="C761" s="3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</row>
    <row r="762" spans="2:33" s="102" customFormat="1" ht="15.75" customHeight="1" x14ac:dyDescent="0.25">
      <c r="B762" s="31"/>
      <c r="C762" s="31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</row>
    <row r="763" spans="2:33" s="102" customFormat="1" ht="15.75" customHeight="1" x14ac:dyDescent="0.25">
      <c r="B763" s="31"/>
      <c r="C763" s="31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</row>
    <row r="764" spans="2:33" s="102" customFormat="1" ht="15.75" customHeight="1" x14ac:dyDescent="0.25">
      <c r="B764" s="31"/>
      <c r="C764" s="31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</row>
    <row r="765" spans="2:33" s="102" customFormat="1" ht="15.75" customHeight="1" x14ac:dyDescent="0.25">
      <c r="B765" s="31"/>
      <c r="C765" s="31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</row>
    <row r="766" spans="2:33" s="102" customFormat="1" ht="15.75" customHeight="1" x14ac:dyDescent="0.25">
      <c r="B766" s="31"/>
      <c r="C766" s="31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</row>
    <row r="767" spans="2:33" s="102" customFormat="1" ht="15.75" customHeight="1" x14ac:dyDescent="0.25">
      <c r="B767" s="31"/>
      <c r="C767" s="31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</row>
    <row r="768" spans="2:33" s="102" customFormat="1" ht="15.75" customHeight="1" x14ac:dyDescent="0.25">
      <c r="B768" s="31"/>
      <c r="C768" s="31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2:33" s="102" customFormat="1" ht="15.75" customHeight="1" x14ac:dyDescent="0.25">
      <c r="B769" s="31"/>
      <c r="C769" s="31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2:33" s="102" customFormat="1" ht="15.75" customHeight="1" x14ac:dyDescent="0.25">
      <c r="B770" s="31"/>
      <c r="C770" s="31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2:33" s="102" customFormat="1" ht="15.75" customHeight="1" x14ac:dyDescent="0.25">
      <c r="B771" s="31"/>
      <c r="C771" s="3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2:33" s="102" customFormat="1" ht="15.75" customHeight="1" x14ac:dyDescent="0.25">
      <c r="B772" s="31"/>
      <c r="C772" s="31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2:33" s="102" customFormat="1" ht="15.75" customHeight="1" x14ac:dyDescent="0.25">
      <c r="B773" s="31"/>
      <c r="C773" s="31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2:33" s="102" customFormat="1" ht="15.75" customHeight="1" x14ac:dyDescent="0.25">
      <c r="B774" s="31"/>
      <c r="C774" s="31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</row>
    <row r="775" spans="2:33" s="102" customFormat="1" ht="15.75" customHeight="1" x14ac:dyDescent="0.25">
      <c r="B775" s="31"/>
      <c r="C775" s="31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</row>
    <row r="776" spans="2:33" s="102" customFormat="1" ht="15.75" customHeight="1" x14ac:dyDescent="0.25">
      <c r="B776" s="31"/>
      <c r="C776" s="31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</row>
    <row r="777" spans="2:33" s="102" customFormat="1" ht="15.75" customHeight="1" x14ac:dyDescent="0.25">
      <c r="B777" s="31"/>
      <c r="C777" s="31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</row>
    <row r="778" spans="2:33" s="102" customFormat="1" ht="15.75" customHeight="1" x14ac:dyDescent="0.25">
      <c r="B778" s="31"/>
      <c r="C778" s="31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</row>
    <row r="779" spans="2:33" s="102" customFormat="1" ht="15.75" customHeight="1" x14ac:dyDescent="0.25">
      <c r="B779" s="31"/>
      <c r="C779" s="31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</row>
    <row r="780" spans="2:33" s="102" customFormat="1" ht="15.75" customHeight="1" x14ac:dyDescent="0.25">
      <c r="B780" s="31"/>
      <c r="C780" s="31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</row>
    <row r="781" spans="2:33" s="102" customFormat="1" ht="15.75" customHeight="1" x14ac:dyDescent="0.25">
      <c r="B781" s="31"/>
      <c r="C781" s="3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</row>
    <row r="782" spans="2:33" s="102" customFormat="1" ht="15.75" customHeight="1" x14ac:dyDescent="0.25">
      <c r="B782" s="31"/>
      <c r="C782" s="31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</row>
    <row r="783" spans="2:33" s="102" customFormat="1" ht="15.75" customHeight="1" x14ac:dyDescent="0.25">
      <c r="B783" s="31"/>
      <c r="C783" s="31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</row>
    <row r="784" spans="2:33" s="102" customFormat="1" ht="15.75" customHeight="1" x14ac:dyDescent="0.25">
      <c r="B784" s="31"/>
      <c r="C784" s="31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</row>
    <row r="785" spans="2:33" s="102" customFormat="1" ht="15.75" customHeight="1" x14ac:dyDescent="0.25">
      <c r="B785" s="31"/>
      <c r="C785" s="31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</row>
    <row r="786" spans="2:33" s="102" customFormat="1" ht="15.75" customHeight="1" x14ac:dyDescent="0.25">
      <c r="B786" s="31"/>
      <c r="C786" s="31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</row>
    <row r="787" spans="2:33" s="102" customFormat="1" ht="15.75" customHeight="1" x14ac:dyDescent="0.25">
      <c r="B787" s="31"/>
      <c r="C787" s="31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</row>
    <row r="788" spans="2:33" s="102" customFormat="1" ht="15.75" customHeight="1" x14ac:dyDescent="0.25">
      <c r="B788" s="31"/>
      <c r="C788" s="31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</row>
    <row r="789" spans="2:33" s="102" customFormat="1" ht="15.75" customHeight="1" x14ac:dyDescent="0.25">
      <c r="B789" s="31"/>
      <c r="C789" s="31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</row>
    <row r="790" spans="2:33" s="102" customFormat="1" ht="15.75" customHeight="1" x14ac:dyDescent="0.25">
      <c r="B790" s="31"/>
      <c r="C790" s="31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</row>
    <row r="791" spans="2:33" s="102" customFormat="1" ht="15.75" customHeight="1" x14ac:dyDescent="0.25">
      <c r="B791" s="31"/>
      <c r="C791" s="3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</row>
    <row r="792" spans="2:33" s="102" customFormat="1" ht="15.75" customHeight="1" x14ac:dyDescent="0.25">
      <c r="B792" s="31"/>
      <c r="C792" s="31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</row>
    <row r="793" spans="2:33" s="102" customFormat="1" ht="15.75" customHeight="1" x14ac:dyDescent="0.25">
      <c r="B793" s="31"/>
      <c r="C793" s="31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</row>
    <row r="794" spans="2:33" s="102" customFormat="1" ht="15.75" customHeight="1" x14ac:dyDescent="0.25">
      <c r="B794" s="31"/>
      <c r="C794" s="31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</row>
    <row r="795" spans="2:33" s="102" customFormat="1" ht="15.75" customHeight="1" x14ac:dyDescent="0.25">
      <c r="B795" s="31"/>
      <c r="C795" s="31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</row>
    <row r="796" spans="2:33" s="102" customFormat="1" ht="15.75" customHeight="1" x14ac:dyDescent="0.25">
      <c r="B796" s="31"/>
      <c r="C796" s="31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</row>
    <row r="797" spans="2:33" s="102" customFormat="1" ht="15.75" customHeight="1" x14ac:dyDescent="0.25">
      <c r="B797" s="31"/>
      <c r="C797" s="31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</row>
    <row r="798" spans="2:33" s="102" customFormat="1" ht="15.75" customHeight="1" x14ac:dyDescent="0.25">
      <c r="B798" s="31"/>
      <c r="C798" s="31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</row>
    <row r="799" spans="2:33" s="102" customFormat="1" ht="15.75" customHeight="1" x14ac:dyDescent="0.25">
      <c r="B799" s="31"/>
      <c r="C799" s="31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</row>
    <row r="800" spans="2:33" s="102" customFormat="1" ht="15.75" customHeight="1" x14ac:dyDescent="0.25">
      <c r="B800" s="31"/>
      <c r="C800" s="31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</row>
    <row r="801" spans="2:33" s="102" customFormat="1" ht="15.75" customHeight="1" x14ac:dyDescent="0.25">
      <c r="B801" s="31"/>
      <c r="C801" s="3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</row>
    <row r="802" spans="2:33" s="102" customFormat="1" ht="15.75" customHeight="1" x14ac:dyDescent="0.25">
      <c r="B802" s="31"/>
      <c r="C802" s="31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</row>
    <row r="803" spans="2:33" s="102" customFormat="1" ht="15.75" customHeight="1" x14ac:dyDescent="0.25">
      <c r="B803" s="31"/>
      <c r="C803" s="31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</row>
    <row r="804" spans="2:33" s="102" customFormat="1" ht="15.75" customHeight="1" x14ac:dyDescent="0.25">
      <c r="B804" s="31"/>
      <c r="C804" s="31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</row>
    <row r="805" spans="2:33" s="102" customFormat="1" ht="15.75" customHeight="1" x14ac:dyDescent="0.25">
      <c r="B805" s="31"/>
      <c r="C805" s="31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</row>
    <row r="806" spans="2:33" s="102" customFormat="1" ht="15.75" customHeight="1" x14ac:dyDescent="0.25">
      <c r="B806" s="31"/>
      <c r="C806" s="31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</row>
    <row r="807" spans="2:33" s="102" customFormat="1" ht="15.75" customHeight="1" x14ac:dyDescent="0.25">
      <c r="B807" s="31"/>
      <c r="C807" s="31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</row>
    <row r="808" spans="2:33" s="102" customFormat="1" ht="15.75" customHeight="1" x14ac:dyDescent="0.25">
      <c r="B808" s="31"/>
      <c r="C808" s="31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</row>
    <row r="809" spans="2:33" s="102" customFormat="1" ht="15.75" customHeight="1" x14ac:dyDescent="0.25">
      <c r="B809" s="31"/>
      <c r="C809" s="31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</row>
    <row r="810" spans="2:33" s="102" customFormat="1" ht="15.75" customHeight="1" x14ac:dyDescent="0.25">
      <c r="B810" s="31"/>
      <c r="C810" s="31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</row>
    <row r="811" spans="2:33" s="102" customFormat="1" ht="15.75" customHeight="1" x14ac:dyDescent="0.25">
      <c r="B811" s="31"/>
      <c r="C811" s="3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</row>
    <row r="812" spans="2:33" s="102" customFormat="1" ht="15.75" customHeight="1" x14ac:dyDescent="0.25">
      <c r="B812" s="31"/>
      <c r="C812" s="31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</row>
    <row r="813" spans="2:33" s="102" customFormat="1" ht="15.75" customHeight="1" x14ac:dyDescent="0.25">
      <c r="B813" s="31"/>
      <c r="C813" s="31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</row>
    <row r="814" spans="2:33" s="102" customFormat="1" ht="15.75" customHeight="1" x14ac:dyDescent="0.25">
      <c r="B814" s="31"/>
      <c r="C814" s="31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</row>
    <row r="815" spans="2:33" s="102" customFormat="1" ht="15.75" customHeight="1" x14ac:dyDescent="0.25">
      <c r="B815" s="31"/>
      <c r="C815" s="31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</row>
    <row r="816" spans="2:33" s="102" customFormat="1" ht="15.75" customHeight="1" x14ac:dyDescent="0.25">
      <c r="B816" s="31"/>
      <c r="C816" s="31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</row>
    <row r="817" spans="2:33" s="102" customFormat="1" ht="15.75" customHeight="1" x14ac:dyDescent="0.25">
      <c r="B817" s="31"/>
      <c r="C817" s="31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</row>
    <row r="818" spans="2:33" s="102" customFormat="1" ht="15.75" customHeight="1" x14ac:dyDescent="0.25">
      <c r="B818" s="31"/>
      <c r="C818" s="31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</row>
    <row r="819" spans="2:33" s="102" customFormat="1" ht="15.75" customHeight="1" x14ac:dyDescent="0.25">
      <c r="B819" s="31"/>
      <c r="C819" s="31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</row>
    <row r="820" spans="2:33" s="102" customFormat="1" ht="15.75" customHeight="1" x14ac:dyDescent="0.25">
      <c r="B820" s="31"/>
      <c r="C820" s="31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</row>
    <row r="821" spans="2:33" s="102" customFormat="1" ht="15.75" customHeight="1" x14ac:dyDescent="0.25">
      <c r="B821" s="31"/>
      <c r="C821" s="3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</row>
    <row r="822" spans="2:33" s="102" customFormat="1" ht="15.75" customHeight="1" x14ac:dyDescent="0.25">
      <c r="B822" s="31"/>
      <c r="C822" s="31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</row>
    <row r="823" spans="2:33" s="102" customFormat="1" ht="15.75" customHeight="1" x14ac:dyDescent="0.25">
      <c r="B823" s="31"/>
      <c r="C823" s="31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</row>
    <row r="824" spans="2:33" s="102" customFormat="1" ht="15.75" customHeight="1" x14ac:dyDescent="0.25">
      <c r="B824" s="31"/>
      <c r="C824" s="31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</row>
    <row r="825" spans="2:33" s="102" customFormat="1" ht="15.75" customHeight="1" x14ac:dyDescent="0.25">
      <c r="B825" s="31"/>
      <c r="C825" s="31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</row>
    <row r="826" spans="2:33" s="102" customFormat="1" ht="15.75" customHeight="1" x14ac:dyDescent="0.25">
      <c r="B826" s="31"/>
      <c r="C826" s="31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</row>
    <row r="827" spans="2:33" s="102" customFormat="1" ht="15.75" customHeight="1" x14ac:dyDescent="0.25">
      <c r="B827" s="31"/>
      <c r="C827" s="31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</row>
    <row r="828" spans="2:33" s="102" customFormat="1" ht="15.75" customHeight="1" x14ac:dyDescent="0.25">
      <c r="B828" s="31"/>
      <c r="C828" s="31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</row>
    <row r="829" spans="2:33" s="102" customFormat="1" ht="15.75" customHeight="1" x14ac:dyDescent="0.25">
      <c r="B829" s="31"/>
      <c r="C829" s="31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</row>
    <row r="830" spans="2:33" s="102" customFormat="1" ht="15.75" customHeight="1" x14ac:dyDescent="0.25">
      <c r="B830" s="31"/>
      <c r="C830" s="31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</row>
    <row r="831" spans="2:33" s="102" customFormat="1" ht="15.75" customHeight="1" x14ac:dyDescent="0.25">
      <c r="B831" s="31"/>
      <c r="C831" s="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</row>
    <row r="832" spans="2:33" s="102" customFormat="1" ht="15.75" customHeight="1" x14ac:dyDescent="0.25">
      <c r="B832" s="31"/>
      <c r="C832" s="31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</row>
    <row r="833" spans="2:33" s="102" customFormat="1" ht="15.75" customHeight="1" x14ac:dyDescent="0.25">
      <c r="B833" s="31"/>
      <c r="C833" s="31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</row>
    <row r="834" spans="2:33" s="102" customFormat="1" ht="15.75" customHeight="1" x14ac:dyDescent="0.25">
      <c r="B834" s="31"/>
      <c r="C834" s="31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</row>
    <row r="835" spans="2:33" s="102" customFormat="1" ht="15.75" customHeight="1" x14ac:dyDescent="0.25">
      <c r="B835" s="31"/>
      <c r="C835" s="31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</row>
    <row r="836" spans="2:33" s="102" customFormat="1" ht="15.75" customHeight="1" x14ac:dyDescent="0.25">
      <c r="B836" s="31"/>
      <c r="C836" s="31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</row>
    <row r="837" spans="2:33" s="102" customFormat="1" ht="15.75" customHeight="1" x14ac:dyDescent="0.25">
      <c r="B837" s="31"/>
      <c r="C837" s="31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</row>
    <row r="838" spans="2:33" s="102" customFormat="1" ht="15.75" customHeight="1" x14ac:dyDescent="0.25">
      <c r="B838" s="31"/>
      <c r="C838" s="31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</row>
    <row r="839" spans="2:33" s="102" customFormat="1" ht="15.75" customHeight="1" x14ac:dyDescent="0.25">
      <c r="B839" s="31"/>
      <c r="C839" s="31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</row>
    <row r="840" spans="2:33" s="102" customFormat="1" ht="15.75" customHeight="1" x14ac:dyDescent="0.25">
      <c r="B840" s="31"/>
      <c r="C840" s="31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</row>
    <row r="841" spans="2:33" s="102" customFormat="1" ht="15.75" customHeight="1" x14ac:dyDescent="0.25">
      <c r="B841" s="31"/>
      <c r="C841" s="3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</row>
    <row r="842" spans="2:33" s="102" customFormat="1" ht="15.75" customHeight="1" x14ac:dyDescent="0.25">
      <c r="B842" s="31"/>
      <c r="C842" s="31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</row>
    <row r="843" spans="2:33" s="102" customFormat="1" ht="15.75" customHeight="1" x14ac:dyDescent="0.25">
      <c r="B843" s="31"/>
      <c r="C843" s="31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</row>
    <row r="844" spans="2:33" s="102" customFormat="1" ht="15.75" customHeight="1" x14ac:dyDescent="0.25">
      <c r="B844" s="31"/>
      <c r="C844" s="31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</row>
    <row r="845" spans="2:33" s="102" customFormat="1" ht="15.75" customHeight="1" x14ac:dyDescent="0.25">
      <c r="B845" s="31"/>
      <c r="C845" s="31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</row>
    <row r="846" spans="2:33" s="102" customFormat="1" ht="15.75" customHeight="1" x14ac:dyDescent="0.25">
      <c r="B846" s="31"/>
      <c r="C846" s="31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</row>
    <row r="847" spans="2:33" s="102" customFormat="1" ht="15.75" customHeight="1" x14ac:dyDescent="0.25">
      <c r="B847" s="31"/>
      <c r="C847" s="31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</row>
    <row r="848" spans="2:33" s="102" customFormat="1" ht="15.75" customHeight="1" x14ac:dyDescent="0.25">
      <c r="B848" s="31"/>
      <c r="C848" s="31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</row>
    <row r="849" spans="2:33" s="102" customFormat="1" ht="15.75" customHeight="1" x14ac:dyDescent="0.25">
      <c r="B849" s="31"/>
      <c r="C849" s="31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</row>
    <row r="850" spans="2:33" s="102" customFormat="1" ht="15.75" customHeight="1" x14ac:dyDescent="0.25">
      <c r="B850" s="31"/>
      <c r="C850" s="31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</row>
    <row r="851" spans="2:33" s="102" customFormat="1" ht="15.75" customHeight="1" x14ac:dyDescent="0.25">
      <c r="B851" s="31"/>
      <c r="C851" s="3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</row>
    <row r="852" spans="2:33" s="102" customFormat="1" ht="15.75" customHeight="1" x14ac:dyDescent="0.25">
      <c r="B852" s="31"/>
      <c r="C852" s="31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</row>
    <row r="853" spans="2:33" s="102" customFormat="1" ht="15.75" customHeight="1" x14ac:dyDescent="0.25">
      <c r="B853" s="31"/>
      <c r="C853" s="31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 spans="2:33" s="102" customFormat="1" ht="15.75" customHeight="1" x14ac:dyDescent="0.25">
      <c r="B854" s="31"/>
      <c r="C854" s="31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 spans="2:33" s="102" customFormat="1" ht="15.75" customHeight="1" x14ac:dyDescent="0.25">
      <c r="B855" s="31"/>
      <c r="C855" s="31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 spans="2:33" s="102" customFormat="1" ht="15.75" customHeight="1" x14ac:dyDescent="0.25">
      <c r="B856" s="31"/>
      <c r="C856" s="31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 spans="2:33" s="102" customFormat="1" ht="15.75" customHeight="1" x14ac:dyDescent="0.25">
      <c r="B857" s="31"/>
      <c r="C857" s="31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 spans="2:33" s="102" customFormat="1" ht="15.75" customHeight="1" x14ac:dyDescent="0.25">
      <c r="B858" s="31"/>
      <c r="C858" s="31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 spans="2:33" s="102" customFormat="1" ht="15.75" customHeight="1" x14ac:dyDescent="0.25">
      <c r="B859" s="31"/>
      <c r="C859" s="31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 spans="2:33" s="102" customFormat="1" ht="15.75" customHeight="1" x14ac:dyDescent="0.25">
      <c r="B860" s="31"/>
      <c r="C860" s="31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</row>
    <row r="861" spans="2:33" s="102" customFormat="1" ht="15.75" customHeight="1" x14ac:dyDescent="0.25">
      <c r="B861" s="31"/>
      <c r="C861" s="3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 spans="2:33" s="102" customFormat="1" ht="15.75" customHeight="1" x14ac:dyDescent="0.25">
      <c r="B862" s="31"/>
      <c r="C862" s="31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 spans="2:33" s="102" customFormat="1" ht="15.75" customHeight="1" x14ac:dyDescent="0.25">
      <c r="B863" s="31"/>
      <c r="C863" s="31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 spans="2:33" s="102" customFormat="1" ht="15.75" customHeight="1" x14ac:dyDescent="0.25">
      <c r="B864" s="31"/>
      <c r="C864" s="31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 spans="2:33" s="102" customFormat="1" ht="15.75" customHeight="1" x14ac:dyDescent="0.25">
      <c r="B865" s="31"/>
      <c r="C865" s="31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 spans="2:33" s="102" customFormat="1" ht="15.75" customHeight="1" x14ac:dyDescent="0.25">
      <c r="B866" s="31"/>
      <c r="C866" s="31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 spans="2:33" s="102" customFormat="1" ht="15.75" customHeight="1" x14ac:dyDescent="0.25">
      <c r="B867" s="31"/>
      <c r="C867" s="31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 spans="2:33" s="102" customFormat="1" ht="15.75" customHeight="1" x14ac:dyDescent="0.25">
      <c r="B868" s="31"/>
      <c r="C868" s="31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 spans="2:33" s="102" customFormat="1" ht="15.75" customHeight="1" x14ac:dyDescent="0.25">
      <c r="B869" s="31"/>
      <c r="C869" s="31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 spans="2:33" s="102" customFormat="1" ht="15.75" customHeight="1" x14ac:dyDescent="0.25">
      <c r="B870" s="31"/>
      <c r="C870" s="31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 spans="2:33" s="102" customFormat="1" ht="15.75" customHeight="1" x14ac:dyDescent="0.25">
      <c r="B871" s="31"/>
      <c r="C871" s="3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 spans="2:33" s="102" customFormat="1" ht="15.75" customHeight="1" x14ac:dyDescent="0.25">
      <c r="B872" s="31"/>
      <c r="C872" s="31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</row>
    <row r="873" spans="2:33" s="102" customFormat="1" ht="15.75" customHeight="1" x14ac:dyDescent="0.25">
      <c r="B873" s="31"/>
      <c r="C873" s="31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 spans="2:33" s="102" customFormat="1" ht="15.75" customHeight="1" x14ac:dyDescent="0.25">
      <c r="B874" s="31"/>
      <c r="C874" s="31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 spans="2:33" s="102" customFormat="1" ht="15.75" customHeight="1" x14ac:dyDescent="0.25">
      <c r="B875" s="31"/>
      <c r="C875" s="31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 spans="2:33" s="102" customFormat="1" ht="15.75" customHeight="1" x14ac:dyDescent="0.25">
      <c r="B876" s="31"/>
      <c r="C876" s="31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 spans="2:33" s="102" customFormat="1" ht="15.75" customHeight="1" x14ac:dyDescent="0.25">
      <c r="B877" s="31"/>
      <c r="C877" s="31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 spans="2:33" s="102" customFormat="1" ht="15.75" customHeight="1" x14ac:dyDescent="0.25">
      <c r="B878" s="31"/>
      <c r="C878" s="31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 spans="2:33" s="102" customFormat="1" ht="15.75" customHeight="1" x14ac:dyDescent="0.25">
      <c r="B879" s="31"/>
      <c r="C879" s="31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 spans="2:33" s="102" customFormat="1" ht="15.75" customHeight="1" x14ac:dyDescent="0.25">
      <c r="B880" s="31"/>
      <c r="C880" s="31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 spans="2:33" s="102" customFormat="1" ht="15.75" customHeight="1" x14ac:dyDescent="0.25">
      <c r="B881" s="31"/>
      <c r="C881" s="3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</row>
    <row r="882" spans="2:33" s="102" customFormat="1" ht="15.75" customHeight="1" x14ac:dyDescent="0.25">
      <c r="B882" s="31"/>
      <c r="C882" s="31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 spans="2:33" s="102" customFormat="1" ht="15.75" customHeight="1" x14ac:dyDescent="0.25">
      <c r="B883" s="31"/>
      <c r="C883" s="31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 spans="2:33" s="102" customFormat="1" ht="15.75" customHeight="1" x14ac:dyDescent="0.25">
      <c r="B884" s="31"/>
      <c r="C884" s="31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 spans="2:33" s="102" customFormat="1" ht="15.75" customHeight="1" x14ac:dyDescent="0.25">
      <c r="B885" s="31"/>
      <c r="C885" s="31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 spans="2:33" s="102" customFormat="1" ht="15.75" customHeight="1" x14ac:dyDescent="0.25">
      <c r="B886" s="31"/>
      <c r="C886" s="31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 spans="2:33" s="102" customFormat="1" ht="15.75" customHeight="1" x14ac:dyDescent="0.25">
      <c r="B887" s="31"/>
      <c r="C887" s="31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 spans="2:33" s="102" customFormat="1" ht="15.75" customHeight="1" x14ac:dyDescent="0.25">
      <c r="B888" s="31"/>
      <c r="C888" s="31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 spans="2:33" s="102" customFormat="1" ht="15.75" customHeight="1" x14ac:dyDescent="0.25">
      <c r="B889" s="31"/>
      <c r="C889" s="31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</row>
    <row r="890" spans="2:33" s="102" customFormat="1" ht="15.75" customHeight="1" x14ac:dyDescent="0.25">
      <c r="B890" s="31"/>
      <c r="C890" s="31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</row>
    <row r="891" spans="2:33" s="102" customFormat="1" ht="15.75" customHeight="1" x14ac:dyDescent="0.25">
      <c r="B891" s="31"/>
      <c r="C891" s="3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</row>
    <row r="892" spans="2:33" s="102" customFormat="1" ht="15.75" customHeight="1" x14ac:dyDescent="0.25">
      <c r="B892" s="31"/>
      <c r="C892" s="31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</row>
    <row r="893" spans="2:33" s="102" customFormat="1" ht="15.75" customHeight="1" x14ac:dyDescent="0.25">
      <c r="B893" s="31"/>
      <c r="C893" s="31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</row>
    <row r="894" spans="2:33" s="102" customFormat="1" ht="15.75" customHeight="1" x14ac:dyDescent="0.25">
      <c r="B894" s="31"/>
      <c r="C894" s="31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</row>
    <row r="895" spans="2:33" s="102" customFormat="1" ht="15.75" customHeight="1" x14ac:dyDescent="0.25">
      <c r="B895" s="31"/>
      <c r="C895" s="31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</row>
    <row r="896" spans="2:33" s="102" customFormat="1" ht="15.75" customHeight="1" x14ac:dyDescent="0.25">
      <c r="B896" s="31"/>
      <c r="C896" s="31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</row>
    <row r="897" spans="2:33" s="102" customFormat="1" ht="15.75" customHeight="1" x14ac:dyDescent="0.25">
      <c r="B897" s="31"/>
      <c r="C897" s="31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</row>
    <row r="898" spans="2:33" s="102" customFormat="1" ht="15.75" customHeight="1" x14ac:dyDescent="0.25">
      <c r="B898" s="31"/>
      <c r="C898" s="31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</row>
    <row r="899" spans="2:33" s="102" customFormat="1" ht="15.75" customHeight="1" x14ac:dyDescent="0.25">
      <c r="B899" s="31"/>
      <c r="C899" s="31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</row>
    <row r="900" spans="2:33" s="102" customFormat="1" ht="15.75" customHeight="1" x14ac:dyDescent="0.25">
      <c r="B900" s="31"/>
      <c r="C900" s="31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</row>
    <row r="901" spans="2:33" s="102" customFormat="1" ht="15.75" customHeight="1" x14ac:dyDescent="0.25">
      <c r="B901" s="31"/>
      <c r="C901" s="3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</row>
    <row r="902" spans="2:33" s="102" customFormat="1" ht="15.75" customHeight="1" x14ac:dyDescent="0.25">
      <c r="B902" s="31"/>
      <c r="C902" s="31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</row>
    <row r="903" spans="2:33" s="102" customFormat="1" ht="15.75" customHeight="1" x14ac:dyDescent="0.25">
      <c r="B903" s="31"/>
      <c r="C903" s="31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</row>
    <row r="904" spans="2:33" s="102" customFormat="1" ht="15.75" customHeight="1" x14ac:dyDescent="0.25">
      <c r="B904" s="31"/>
      <c r="C904" s="31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</row>
    <row r="905" spans="2:33" s="102" customFormat="1" ht="15.75" customHeight="1" x14ac:dyDescent="0.25">
      <c r="B905" s="31"/>
      <c r="C905" s="31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</row>
    <row r="906" spans="2:33" s="102" customFormat="1" ht="15.75" customHeight="1" x14ac:dyDescent="0.25">
      <c r="B906" s="31"/>
      <c r="C906" s="31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</row>
    <row r="907" spans="2:33" s="102" customFormat="1" ht="15.75" customHeight="1" x14ac:dyDescent="0.25">
      <c r="B907" s="31"/>
      <c r="C907" s="31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</row>
    <row r="908" spans="2:33" s="102" customFormat="1" ht="15.75" customHeight="1" x14ac:dyDescent="0.25">
      <c r="B908" s="31"/>
      <c r="C908" s="31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</row>
    <row r="909" spans="2:33" s="102" customFormat="1" ht="15.75" customHeight="1" x14ac:dyDescent="0.25">
      <c r="B909" s="31"/>
      <c r="C909" s="31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</row>
    <row r="910" spans="2:33" s="102" customFormat="1" ht="15.75" customHeight="1" x14ac:dyDescent="0.25">
      <c r="B910" s="31"/>
      <c r="C910" s="31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</row>
    <row r="911" spans="2:33" s="102" customFormat="1" ht="15.75" customHeight="1" x14ac:dyDescent="0.25">
      <c r="B911" s="31"/>
      <c r="C911" s="3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</row>
    <row r="912" spans="2:33" s="102" customFormat="1" ht="15.75" customHeight="1" x14ac:dyDescent="0.25">
      <c r="B912" s="31"/>
      <c r="C912" s="31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</row>
    <row r="913" spans="2:33" s="102" customFormat="1" ht="15.75" customHeight="1" x14ac:dyDescent="0.25">
      <c r="B913" s="31"/>
      <c r="C913" s="31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</row>
    <row r="914" spans="2:33" s="102" customFormat="1" ht="15.75" customHeight="1" x14ac:dyDescent="0.25">
      <c r="B914" s="31"/>
      <c r="C914" s="31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</row>
    <row r="915" spans="2:33" s="102" customFormat="1" ht="15.75" customHeight="1" x14ac:dyDescent="0.25">
      <c r="B915" s="31"/>
      <c r="C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</row>
    <row r="916" spans="2:33" ht="15.75" customHeight="1" x14ac:dyDescent="0.25">
      <c r="B916" s="31"/>
    </row>
    <row r="917" spans="2:33" ht="15.75" customHeight="1" x14ac:dyDescent="0.25">
      <c r="B917" s="31"/>
    </row>
    <row r="918" spans="2:33" ht="15.75" customHeight="1" x14ac:dyDescent="0.25">
      <c r="B918" s="31"/>
    </row>
    <row r="919" spans="2:33" ht="15.75" customHeight="1" x14ac:dyDescent="0.25">
      <c r="B919" s="31"/>
    </row>
    <row r="920" spans="2:33" ht="15.75" customHeight="1" x14ac:dyDescent="0.25"/>
    <row r="921" spans="2:33" ht="15.75" customHeight="1" x14ac:dyDescent="0.25"/>
    <row r="922" spans="2:33" ht="15.75" customHeight="1" x14ac:dyDescent="0.25"/>
    <row r="923" spans="2:33" ht="15.75" customHeight="1" x14ac:dyDescent="0.25"/>
    <row r="924" spans="2:33" ht="15.75" customHeight="1" x14ac:dyDescent="0.25"/>
    <row r="925" spans="2:33" ht="15.75" customHeight="1" x14ac:dyDescent="0.25"/>
    <row r="926" spans="2:33" ht="15.75" customHeight="1" x14ac:dyDescent="0.25"/>
    <row r="927" spans="2:33" ht="15.75" customHeight="1" x14ac:dyDescent="0.25"/>
    <row r="928" spans="2:33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</sheetData>
  <autoFilter ref="A8:AG115" xr:uid="{00000000-0009-0000-0000-000004000000}">
    <sortState xmlns:xlrd2="http://schemas.microsoft.com/office/spreadsheetml/2017/richdata2" ref="B9:AG114">
      <sortCondition ref="B8:B114"/>
    </sortState>
  </autoFilter>
  <mergeCells count="6">
    <mergeCell ref="AF7:AG7"/>
    <mergeCell ref="E2:E6"/>
    <mergeCell ref="C7:E7"/>
    <mergeCell ref="F7:J7"/>
    <mergeCell ref="L7:S7"/>
    <mergeCell ref="U7:AD7"/>
  </mergeCells>
  <dataValidations count="3">
    <dataValidation type="list" allowBlank="1" showErrorMessage="1" sqref="E9:E114" xr:uid="{55F45181-6FA1-4022-8F2F-4CA19BE276AF}">
      <formula1>"Sim,Não"</formula1>
    </dataValidation>
    <dataValidation type="list" allowBlank="1" showInputMessage="1" showErrorMessage="1" sqref="D3" xr:uid="{D6F8B0C4-94A5-4EFE-A1B1-38AE9C771466}">
      <formula1>"PJ, CLT"</formula1>
    </dataValidation>
    <dataValidation type="list" allowBlank="1" showInputMessage="1" showErrorMessage="1" sqref="D4" xr:uid="{F019F990-02FC-4B49-838E-1BC160DBEE0C}">
      <formula1>"Sim, Não"</formula1>
    </dataValidation>
  </dataValidations>
  <pageMargins left="0.511811024" right="0.511811024" top="0.63726821165609882" bottom="0.78740157499999996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BE19217-1C69-4781-9D64-312678A4C5C9}">
          <x14:formula1>
            <xm:f>'Lista Profissionais'!$C$11:$C$214</xm:f>
          </x14:formula1>
          <xm:sqref>B116:B919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0.85546875" customWidth="1"/>
    <col min="3" max="3" width="26" customWidth="1"/>
    <col min="4" max="4" width="17.42578125" customWidth="1"/>
    <col min="5" max="5" width="7.140625" customWidth="1"/>
    <col min="6" max="6" width="9.42578125" customWidth="1"/>
    <col min="7" max="7" width="11.5703125" customWidth="1"/>
    <col min="8" max="8" width="34.7109375" customWidth="1"/>
    <col min="9" max="9" width="11.5703125" customWidth="1"/>
    <col min="10" max="26" width="8.7109375" customWidth="1"/>
  </cols>
  <sheetData>
    <row r="1" spans="2:9" ht="14.25" customHeight="1" x14ac:dyDescent="0.25"/>
    <row r="2" spans="2:9" ht="14.25" customHeight="1" x14ac:dyDescent="0.25">
      <c r="B2" s="254" t="s">
        <v>111</v>
      </c>
      <c r="C2" s="255"/>
      <c r="D2" s="255"/>
      <c r="E2" s="255"/>
      <c r="F2" s="255"/>
      <c r="G2" s="255"/>
      <c r="H2" s="255"/>
      <c r="I2" s="256"/>
    </row>
    <row r="3" spans="2:9" ht="14.25" customHeight="1" x14ac:dyDescent="0.25">
      <c r="B3" s="287"/>
      <c r="C3" s="288"/>
      <c r="D3" s="288"/>
      <c r="E3" s="288"/>
      <c r="F3" s="288"/>
      <c r="G3" s="288"/>
      <c r="H3" s="288"/>
      <c r="I3" s="282"/>
    </row>
    <row r="4" spans="2:9" ht="14.25" customHeight="1" x14ac:dyDescent="0.25">
      <c r="B4" s="257"/>
      <c r="C4" s="258"/>
      <c r="D4" s="258"/>
      <c r="E4" s="258"/>
      <c r="F4" s="258"/>
      <c r="G4" s="258"/>
      <c r="H4" s="258"/>
      <c r="I4" s="259"/>
    </row>
    <row r="5" spans="2:9" ht="14.25" customHeight="1" x14ac:dyDescent="0.25">
      <c r="B5" s="53" t="s">
        <v>112</v>
      </c>
      <c r="C5" s="53" t="s">
        <v>110</v>
      </c>
      <c r="D5" s="53" t="s">
        <v>113</v>
      </c>
      <c r="E5" s="53" t="s">
        <v>114</v>
      </c>
      <c r="F5" s="53" t="s">
        <v>115</v>
      </c>
      <c r="G5" s="53" t="s">
        <v>116</v>
      </c>
      <c r="H5" s="53" t="s">
        <v>117</v>
      </c>
      <c r="I5" s="53" t="s">
        <v>118</v>
      </c>
    </row>
    <row r="6" spans="2:9" ht="14.25" customHeight="1" x14ac:dyDescent="0.25">
      <c r="B6" s="3"/>
      <c r="C6" s="3"/>
      <c r="D6" s="3"/>
      <c r="E6" s="3"/>
      <c r="F6" s="3"/>
      <c r="G6" s="3"/>
      <c r="H6" s="3"/>
      <c r="I6" s="3"/>
    </row>
    <row r="7" spans="2:9" ht="14.25" customHeight="1" x14ac:dyDescent="0.25">
      <c r="B7" s="3"/>
      <c r="C7" s="3"/>
      <c r="D7" s="3"/>
      <c r="E7" s="3"/>
      <c r="F7" s="3"/>
      <c r="G7" s="3"/>
      <c r="H7" s="3"/>
      <c r="I7" s="3"/>
    </row>
    <row r="8" spans="2:9" ht="14.25" customHeight="1" x14ac:dyDescent="0.25">
      <c r="B8" s="3"/>
      <c r="C8" s="3"/>
      <c r="D8" s="3"/>
      <c r="E8" s="3"/>
      <c r="F8" s="3"/>
      <c r="G8" s="3"/>
      <c r="H8" s="3"/>
      <c r="I8" s="3"/>
    </row>
    <row r="9" spans="2:9" ht="14.25" customHeight="1" x14ac:dyDescent="0.25">
      <c r="B9" s="3"/>
      <c r="C9" s="3"/>
      <c r="D9" s="3"/>
      <c r="E9" s="3"/>
      <c r="F9" s="3"/>
      <c r="G9" s="3"/>
      <c r="H9" s="3"/>
      <c r="I9" s="3"/>
    </row>
    <row r="10" spans="2:9" ht="14.25" customHeight="1" x14ac:dyDescent="0.25">
      <c r="B10" s="3"/>
      <c r="C10" s="3"/>
      <c r="D10" s="3"/>
      <c r="E10" s="3"/>
      <c r="F10" s="3"/>
      <c r="G10" s="3"/>
      <c r="H10" s="3"/>
      <c r="I10" s="3"/>
    </row>
    <row r="11" spans="2:9" ht="14.25" customHeight="1" x14ac:dyDescent="0.25">
      <c r="B11" s="3"/>
      <c r="C11" s="3"/>
      <c r="D11" s="3"/>
      <c r="E11" s="3"/>
      <c r="F11" s="3"/>
      <c r="G11" s="3"/>
      <c r="H11" s="3"/>
      <c r="I11" s="3"/>
    </row>
    <row r="12" spans="2:9" ht="14.25" customHeight="1" x14ac:dyDescent="0.25">
      <c r="B12" s="3"/>
      <c r="C12" s="3"/>
      <c r="D12" s="3"/>
      <c r="E12" s="3"/>
      <c r="F12" s="3"/>
      <c r="G12" s="3"/>
      <c r="H12" s="3"/>
      <c r="I12" s="3"/>
    </row>
    <row r="13" spans="2:9" ht="14.25" customHeight="1" x14ac:dyDescent="0.25">
      <c r="B13" s="3"/>
      <c r="C13" s="3"/>
      <c r="D13" s="3"/>
      <c r="E13" s="3"/>
      <c r="F13" s="3"/>
      <c r="G13" s="3"/>
      <c r="H13" s="3"/>
      <c r="I13" s="3"/>
    </row>
    <row r="14" spans="2:9" ht="14.25" customHeight="1" x14ac:dyDescent="0.25">
      <c r="B14" s="3"/>
      <c r="C14" s="3"/>
      <c r="D14" s="3"/>
      <c r="E14" s="3"/>
      <c r="F14" s="3"/>
      <c r="G14" s="3"/>
      <c r="H14" s="3"/>
      <c r="I14" s="3"/>
    </row>
    <row r="15" spans="2:9" ht="14.25" customHeight="1" x14ac:dyDescent="0.25">
      <c r="B15" s="3"/>
      <c r="C15" s="3"/>
      <c r="D15" s="3"/>
      <c r="E15" s="3"/>
      <c r="F15" s="3"/>
      <c r="G15" s="3"/>
      <c r="H15" s="3"/>
      <c r="I15" s="3"/>
    </row>
    <row r="16" spans="2:9" ht="14.25" customHeight="1" x14ac:dyDescent="0.25">
      <c r="B16" s="3"/>
      <c r="C16" s="3"/>
      <c r="D16" s="3"/>
      <c r="E16" s="3"/>
      <c r="F16" s="3"/>
      <c r="G16" s="3"/>
      <c r="H16" s="3"/>
      <c r="I16" s="3"/>
    </row>
    <row r="17" spans="2:9" ht="14.25" customHeight="1" x14ac:dyDescent="0.25">
      <c r="B17" s="3"/>
      <c r="C17" s="3"/>
      <c r="D17" s="3"/>
      <c r="E17" s="3"/>
      <c r="F17" s="3"/>
      <c r="G17" s="3"/>
      <c r="H17" s="3"/>
      <c r="I17" s="3"/>
    </row>
    <row r="18" spans="2:9" ht="14.25" customHeight="1" x14ac:dyDescent="0.25">
      <c r="B18" s="3"/>
      <c r="C18" s="3"/>
      <c r="D18" s="3"/>
      <c r="E18" s="3"/>
      <c r="F18" s="3"/>
      <c r="G18" s="3"/>
      <c r="H18" s="3"/>
      <c r="I18" s="3"/>
    </row>
    <row r="19" spans="2:9" ht="14.25" customHeight="1" x14ac:dyDescent="0.25">
      <c r="B19" s="3"/>
      <c r="C19" s="3"/>
      <c r="D19" s="3"/>
      <c r="E19" s="3"/>
      <c r="F19" s="3"/>
      <c r="G19" s="3"/>
      <c r="H19" s="3"/>
      <c r="I19" s="3"/>
    </row>
    <row r="20" spans="2:9" ht="14.25" customHeight="1" x14ac:dyDescent="0.25">
      <c r="B20" s="3"/>
      <c r="C20" s="3"/>
      <c r="D20" s="3"/>
      <c r="E20" s="3"/>
      <c r="F20" s="3"/>
      <c r="G20" s="3"/>
      <c r="H20" s="3"/>
      <c r="I20" s="3"/>
    </row>
    <row r="21" spans="2:9" ht="14.25" customHeight="1" x14ac:dyDescent="0.25">
      <c r="B21" s="3"/>
      <c r="C21" s="3"/>
      <c r="D21" s="3"/>
      <c r="E21" s="3"/>
      <c r="F21" s="3"/>
      <c r="G21" s="3"/>
      <c r="H21" s="3"/>
      <c r="I21" s="3"/>
    </row>
    <row r="22" spans="2:9" ht="14.25" customHeight="1" x14ac:dyDescent="0.25">
      <c r="B22" s="3"/>
      <c r="C22" s="3"/>
      <c r="D22" s="3"/>
      <c r="E22" s="3"/>
      <c r="F22" s="3"/>
      <c r="G22" s="3"/>
      <c r="H22" s="3"/>
      <c r="I22" s="3"/>
    </row>
    <row r="23" spans="2:9" ht="14.25" customHeight="1" x14ac:dyDescent="0.25">
      <c r="B23" s="3"/>
      <c r="C23" s="3"/>
      <c r="D23" s="3"/>
      <c r="E23" s="3"/>
      <c r="F23" s="3"/>
      <c r="G23" s="3"/>
      <c r="H23" s="3"/>
      <c r="I23" s="3"/>
    </row>
    <row r="24" spans="2:9" ht="14.25" customHeight="1" x14ac:dyDescent="0.25">
      <c r="B24" s="3"/>
      <c r="C24" s="3"/>
      <c r="D24" s="3"/>
      <c r="E24" s="3"/>
      <c r="F24" s="3"/>
      <c r="G24" s="3"/>
      <c r="H24" s="3"/>
      <c r="I24" s="3"/>
    </row>
    <row r="25" spans="2:9" ht="14.25" customHeight="1" x14ac:dyDescent="0.25">
      <c r="B25" s="3"/>
      <c r="C25" s="3"/>
      <c r="D25" s="3"/>
      <c r="E25" s="3"/>
      <c r="F25" s="3"/>
      <c r="G25" s="3"/>
      <c r="H25" s="3"/>
      <c r="I25" s="3"/>
    </row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2:I4"/>
  </mergeCells>
  <dataValidations count="3">
    <dataValidation type="list" allowBlank="1" showErrorMessage="1" sqref="G6:G25" xr:uid="{00000000-0002-0000-0900-000000000000}">
      <formula1>"Em aberto,Concluído"</formula1>
    </dataValidation>
    <dataValidation type="list" allowBlank="1" showErrorMessage="1" sqref="B6:D25" xr:uid="{00000000-0002-0000-0900-000001000000}">
      <formula1>#REF!</formula1>
    </dataValidation>
    <dataValidation type="list" allowBlank="1" showErrorMessage="1" sqref="E6:F25" xr:uid="{00000000-0002-0000-0900-000002000000}">
      <formula1>"Sim,Não"</formula1>
    </dataValidation>
  </dataValidations>
  <pageMargins left="0.511811024" right="0.511811024" top="0.78740157499999996" bottom="0.78740157499999996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1001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3.85546875" customWidth="1"/>
    <col min="3" max="26" width="8.7109375" customWidth="1"/>
  </cols>
  <sheetData>
    <row r="1" spans="2:2" ht="14.25" customHeight="1" x14ac:dyDescent="0.25"/>
    <row r="2" spans="2:2" ht="14.25" customHeight="1" x14ac:dyDescent="0.25"/>
    <row r="3" spans="2:2" ht="14.25" customHeight="1" x14ac:dyDescent="0.25"/>
    <row r="4" spans="2:2" ht="14.25" customHeight="1" x14ac:dyDescent="0.25"/>
    <row r="5" spans="2:2" ht="14.25" customHeight="1" x14ac:dyDescent="0.25">
      <c r="B5" s="53" t="s">
        <v>108</v>
      </c>
    </row>
    <row r="6" spans="2:2" ht="14.25" customHeight="1" x14ac:dyDescent="0.25">
      <c r="B6" s="3" t="s">
        <v>104</v>
      </c>
    </row>
    <row r="7" spans="2:2" ht="14.25" customHeight="1" x14ac:dyDescent="0.25">
      <c r="B7" s="3" t="s">
        <v>102</v>
      </c>
    </row>
    <row r="8" spans="2:2" ht="14.25" customHeight="1" x14ac:dyDescent="0.25">
      <c r="B8" s="3" t="s">
        <v>103</v>
      </c>
    </row>
    <row r="9" spans="2:2" ht="14.25" customHeight="1" x14ac:dyDescent="0.25">
      <c r="B9" s="3" t="s">
        <v>105</v>
      </c>
    </row>
    <row r="10" spans="2:2" ht="14.25" customHeight="1" x14ac:dyDescent="0.25">
      <c r="B10" s="3" t="s">
        <v>99</v>
      </c>
    </row>
    <row r="11" spans="2:2" ht="14.25" customHeight="1" x14ac:dyDescent="0.25">
      <c r="B11" s="3" t="s">
        <v>100</v>
      </c>
    </row>
    <row r="12" spans="2:2" ht="14.25" customHeight="1" x14ac:dyDescent="0.25">
      <c r="B12" s="3" t="s">
        <v>101</v>
      </c>
    </row>
    <row r="13" spans="2:2" ht="14.25" customHeight="1" x14ac:dyDescent="0.25"/>
    <row r="14" spans="2:2" ht="14.25" customHeight="1" x14ac:dyDescent="0.25"/>
    <row r="15" spans="2:2" ht="14.25" customHeight="1" x14ac:dyDescent="0.25"/>
    <row r="16" spans="2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Configuração</vt:lpstr>
      <vt:lpstr>Célula Base</vt:lpstr>
      <vt:lpstr>Lista Profissionais</vt:lpstr>
      <vt:lpstr>Rate Card CLT</vt:lpstr>
      <vt:lpstr>Rate Card Exercícios não oficia</vt:lpstr>
      <vt:lpstr>Rate Card PJ</vt:lpstr>
      <vt:lpstr>Rate Formatado CLT</vt:lpstr>
      <vt:lpstr>Rate Formatado PJ</vt:lpstr>
      <vt:lpstr>CLT - ORDER</vt:lpstr>
      <vt:lpstr>PJ - ORDER</vt:lpstr>
      <vt:lpstr>Rate Base C&amp;A</vt:lpstr>
      <vt:lpstr>Licitação - Implantação</vt:lpstr>
      <vt:lpstr>CheckListCliente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Mercado</dc:creator>
  <cp:lastModifiedBy>Laerte de Queiroz</cp:lastModifiedBy>
  <dcterms:created xsi:type="dcterms:W3CDTF">2022-10-05T17:36:25Z</dcterms:created>
  <dcterms:modified xsi:type="dcterms:W3CDTF">2026-06-05T14:53:19Z</dcterms:modified>
</cp:coreProperties>
</file>